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10380" windowHeight="5796"/>
  </bookViews>
  <sheets>
    <sheet name="Ротапост" sheetId="3" r:id="rId1"/>
    <sheet name="Прод" sheetId="6" r:id="rId2"/>
    <sheet name="BufferList" sheetId="11" state="hidden" r:id="rId3"/>
    <sheet name="Отложенные" sheetId="10" r:id="rId4"/>
    <sheet name="Исключения" sheetId="8" r:id="rId5"/>
    <sheet name="Ключи" sheetId="9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10" l="1"/>
  <c r="L1" i="10" l="1"/>
  <c r="A1" i="9" l="1"/>
  <c r="C1" i="8" l="1"/>
  <c r="A1" i="8" l="1"/>
  <c r="C2" i="6" l="1"/>
</calcChain>
</file>

<file path=xl/connections.xml><?xml version="1.0" encoding="utf-8"?>
<connections xmlns="http://schemas.openxmlformats.org/spreadsheetml/2006/main">
  <connection id="1" name="Подключение" type="4" refreshedVersion="0" background="1">
    <webPr sourceData="1" parsePre="1" consecutive="1" url="https://api.rotapost.ru/Task/Webmaster?Status=ToDo&amp;ApiKey=37237948-fe41-4bb5-8757-f2b00326e524" htmlFormat="all"/>
  </connection>
</connections>
</file>

<file path=xl/sharedStrings.xml><?xml version="1.0" encoding="utf-8"?>
<sst xmlns="http://schemas.openxmlformats.org/spreadsheetml/2006/main" count="149" uniqueCount="143">
  <si>
    <t>Ссылка</t>
  </si>
  <si>
    <t>Ключевое слово</t>
  </si>
  <si>
    <t>Перевод</t>
  </si>
  <si>
    <t>Уникальность</t>
  </si>
  <si>
    <t>Success</t>
  </si>
  <si>
    <t>ApiKey</t>
  </si>
  <si>
    <t>Id</t>
  </si>
  <si>
    <t>Type</t>
  </si>
  <si>
    <t>Text</t>
  </si>
  <si>
    <t>Comment</t>
  </si>
  <si>
    <t>Site</t>
  </si>
  <si>
    <t>CheckUrl</t>
  </si>
  <si>
    <t>Price</t>
  </si>
  <si>
    <t>CreateDate</t>
  </si>
  <si>
    <t>TakenDate</t>
  </si>
  <si>
    <t>CompletedDate</t>
  </si>
  <si>
    <t>ApprovedDate</t>
  </si>
  <si>
    <t>RejectedDate</t>
  </si>
  <si>
    <t>ReturnCount</t>
  </si>
  <si>
    <t>ModificationPrice</t>
  </si>
  <si>
    <t>AutoActionTime</t>
  </si>
  <si>
    <t>NofollowRequired</t>
  </si>
  <si>
    <t>Error</t>
  </si>
  <si>
    <t>Обрезка</t>
  </si>
  <si>
    <t>Начинка</t>
  </si>
  <si>
    <t>Блоки</t>
  </si>
  <si>
    <t>Обрез2</t>
  </si>
  <si>
    <t>русский</t>
  </si>
  <si>
    <t>українська</t>
  </si>
  <si>
    <t>пожалуйста зарегистрируйтесь</t>
  </si>
  <si>
    <t>только зарегистрированные пользователи</t>
  </si>
  <si>
    <t>Анкор</t>
  </si>
  <si>
    <t>Тема</t>
  </si>
  <si>
    <t>Линк</t>
  </si>
  <si>
    <t>Proxy</t>
  </si>
  <si>
    <t>Отбор по предложениям</t>
  </si>
  <si>
    <t>мы предлогаем</t>
  </si>
  <si>
    <t>у нас в офисе</t>
  </si>
  <si>
    <t>мы работаем</t>
  </si>
  <si>
    <t>Закрытие</t>
  </si>
  <si>
    <t>Кол. Строк</t>
  </si>
  <si>
    <t>live</t>
  </si>
  <si>
    <t>о телеканале</t>
  </si>
  <si>
    <t>видео под названием</t>
  </si>
  <si>
    <t>Картинка</t>
  </si>
  <si>
    <t>Пользователь</t>
  </si>
  <si>
    <t>Конечный текст</t>
  </si>
  <si>
    <t>Дата соз. Заявки</t>
  </si>
  <si>
    <t>Площадка</t>
  </si>
  <si>
    <t>интеренет-магазин</t>
  </si>
  <si>
    <t>Отбор по сайту</t>
  </si>
  <si>
    <t>компан</t>
  </si>
  <si>
    <t xml:space="preserve">наш </t>
  </si>
  <si>
    <t>Статус</t>
  </si>
  <si>
    <t>Статус заявки</t>
  </si>
  <si>
    <t>реклама</t>
  </si>
  <si>
    <t>спонсор</t>
  </si>
  <si>
    <t>Статус выгружаемых заявок</t>
  </si>
  <si>
    <t>рассказывают</t>
  </si>
  <si>
    <t>что говорит</t>
  </si>
  <si>
    <t>оставьте пожалуйста</t>
  </si>
  <si>
    <t>Корень слова</t>
  </si>
  <si>
    <t>Фраза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</si>
  <si>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</si>
  <si>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</si>
  <si>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</si>
  <si>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</si>
  <si>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</si>
  <si>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</si>
  <si>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орендовать недвижимость.</t>
  </si>
  <si>
    <t>алергия</t>
  </si>
  <si>
    <t>Какие причины аллергии.</t>
  </si>
  <si>
    <t>Title</t>
  </si>
  <si>
    <t xml:space="preserve"> жк </t>
  </si>
  <si>
    <t>мебел</t>
  </si>
  <si>
    <t>Как выбрать мебель для дома.</t>
  </si>
  <si>
    <t>Закрыть сейчас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</si>
  <si>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</si>
  <si>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</si>
  <si>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</si>
  <si>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</si>
  <si>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</si>
  <si>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грузо</t>
  </si>
  <si>
    <t>Как выполняется перевозка грузов.</t>
  </si>
  <si>
    <t>Как правильно отбирать семена.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</si>
  <si>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</si>
  <si>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</si>
  <si>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</si>
  <si>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</si>
  <si>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</si>
  <si>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</si>
  <si>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Small Text</t>
  </si>
  <si>
    <t>нас просили</t>
  </si>
  <si>
    <t>видео</t>
  </si>
  <si>
    <t>предыдущей статье</t>
  </si>
  <si>
    <t>Как правильно следить за своим здоровьем.</t>
  </si>
  <si>
    <t> жк </t>
  </si>
  <si>
    <t>алкоголизм</t>
  </si>
  <si>
    <t>Как победить алкоголизм.</t>
  </si>
  <si>
    <t>№</t>
  </si>
  <si>
    <t>ID</t>
  </si>
  <si>
    <t>URL</t>
  </si>
  <si>
    <t>Дата создания</t>
  </si>
  <si>
    <t>Дата закрытия</t>
  </si>
  <si>
    <t xml:space="preserve"> шин</t>
  </si>
  <si>
    <t>Как выбрать шины для автомобиля.</t>
  </si>
  <si>
    <t>многолетний опыт</t>
  </si>
  <si>
    <t>президент</t>
  </si>
  <si>
    <t>врачи клиники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</si>
  <si>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</si>
  <si>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</si>
  <si>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</si>
  <si>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</si>
  <si>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</si>
  <si>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Авторизация: Антон</t>
  </si>
  <si>
    <t>ExpiresAt</t>
  </si>
  <si>
    <t>Как выбрать хорошие цветы.</t>
  </si>
  <si>
    <t>цветы</t>
  </si>
  <si>
    <t>форум</t>
  </si>
  <si>
    <t>росси</t>
  </si>
  <si>
    <t>республик</t>
  </si>
  <si>
    <t>оренд</t>
  </si>
  <si>
    <t>золот</t>
  </si>
  <si>
    <t>Как выбрать украшения из золота.</t>
  </si>
  <si>
    <t>7ya.org.ua</t>
  </si>
  <si>
    <t>Новый</t>
  </si>
  <si>
    <t>Выбираем детские игрушки.</t>
  </si>
  <si>
    <t>NO</t>
  </si>
  <si>
    <t>игрушк</t>
  </si>
  <si>
    <t>http://19.rospotrebnadzor.ru/bytag3/-/asset_publisher/5Wso/content/%D0%B2%D1%8B%D0%B1%D0%B8%D1%80%D0%B0%D0%B5%D0%BC-%D0%B4%D0%B5%D1%82%D1%81%D0%BA%D0%B8%D0%B5-%D0%B8%D0%B3%D1%80%D1%83%D1%88%D0%BA%D0%B8;jsessionid=6FBEF474E97D8A421CB0565774EF3E61?redirect=http%3A%2F%2F19.rospotrebnadzor.ru%2Fbytag3%3Bjsessionid%3D6FBEF474E97D8A421CB0565774EF3E61%3Fp_p_id%3D101_INSTANCE_5Wso%26p_p_lifecycle%3D0%26p_p_state%3Dnormal%26p_p_mode%3Dview%26p_p_col_id%3Dcolumn-1%26p_p_col_count%3D1</t>
  </si>
  <si>
    <t>http://aliexpress.ua/blog/reliz/obuchayushhie-igrushki-dlya-rebenka</t>
  </si>
  <si>
    <t>http://techma.com.ua/kak-vybrat-detskie-igrushki</t>
  </si>
  <si>
    <t xml:space="preserve">  _x000D_
Главная_x000D_
О журнале_x000D_
 _x000D_
Волосы _x000D_
Здоровые волосы _x000D_
Стрижки и прически _x000D_
Идеи _x000D_
Красивое лицо _x000D_
Красивый макияж _x000D_
Уход за кожей лица _x000D_
Мода _x000D_
Аксессуары _x000D_
Одежда _x000D_
Семья _x000D_
Дети _x000D_
Отношения _x000D_
Стройность _x000D_
Диеты _x000D_
Правильное питание _x000D_
Спорт _x000D_
Тело _x000D_
Идеальный маникюр _x000D_
Идеальный педикюр _x000D_
Уход за кожей тела _x000D_
Главная &gt;&gt; Дети &gt;&gt; Как выбрать детские игрушки? _x000D_
Как выбрать детские игрушки?_x000D_
Опубликовано TechnoMama в Дети, Семья | Нет комментариев_x000D_
_x000D_
Игрушки_x000D_
Дети — самое дорогое, что есть в жизни каждого человека. Большую часть жизни, сознательной и неосознанной, малыши проводят играя. И задача взрослых — уметь правильно выбирать для детей игрушки, способствующие развитию предметной и познавательной деятельности, мелкой моторики, а также просто удовлетворяющие потребности детей и приносящие искреннюю радость._x000D_
При выборе детских игрушек следует обратить должное внимание на возрастные и функциональные особенности игрушек._x000D_
В зависимости от возраста детей игрушки отличаются сложностью, габаритами, а также требованиями безопасности. К примеру, маленьким детям, все пробующим на вкус, нельзя приобретать игрушки с мелкими деталями. Конструкторы, обучающие коврики, машинки, развивающие игрушки призваны как развлекать ребенка, так и развивать его._x000D_
Малышам до 2 лет приносит радость все яркое и цветное. Родителям же на руку все практичное. Оптимальным вариантом в таком возрасте будут купальные принадлежности, бутылочки, погремушки, ходунки и детские ночники._x000D_
С 2 лет и до 5 рекомендуют дарить детям развивающие и обучающие игры, мультфильмы, детские машинки, игровые наборы, конструкторы, железные дороги, детскую технику и мягкие игрушки, которые вызывают у детей положительные эмоции._x000D_
Начиная с 5-тилетнего возраста, при выборе игрушек нужно подключать воображение, так как требования детей к удовольствию возрастают. В таком возрасте хорошим подарком послужат настольные игры и книги, куклы и детский компьютер, машинки и различные атрибуты типа гоночного поля или детского домика, напольные игры и мультфильмы._x000D_
Не стоит покупать слишком массивные игрушки. По установленным нормативам вес их не должен быть более 400 г для детей, не достигших 7-летнего возраста. Например, слишком большая мягкая игрушка, упав на ребенка, может его придавить. Если у малыша не хватит сил сдвинуть ее, то он сможет задохнуться._x000D_
_x000D_
Как выбрать детские игрушки?_x000D_
По мнению психологов, если в доме есть ребенок, желательно приобрести игрушки, помогающие выразить различные эмоции: музыкальные шумовые инструменты (дудка, бубен), молоточки, мячи, а также животные, вызывающие агрессию, например, волк или крокодил._x000D_
При покупке стоит обращать внимание на качество игрушки, материал, из которого она сделана. Можно понюхать понравившуюся игрушку, слегка намочить поверхность. Неприятный запах будет свидетельствовать о токсичных материалах, а быстро стирающаяся краска скажет о том, что выполнена игрушка не по технологиям._x000D_
Лучше приобретать детские игрушки в специализированных магазинах или аптеках, где имеется сертификат, ведь безопасность детей превыше всего!_x000D_
_x000D_
Игрушки оптом – удобно, выгодно, надёжно_x000D_
_x000D_
Выбираем правильные игрушки для детей_x000D_
_x000D_
Оставить комментарий _x000D_
Нажмите, чтобы отменить ответ. _x000D_
 Имя * _x000D_
 Email (не будет виден посетителям) * _x000D_
 _x000D_
   _x000D_
НОВОЕ!_x000D_
САМОЕ!_x000D_
СЛУЧАЙНОЕ!_x000D_
Правила выбора мужского белья _x000D_
Как лечить грыжу? _x000D_
Разновидности стильных мужских аксессуаров _x000D_
Питание на работе _x000D_
Диета для беременных _x000D_
Упражнения для глаз _x000D_
Питание на работе _x000D_
Отбеливание зубов в домашних условиях _x000D_
Как снять головную боль у деток без таблеток? _x000D_
Наша общалка_x000D_
Мила к записи Как выбрать модную и практичную ночную рубашку?_x000D_
Мария к записи Как крепить автокресло?_x000D_
Инга к записи Питомец в семье_x000D_
Мария к записи Музыкальные погремушки_x000D_
Ксения к записи Няня на час_x000D_
Ольга к записи Коляски-трансформеры_x000D_
Ирина к записи Отдых с детьми на море — правила безопасности_x000D_
Анна к записи Чем кормить ребенка на завтрак?_x000D_
Эльвира к записи Интересная игрушка сыну в подарок_x000D_
Ольга к записи Что влияет на покупку коляски для новорожденного_x000D_
Красота_x000D_
 _x000D_
Главные правила выбора качественной косметики _x000D_
 _x000D_
Безопасное удаление родинок – к кому лучше всего обратиться подскажет www.bellezza.ua _x000D_
Волосы_x000D_
 _x000D_
Сильное выпадение волос у женщин _x000D_
 _x000D_
Правила ухода за волосами _x000D_
Уход за телом_x000D_
 _x000D_
Маникюр на короткие ногти гель-лаком _x000D_
 _x000D_
Главные правила укрепления ногтей _x000D_
Интересно:_x000D_
Поделки к Пасхе_x000D_
Как сделать мягкую игрушку?_x000D_
Как выбрать развивающие игры для детей?_x000D_
Музыкальные погремушки_x000D_
Как выбрать деревянные игрушки?_x000D_
Мода_x000D_
 _x000D_
Правила выбора мужского белья _x000D_
 _x000D_
Разновидности стильных мужских аксессуаров _x000D_
Семья_x000D_
 _x000D_
Правила диагностики детского позвоночника _x000D_
 _x000D_
По каким признакам стоит искать хороший детский сад в Одессе? _x000D_
Стройная фигура_x000D_
 _x000D_
Техника нарезки хамона и необходимые для этого инструменты _x000D_
 _x000D_
Как выбрать стационарный блендер _x000D_
Внимание, при копировании материалов сайта прямая и открытая к индексации ссылка на сайт ТехноМама обязательна! </t>
  </si>
  <si>
    <t xml:space="preserve"> Дети — самое дорогое, что есть в жизни каждого человека. Большую часть жизни, сознательной и неосознанной, малыши проводят играя. И задача взрослых — уметь правильно выбирать для детей игрушки, способствующие развитию предметной и познавательной деятельности, мелкой моторики, а также просто удовлетворяющие потребности детей и приносящие искреннюю радость._x000D_ При выборе детских игрушек следует обратить должное внимание на возрастные и функциональные особенности игрушек._x000D_ В зависимости от возраста детей игрушки отличаются сложностью, габаритами, а также требованиями безопасности. К примеру, маленьким детям, все пробующим на вкус, нельзя приобретать игрушки с мелкими деталями. Конструкторы, обучающие коврики, машинки, развивающие игрушки призваны как развлекать ребенка, так и развивать его._x000D_ Малышам до 2 лет приносит радость все яркое и цветное. Родителям же на руку все практичное. Оптимальным вариантом в таком возрасте будут купальные принадлежности, бутылочки, погремушки, ходунки и детские ночники._x000D_ С 2 лет и до 5 рекомендуют дарить детям развивающие и обучающие игры, мультфильмы, детские машинки, игровые наборы, конструкторы, железные дороги, детскую технику и мягкие игрушки, которые вызывают у детей положительные эмоции._x000D_ Начиная с 5-тилетнего возраста, при выборе игрушек нужно подключать воображение, так как требования детей к удовольствию возрастают. В таком возрасте хорошим подарком послужат настольные игры и книги, куклы и детский компьютер, машинки и различные атрибуты типа гоночного поля или детского домика, напольные игры и мультфильмы._x000D_ Не стоит покупать слишком массивные игрушки. По установленным нормативам вес их не должен быть более 400 г для детей, не достигших 7-летнего возраста. Например, слишком большая мягкая игрушка, упав на ребенка, может его придавить. Если у малыша не хватит сил сдвинуть ее, то он сможет задохнуться._x000D_ По мнению психологов, если в доме есть ребенок, желательно приобрести игрушки, помогающие выразить различные эмоции: музыкальные шумовые инструменты (дудка, бубен), молоточки, мячи, а также животные, вызывающие агрессию, например, волк или крокодил._x000D_ При покупке стоит обращать внимание на качество игрушки, материал, из которого она сделана. Можно понюхать понравившуюся игрушку, слегка намочить поверхность. Неприятный запах будет свидетельствовать о токсичных материалах, а быстро стирающаяся краска скажет о том, что выполнена игрушка не по технологиям._x000D_</t>
  </si>
  <si>
    <t xml:space="preserve"> Дети — самое дорогое, что есть в жизни каждого человека. Большую часть жизни, сознательной и неосознанной, малыши проводят играя. И задача взрослых — уметь правильно выбирать для детей игрушки, способствующие развитию предметной и познавательной деятельности, мелкой моторики, а также просто удовлетворяющие потребности детей и приносящие искреннюю радость._x000D_ При выборе детских игрушек следует обратить должное внимание на возрастные и функциональные особенности игрушек._x000D_ В зависимости от возраста детей игрушки отличаются сложностью, габаритами, а также требованиями безопасности. К примеру, маленьким детям, все пробующим на вкус, нельзя приобретать игрушки с мелкими деталями. Конструкторы, обучающие коврики, машинки, развивающие игрушки призваны как развлекать ребенка, так и развивать его._x000D_ Малышам до 2 лет приносит радость все яркое и цветное. Родителям же на руку все практичное. В таком возрасте хорошим подарком послужат настольные игры и книги, куклы и детский компьютер, машинки и различные атрибуты типа гоночного поля или детского домика, напольные игры и мультфильмы._x000D_ Не стоит покупать слишком массивные игрушки. </t>
  </si>
  <si>
    <t xml:space="preserve">Діти — найдорожче, що є в житті кожної людини. Більшу частину життя, свідомої і несвідомої, малюки проводять граючи. І завдання дорослих — вміти правильно вибирати для дітей іграшки, що сприяють розвитку предметної та пізнавальної діяльності, дрібної моторики, а також просто задовольняють потреби дітей і приносять щиру радість. При виборі дитячих іграшок слід звернути належну увагу на вікові і функціональні особливості іграшок. Залежно від віку дітей іграшки відрізняються складністю, габаритами, а також вимог безпеки. Наприклад, маленьким дітям, все пробующим на смак, не можна купувати іграшки з дрібними деталями. Конструктори, навчальні килимки, машинки, що розвивають іграшки покликані як розважати дитину, так і розвивати його. Малюкам до 2 років приносить радість все яскраве і кольорове. Батькам же на руку всі практичне. В такому віці гарним подарунком послужать настільні ігри та книжки, ляльки та дитячий комп'ютер, машинки і різні атрибути типу гоночного поля або дитячого будиночка, підлогові ігри та мультфільми. Не варто купувати занадто масивні іграшки. </t>
  </si>
  <si>
    <t>Вибираємо дитячі іграшки.</t>
  </si>
  <si>
    <t>[caption id="" align="aligncenter" width="350"]&lt;img src="http://storinka.com.ua/wp-content/uploads/2017/08/igrushki.jpg" alt="" width="350" height="300" /&gt; Вибираємо дитячі іграшки.[/caption]    Діти — найдорожче, що є в житті кожної людини. Більшу частину життя, свідомої і несвідомої, малюки проводять граючи. І завдання дорослих — вміти правильно вибирати для дітей іграшки, що сприяють розвитку предметної та пізнавальної діяльності, дрібної моторики, а також просто задовольняють потреби дітей і приносять щиру радість. При виборі дитячих іграшок слід звернути належну увагу на вікові і функціональні особливості іграшок. Також ви можете знайти все необхідне на ресурсі &lt;a href="https://martysh.com.ua/g6363304-myagkie-igrushki-disney" title="Мягкие игрушки Дисней"&gt;Мягкие игрушки Дисней&lt;/a&gt;._x000D_
    Залежно від віку дітей іграшки відрізняються складністю, габаритами, а також вимог безпеки. Наприклад, маленьким дітям, все пробующим на смак, не можна купувати іграшки з дрібними деталями. Конструктори, навчальні килимки, машинки, що розвивають іграшки покликані як розважати дитину, так і розвивати його. _x000D_
     Малюкам до 2 років приносить радість все яскраве і кольорове. Батькам же на руку всі практичне. В такому віці гарним подарунком послужать настільні ігри та книжки, ляльки та дитячий комп'ютер, машинки і різні атрибути типу гоночного поля або дитячого будиночка, підлогові ігри та мультфільми. Не варто купувати занадто масивні іграшки.</t>
  </si>
  <si>
    <t>http://7ya.org.ua/vybyrayemo-dytyachi-igrashky/</t>
  </si>
  <si>
    <t>OK</t>
  </si>
  <si>
    <t>Заявки в работе</t>
  </si>
  <si>
    <t>Максим</t>
  </si>
  <si>
    <t>d5cc2917-2128-4f9d-a58d-b5d761b71b57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</si>
</sst>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Bodoni MT"/>
      <family val="1"/>
    </font>
    <font>
      <sz val="11"/>
      <color theme="1"/>
      <name val="Calibri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ont="1"/>
    <xf numFmtId="0" fontId="0" fillId="0" borderId="6" xfId="0" applyBorder="1"/>
    <xf numFmtId="0" fontId="0" fillId="0" borderId="0" xfId="0" applyBorder="1"/>
    <xf numFmtId="0" fontId="0" fillId="0" borderId="0" xfId="0" applyFill="1" applyBorder="1"/>
    <xf numFmtId="0" fontId="0" fillId="0" borderId="4" xfId="0" applyBorder="1" applyAlignment="1">
      <alignment horizontal="center"/>
    </xf>
    <xf numFmtId="0" fontId="2" fillId="6" borderId="3" xfId="0" applyFont="1" applyFill="1" applyBorder="1" applyAlignment="1">
      <alignment horizontal="center" vertical="center" wrapText="1"/>
    </xf>
    <xf numFmtId="0" fontId="0" fillId="14" borderId="7" xfId="0" applyFill="1" applyBorder="1"/>
    <xf numFmtId="0" fontId="0" fillId="6" borderId="5" xfId="0" applyFill="1" applyBorder="1"/>
    <xf numFmtId="0" fontId="0" fillId="0" borderId="8" xfId="0" applyBorder="1" applyAlignment="1">
      <alignment horizontal="center"/>
    </xf>
    <xf numFmtId="0" fontId="2" fillId="13" borderId="3" xfId="0" applyFont="1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2" fillId="3" borderId="3" xfId="0" applyFont="1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vertical="center"/>
    </xf>
    <xf numFmtId="0" fontId="0" fillId="8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9" borderId="0" xfId="0" applyFill="1" applyBorder="1" applyAlignment="1">
      <alignment vertical="center"/>
    </xf>
    <xf numFmtId="0" fontId="2" fillId="15" borderId="3" xfId="0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12" borderId="3" xfId="0" applyFont="1" applyFill="1" applyBorder="1" applyAlignment="1">
      <alignment vertical="center"/>
    </xf>
    <xf numFmtId="22" fontId="0" fillId="0" borderId="0" xfId="0" applyNumberFormat="1"/>
    <xf numFmtId="0" fontId="3" fillId="0" borderId="0" xfId="0" applyFont="1" applyAlignment="1">
      <alignment wrapText="1"/>
    </xf>
    <xf numFmtId="0" fontId="0" fillId="2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5" borderId="1" xfId="0" applyFont="1" applyFill="1" applyBorder="1"/>
    <xf numFmtId="0" fontId="0" fillId="0" borderId="0" xfId="0" applyFont="1" applyFill="1" applyBorder="1"/>
    <xf numFmtId="0" fontId="0" fillId="17" borderId="3" xfId="0" applyFill="1" applyBorder="1" applyAlignment="1">
      <alignment horizontal="center" vertical="center" wrapText="1"/>
    </xf>
    <xf numFmtId="0" fontId="0" fillId="0" borderId="0" xfId="0" applyFill="1"/>
    <xf numFmtId="0" fontId="9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7" borderId="5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/>
    <xf numFmtId="14" fontId="3" fillId="0" borderId="0" xfId="0" applyNumberFormat="1" applyFont="1"/>
    <xf numFmtId="22" fontId="3" fillId="0" borderId="0" xfId="0" applyNumberFormat="1" applyFont="1"/>
    <xf numFmtId="0" fontId="0" fillId="7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3" fillId="5" borderId="10" xfId="0" applyFont="1" applyFill="1" applyBorder="1"/>
    <xf numFmtId="0" fontId="3" fillId="5" borderId="13" xfId="0" applyFont="1" applyFill="1" applyBorder="1"/>
    <xf numFmtId="0" fontId="8" fillId="0" borderId="1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22" fontId="8" fillId="0" borderId="15" xfId="0" applyNumberFormat="1" applyFont="1" applyBorder="1" applyAlignment="1">
      <alignment horizontal="center" vertical="center"/>
    </xf>
    <xf numFmtId="0" fontId="2" fillId="0" borderId="1" xfId="0" applyFont="1" applyBorder="1"/>
    <xf numFmtId="0" fontId="0" fillId="0" borderId="0" xfId="0" applyAlignment="1">
      <alignment wrapText="1"/>
    </xf>
    <xf numFmtId="0" fontId="3" fillId="2" borderId="2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esult">
        <xsd:complexType>
          <xsd:sequence minOccurs="0">
            <xsd:element minOccurs="0" nillable="true" type="xsd:boolean" name="Success" form="unqualified"/>
            <xsd:element minOccurs="0" nillable="true" name="Tasks" form="unqualified">
              <xsd:complexType>
                <xsd:sequence minOccurs="0">
                  <xsd:element minOccurs="0" maxOccurs="unbounded" nillable="true" name="Task" form="unqualified">
                    <xsd:complexType>
                      <xsd:sequence minOccurs="0">
                        <xsd:element minOccurs="0" nillable="true" type="xsd:integer" name="Id" form="unqualified"/>
                        <xsd:element minOccurs="0" nillable="true" type="xsd:string" name="Type" form="unqualified"/>
                        <xsd:element minOccurs="0" nillable="true" type="xsd:string" name="Text" form="unqualified"/>
                        <xsd:element minOccurs="0" nillable="true" type="xsd:string" name="Comment" form="unqualified"/>
                        <xsd:element minOccurs="0" nillable="true" type="xsd:string" name="Site" form="unqualified"/>
                        <xsd:element minOccurs="0" nillable="true" type="xsd:string" name="CheckUrl" form="unqualified"/>
                        <xsd:element minOccurs="0" nillable="true" type="xsd:double" name="Price" form="unqualified"/>
                        <xsd:element minOccurs="0" nillable="true" type="xsd:dateTime" name="CreateDate" form="unqualified"/>
                        <xsd:element minOccurs="0" nillable="true" type="xsd:dateTime" name="TakenDate" form="unqualified"/>
                        <xsd:element minOccurs="0" nillable="true" type="xsd:string" name="CompletedDate" form="unqualified"/>
                        <xsd:element minOccurs="0" nillable="true" type="xsd:string" name="ApprovedDate" form="unqualified"/>
                        <xsd:element minOccurs="0" nillable="true" type="xsd:string" name="RejectedDate" form="unqualified"/>
                        <xsd:element minOccurs="0" nillable="true" type="xsd:integer" name="ReturnCount" form="unqualified"/>
                        <xsd:element minOccurs="0" nillable="true" type="xsd:integer" name="ModificationPrice" form="unqualified"/>
                        <xsd:element minOccurs="0" nillable="true" type="xsd:dateTime" name="AutoActionTime" form="unqualified"/>
                        <xsd:element minOccurs="0" nillable="true" type="xsd:boolean" name="NofollowRequired" form="unqualified"/>
                        <xsd:element minOccurs="0" nillable="true" type="xsd:string" name="Error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ult_карта" RootElement="Resul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45720</xdr:rowOff>
        </xdr:from>
        <xdr:to>
          <xdr:col>3</xdr:col>
          <xdr:colOff>297180</xdr:colOff>
          <xdr:row>2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</xdr:colOff>
          <xdr:row>2</xdr:row>
          <xdr:rowOff>152400</xdr:rowOff>
        </xdr:from>
        <xdr:to>
          <xdr:col>3</xdr:col>
          <xdr:colOff>335280</xdr:colOff>
          <xdr:row>4</xdr:row>
          <xdr:rowOff>144780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4</xdr:row>
          <xdr:rowOff>38100</xdr:rowOff>
        </xdr:from>
        <xdr:to>
          <xdr:col>1</xdr:col>
          <xdr:colOff>2423160</xdr:colOff>
          <xdr:row>5</xdr:row>
          <xdr:rowOff>152400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форму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0</xdr:row>
          <xdr:rowOff>7620</xdr:rowOff>
        </xdr:from>
        <xdr:to>
          <xdr:col>10</xdr:col>
          <xdr:colOff>228600</xdr:colOff>
          <xdr:row>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L34"/>
  <sheetViews>
    <sheetView tabSelected="1" zoomScale="80" zoomScaleNormal="80" workbookViewId="0">
      <selection activeCell="D15" sqref="D15"/>
    </sheetView>
  </sheetViews>
  <sheetFormatPr defaultColWidth="40.6640625" defaultRowHeight="14.4" x14ac:dyDescent="0.3"/>
  <cols>
    <col min="1" max="1" width="17.6640625" style="2" bestFit="1" customWidth="1"/>
    <col min="2" max="18" width="38.88671875" style="2" customWidth="1"/>
    <col min="19" max="16384" width="40.6640625" style="2"/>
  </cols>
  <sheetData>
    <row r="1" spans="1:12" ht="16.5" customHeight="1" thickBot="1" x14ac:dyDescent="0.35">
      <c r="A1" s="53" t="s">
        <v>114</v>
      </c>
      <c r="B1" s="54"/>
      <c r="C1" s="41"/>
      <c r="D1" s="41"/>
      <c r="E1" s="44" t="s">
        <v>57</v>
      </c>
      <c r="F1" s="44" t="s">
        <v>45</v>
      </c>
    </row>
    <row r="2" spans="1:12" ht="15.6" x14ac:dyDescent="0.3">
      <c r="A2" s="46" t="s">
        <v>4</v>
      </c>
      <c r="B2" s="48" t="b">
        <v>1</v>
      </c>
      <c r="C2" s="41"/>
      <c r="D2" s="41"/>
      <c r="E2" s="51" t="s">
        <v>140</v>
      </c>
      <c r="F2" s="45" t="s">
        <v>141</v>
      </c>
    </row>
    <row r="3" spans="1:12" x14ac:dyDescent="0.3">
      <c r="A3" s="46" t="s">
        <v>5</v>
      </c>
      <c r="B3" s="49" t="s">
        <v>142</v>
      </c>
      <c r="C3" s="41"/>
      <c r="D3" s="41"/>
      <c r="E3" s="41"/>
      <c r="F3" s="41"/>
    </row>
    <row r="4" spans="1:12" ht="15" thickBot="1" x14ac:dyDescent="0.35">
      <c r="A4" s="47" t="s">
        <v>115</v>
      </c>
      <c r="B4" s="50">
        <v>43074.71597222222</v>
      </c>
      <c r="C4" s="42"/>
      <c r="D4" s="41"/>
      <c r="E4" s="41"/>
      <c r="F4" s="41"/>
    </row>
    <row r="5" spans="1:12" x14ac:dyDescent="0.3">
      <c r="A5" s="41"/>
      <c r="B5" s="41"/>
      <c r="C5" s="43"/>
      <c r="D5" s="41"/>
      <c r="E5" s="41"/>
      <c r="F5" s="41"/>
    </row>
    <row r="6" spans="1:12" x14ac:dyDescent="0.3">
      <c r="E6" s="41"/>
    </row>
    <row r="7" spans="1:12" x14ac:dyDescent="0.3">
      <c r="A7" s="2" t="s">
        <v>6</v>
      </c>
      <c r="B7"/>
      <c r="C7"/>
      <c r="D7"/>
      <c r="E7"/>
      <c r="F7" s="1"/>
      <c r="G7" s="1"/>
      <c r="H7" s="1"/>
      <c r="I7"/>
      <c r="J7"/>
      <c r="K7"/>
      <c r="L7"/>
    </row>
    <row r="8" spans="1:12" x14ac:dyDescent="0.3">
      <c r="A8" s="2" t="s">
        <v>7</v>
      </c>
      <c r="B8"/>
      <c r="C8"/>
      <c r="D8"/>
      <c r="E8"/>
      <c r="F8" s="1"/>
      <c r="G8" s="1"/>
      <c r="H8" s="1"/>
      <c r="I8"/>
      <c r="J8"/>
      <c r="K8"/>
      <c r="L8"/>
    </row>
    <row r="9" spans="1:12" x14ac:dyDescent="0.3">
      <c r="A9" s="2" t="s">
        <v>8</v>
      </c>
      <c r="B9"/>
      <c r="C9"/>
      <c r="D9"/>
      <c r="E9"/>
      <c r="F9" s="1"/>
      <c r="G9" s="1"/>
      <c r="H9" s="1"/>
      <c r="I9"/>
      <c r="J9"/>
      <c r="K9"/>
      <c r="L9"/>
    </row>
    <row r="10" spans="1:12" x14ac:dyDescent="0.3">
      <c r="A10" s="2" t="s">
        <v>9</v>
      </c>
      <c r="B10"/>
      <c r="C10"/>
      <c r="D10"/>
      <c r="E10"/>
      <c r="F10" s="1"/>
      <c r="G10" s="1"/>
      <c r="H10" s="1"/>
      <c r="I10"/>
      <c r="J10"/>
      <c r="K10"/>
      <c r="L10"/>
    </row>
    <row r="11" spans="1:12" x14ac:dyDescent="0.3">
      <c r="A11" s="2" t="s">
        <v>10</v>
      </c>
      <c r="B11"/>
      <c r="C11"/>
      <c r="D11"/>
      <c r="E11"/>
      <c r="F11" s="1"/>
      <c r="G11" s="1"/>
      <c r="H11" s="1"/>
      <c r="I11"/>
      <c r="J11"/>
      <c r="K11"/>
      <c r="L11"/>
    </row>
    <row r="12" spans="1:12" x14ac:dyDescent="0.3">
      <c r="A12" s="2" t="s">
        <v>11</v>
      </c>
      <c r="B12"/>
      <c r="C12"/>
      <c r="D12"/>
      <c r="E12"/>
      <c r="F12" s="1"/>
      <c r="G12" s="1"/>
      <c r="H12" s="1"/>
      <c r="I12"/>
      <c r="J12"/>
      <c r="K12"/>
      <c r="L12"/>
    </row>
    <row r="13" spans="1:12" x14ac:dyDescent="0.3">
      <c r="A13" s="2" t="s">
        <v>12</v>
      </c>
      <c r="B13"/>
      <c r="C13"/>
      <c r="D13"/>
      <c r="E13"/>
      <c r="F13" s="1"/>
      <c r="G13" s="1"/>
      <c r="H13" s="1"/>
      <c r="I13"/>
      <c r="J13"/>
      <c r="K13"/>
      <c r="L13"/>
    </row>
    <row r="14" spans="1:12" x14ac:dyDescent="0.3">
      <c r="A14" s="2" t="s">
        <v>13</v>
      </c>
      <c r="B14"/>
      <c r="C14"/>
      <c r="D14"/>
      <c r="E14"/>
      <c r="F14" s="1"/>
      <c r="G14" s="1"/>
      <c r="H14" s="1"/>
      <c r="I14"/>
      <c r="J14"/>
      <c r="K14"/>
      <c r="L14"/>
    </row>
    <row r="15" spans="1:12" x14ac:dyDescent="0.3">
      <c r="A15" s="2" t="s">
        <v>14</v>
      </c>
      <c r="B15"/>
      <c r="C15"/>
      <c r="D15"/>
      <c r="E15"/>
      <c r="F15" s="1"/>
      <c r="G15" s="1"/>
      <c r="H15" s="1"/>
      <c r="I15"/>
      <c r="J15"/>
      <c r="K15"/>
      <c r="L15"/>
    </row>
    <row r="16" spans="1:12" x14ac:dyDescent="0.3">
      <c r="A16" s="2" t="s">
        <v>15</v>
      </c>
      <c r="B16"/>
      <c r="C16"/>
      <c r="D16"/>
      <c r="E16"/>
      <c r="F16" s="1"/>
      <c r="G16" s="1"/>
      <c r="H16" s="1"/>
      <c r="I16"/>
      <c r="J16"/>
      <c r="K16"/>
      <c r="L16"/>
    </row>
    <row r="17" spans="1:12" x14ac:dyDescent="0.3">
      <c r="A17" s="2" t="s">
        <v>16</v>
      </c>
      <c r="B17"/>
      <c r="C17"/>
      <c r="D17"/>
      <c r="E17"/>
      <c r="F17" s="1"/>
      <c r="G17" s="1"/>
      <c r="H17" s="1"/>
      <c r="I17"/>
      <c r="J17"/>
      <c r="K17"/>
      <c r="L17"/>
    </row>
    <row r="18" spans="1:12" x14ac:dyDescent="0.3">
      <c r="A18" s="2" t="s">
        <v>17</v>
      </c>
      <c r="B18"/>
      <c r="C18"/>
      <c r="D18"/>
      <c r="E18"/>
      <c r="F18" s="1"/>
      <c r="G18" s="1"/>
      <c r="H18" s="1"/>
      <c r="I18"/>
      <c r="J18"/>
      <c r="K18"/>
      <c r="L18"/>
    </row>
    <row r="19" spans="1:12" x14ac:dyDescent="0.3">
      <c r="A19" s="2" t="s">
        <v>18</v>
      </c>
      <c r="B19"/>
      <c r="C19"/>
      <c r="D19"/>
      <c r="E19"/>
      <c r="F19" s="1"/>
      <c r="G19" s="1"/>
      <c r="H19" s="1"/>
      <c r="I19"/>
      <c r="J19"/>
      <c r="K19"/>
      <c r="L19"/>
    </row>
    <row r="20" spans="1:12" x14ac:dyDescent="0.3">
      <c r="A20" s="2" t="s">
        <v>19</v>
      </c>
      <c r="B20"/>
      <c r="C20"/>
      <c r="D20"/>
      <c r="E20"/>
      <c r="F20" s="1"/>
      <c r="G20" s="1"/>
      <c r="H20" s="1"/>
      <c r="I20"/>
      <c r="J20"/>
      <c r="K20"/>
      <c r="L20"/>
    </row>
    <row r="21" spans="1:12" x14ac:dyDescent="0.3">
      <c r="A21" s="2" t="s">
        <v>20</v>
      </c>
      <c r="B21"/>
      <c r="C21"/>
      <c r="D21"/>
      <c r="E21"/>
      <c r="F21" s="1"/>
      <c r="G21" s="1"/>
      <c r="H21" s="1"/>
      <c r="I21"/>
      <c r="J21"/>
      <c r="K21"/>
      <c r="L21"/>
    </row>
    <row r="22" spans="1:12" x14ac:dyDescent="0.3">
      <c r="A22" s="2" t="s">
        <v>21</v>
      </c>
      <c r="B22"/>
      <c r="C22"/>
      <c r="D22"/>
      <c r="E22"/>
      <c r="F22" s="1"/>
      <c r="G22" s="1"/>
      <c r="H22" s="1"/>
      <c r="I22"/>
      <c r="J22"/>
      <c r="K22"/>
      <c r="L22"/>
    </row>
    <row r="23" spans="1:12" x14ac:dyDescent="0.3">
      <c r="A23" s="2" t="s">
        <v>22</v>
      </c>
      <c r="B23"/>
      <c r="C23"/>
      <c r="D23"/>
      <c r="E23"/>
      <c r="F23" s="1"/>
      <c r="G23" s="1"/>
      <c r="H23" s="1"/>
      <c r="I23"/>
      <c r="J23"/>
      <c r="K23"/>
      <c r="L23"/>
    </row>
    <row r="24" spans="1:12" x14ac:dyDescent="0.3">
      <c r="A24" s="2" t="s">
        <v>0</v>
      </c>
      <c r="B24"/>
      <c r="C24"/>
      <c r="D24"/>
      <c r="E24"/>
      <c r="F24" s="1"/>
      <c r="G24" s="1"/>
      <c r="H24" s="1"/>
      <c r="I24"/>
      <c r="J24"/>
      <c r="K24"/>
      <c r="L24"/>
    </row>
    <row r="25" spans="1:12" x14ac:dyDescent="0.3">
      <c r="A25" s="33" t="s">
        <v>1</v>
      </c>
      <c r="B25"/>
      <c r="C25"/>
      <c r="D25"/>
      <c r="E25"/>
      <c r="F25"/>
      <c r="G25"/>
      <c r="H25"/>
      <c r="I25"/>
      <c r="J25"/>
      <c r="K25"/>
      <c r="L25"/>
    </row>
    <row r="26" spans="1:12" x14ac:dyDescent="0.3">
      <c r="A26" s="3" t="s">
        <v>31</v>
      </c>
      <c r="B26"/>
      <c r="C26"/>
      <c r="D26"/>
      <c r="E26"/>
      <c r="F26"/>
      <c r="G26"/>
      <c r="H26"/>
      <c r="I26"/>
      <c r="J26"/>
      <c r="K26"/>
      <c r="L26"/>
    </row>
    <row r="27" spans="1:12" x14ac:dyDescent="0.3">
      <c r="A27" s="3" t="s">
        <v>44</v>
      </c>
      <c r="B27"/>
      <c r="C27"/>
      <c r="D27"/>
      <c r="E27"/>
      <c r="F27" s="1"/>
      <c r="G27" s="1"/>
      <c r="H27" s="1"/>
      <c r="I27"/>
      <c r="J27"/>
      <c r="K27"/>
      <c r="L27"/>
    </row>
    <row r="28" spans="1:12" x14ac:dyDescent="0.3">
      <c r="A28" s="3" t="s">
        <v>53</v>
      </c>
      <c r="B28"/>
      <c r="C28"/>
      <c r="D28"/>
      <c r="E28"/>
      <c r="F28"/>
      <c r="G28"/>
      <c r="H28"/>
      <c r="I28"/>
      <c r="J28"/>
      <c r="K28"/>
      <c r="L28"/>
    </row>
    <row r="29" spans="1:12" x14ac:dyDescent="0.3">
      <c r="A29" s="34" t="s">
        <v>72</v>
      </c>
      <c r="B29"/>
      <c r="C29"/>
      <c r="D29"/>
      <c r="E29"/>
      <c r="F29"/>
      <c r="G29" s="52"/>
      <c r="H29"/>
      <c r="I29"/>
      <c r="J29"/>
      <c r="K29"/>
      <c r="L29" s="29"/>
    </row>
    <row r="30" spans="1:12" x14ac:dyDescent="0.3">
      <c r="E30" s="29"/>
    </row>
    <row r="31" spans="1:12" x14ac:dyDescent="0.3">
      <c r="B31" s="29"/>
      <c r="E31" s="29"/>
    </row>
    <row r="34" spans="2:2" x14ac:dyDescent="0.3">
      <c r="B34" s="3"/>
    </row>
  </sheetData>
  <mergeCells count="1">
    <mergeCell ref="A1:B1"/>
  </mergeCells>
  <dataValidations count="2">
    <dataValidation type="list" allowBlank="1" showInputMessage="1" showErrorMessage="1" sqref="F2">
      <formula1>"Антон, Максим"</formula1>
    </dataValidation>
    <dataValidation type="list" allowBlank="1" showInputMessage="1" showErrorMessage="1" sqref="E2">
      <formula1>"Новые заявки, Заявки в работе"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RotaAuto">
                <anchor moveWithCells="1" sizeWithCells="1">
                  <from>
                    <xdr:col>2</xdr:col>
                    <xdr:colOff>114300</xdr:colOff>
                    <xdr:row>0</xdr:row>
                    <xdr:rowOff>45720</xdr:rowOff>
                  </from>
                  <to>
                    <xdr:col>3</xdr:col>
                    <xdr:colOff>297180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GetRotaIsue">
                <anchor moveWithCells="1" sizeWithCells="1">
                  <from>
                    <xdr:col>2</xdr:col>
                    <xdr:colOff>83820</xdr:colOff>
                    <xdr:row>2</xdr:row>
                    <xdr:rowOff>152400</xdr:rowOff>
                  </from>
                  <to>
                    <xdr:col>3</xdr:col>
                    <xdr:colOff>335280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lerform">
                <anchor moveWithCells="1" sizeWithCells="1">
                  <from>
                    <xdr:col>1</xdr:col>
                    <xdr:colOff>22860</xdr:colOff>
                    <xdr:row>4</xdr:row>
                    <xdr:rowOff>38100</xdr:rowOff>
                  </from>
                  <to>
                    <xdr:col>1</xdr:col>
                    <xdr:colOff>2423160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W29"/>
  <sheetViews>
    <sheetView zoomScale="70" zoomScaleNormal="70" workbookViewId="0">
      <selection activeCell="K10" sqref="K10"/>
    </sheetView>
  </sheetViews>
  <sheetFormatPr defaultRowHeight="14.4" x14ac:dyDescent="0.3"/>
  <cols>
    <col min="1" max="1" width="11.5546875" customWidth="1"/>
    <col min="3" max="3" width="15.5546875" bestFit="1" customWidth="1"/>
    <col min="4" max="4" width="22.33203125" bestFit="1" customWidth="1"/>
    <col min="5" max="5" width="16.44140625" bestFit="1" customWidth="1"/>
    <col min="7" max="7" width="16.44140625" bestFit="1" customWidth="1"/>
    <col min="9" max="9" width="13.33203125" bestFit="1" customWidth="1"/>
    <col min="12" max="12" width="10.44140625" customWidth="1"/>
    <col min="16" max="16" width="13.6640625" bestFit="1" customWidth="1"/>
    <col min="21" max="21" width="9.5546875" customWidth="1"/>
  </cols>
  <sheetData>
    <row r="1" spans="1:23" ht="32.25" customHeight="1" thickBot="1" x14ac:dyDescent="0.35">
      <c r="A1" s="56" t="s">
        <v>34</v>
      </c>
      <c r="B1" s="56"/>
      <c r="C1" s="22" t="s">
        <v>40</v>
      </c>
      <c r="D1" s="23"/>
      <c r="L1" s="8" t="s">
        <v>46</v>
      </c>
    </row>
    <row r="2" spans="1:23" s="17" customFormat="1" ht="31.5" customHeight="1" thickBot="1" x14ac:dyDescent="0.35">
      <c r="A2" s="55" t="s">
        <v>127</v>
      </c>
      <c r="B2" s="55"/>
      <c r="C2" s="24">
        <f>COUNTA(A:A)-2</f>
        <v>4</v>
      </c>
      <c r="D2" s="25"/>
      <c r="E2" s="12" t="s">
        <v>48</v>
      </c>
      <c r="F2" s="13" t="s">
        <v>24</v>
      </c>
      <c r="G2" s="14" t="s">
        <v>47</v>
      </c>
      <c r="H2" s="15" t="s">
        <v>25</v>
      </c>
      <c r="I2" s="21" t="s">
        <v>54</v>
      </c>
      <c r="J2" s="16" t="s">
        <v>23</v>
      </c>
      <c r="L2" s="20" t="s">
        <v>2</v>
      </c>
      <c r="N2" s="18" t="s">
        <v>26</v>
      </c>
      <c r="P2" s="19" t="s">
        <v>3</v>
      </c>
      <c r="R2" s="26" t="s">
        <v>32</v>
      </c>
      <c r="T2" s="12" t="s">
        <v>33</v>
      </c>
      <c r="U2" s="35" t="s">
        <v>76</v>
      </c>
      <c r="V2" s="27" t="s">
        <v>39</v>
      </c>
    </row>
    <row r="3" spans="1:23" x14ac:dyDescent="0.3">
      <c r="A3">
        <v>28530497</v>
      </c>
      <c r="E3" t="s">
        <v>124</v>
      </c>
      <c r="G3" s="28">
        <v>43064.498611111114</v>
      </c>
      <c r="I3" t="s">
        <v>125</v>
      </c>
      <c r="L3" s="1" t="s">
        <v>137</v>
      </c>
      <c r="R3" t="s">
        <v>136</v>
      </c>
      <c r="T3" t="s">
        <v>138</v>
      </c>
      <c r="U3" t="s">
        <v>139</v>
      </c>
      <c r="V3" t="b">
        <v>1</v>
      </c>
      <c r="W3" s="5"/>
    </row>
    <row r="4" spans="1:23" x14ac:dyDescent="0.3">
      <c r="A4" t="s">
        <v>129</v>
      </c>
      <c r="F4" s="1" t="s">
        <v>91</v>
      </c>
      <c r="W4" s="5"/>
    </row>
    <row r="5" spans="1:23" x14ac:dyDescent="0.3">
      <c r="A5" t="s">
        <v>130</v>
      </c>
      <c r="F5" s="1" t="s">
        <v>91</v>
      </c>
      <c r="W5" s="5"/>
    </row>
    <row r="6" spans="1:23" x14ac:dyDescent="0.3">
      <c r="A6" t="s">
        <v>131</v>
      </c>
      <c r="F6" s="1" t="s">
        <v>132</v>
      </c>
      <c r="H6" s="1" t="s">
        <v>133</v>
      </c>
      <c r="J6" s="1" t="s">
        <v>134</v>
      </c>
      <c r="L6" s="1" t="s">
        <v>136</v>
      </c>
      <c r="N6" s="1" t="s">
        <v>135</v>
      </c>
      <c r="P6" s="1">
        <v>100</v>
      </c>
      <c r="W6" s="5"/>
    </row>
    <row r="7" spans="1:23" x14ac:dyDescent="0.3">
      <c r="W7" s="5"/>
    </row>
    <row r="8" spans="1:23" x14ac:dyDescent="0.3">
      <c r="W8" s="5"/>
    </row>
    <row r="9" spans="1:23" x14ac:dyDescent="0.3">
      <c r="W9" s="5"/>
    </row>
    <row r="10" spans="1:23" x14ac:dyDescent="0.3">
      <c r="W10" s="5"/>
    </row>
    <row r="11" spans="1:23" x14ac:dyDescent="0.3">
      <c r="W11" s="5"/>
    </row>
    <row r="12" spans="1:23" x14ac:dyDescent="0.3">
      <c r="W12" s="5"/>
    </row>
    <row r="13" spans="1:23" x14ac:dyDescent="0.3">
      <c r="W13" s="5"/>
    </row>
    <row r="14" spans="1:23" x14ac:dyDescent="0.3">
      <c r="W14" s="5"/>
    </row>
    <row r="15" spans="1:23" x14ac:dyDescent="0.3">
      <c r="W15" s="5"/>
    </row>
    <row r="16" spans="1:23" x14ac:dyDescent="0.3">
      <c r="W16" s="5"/>
    </row>
    <row r="17" spans="1:23" x14ac:dyDescent="0.3">
      <c r="W17" s="5"/>
    </row>
    <row r="18" spans="1:23" x14ac:dyDescent="0.3">
      <c r="W18" s="5"/>
    </row>
    <row r="19" spans="1:23" x14ac:dyDescent="0.3">
      <c r="W19" s="5"/>
    </row>
    <row r="20" spans="1:23" x14ac:dyDescent="0.3">
      <c r="W20" s="5"/>
    </row>
    <row r="21" spans="1:23" x14ac:dyDescent="0.3">
      <c r="W21" s="5"/>
    </row>
    <row r="22" spans="1:23" x14ac:dyDescent="0.3">
      <c r="W22" s="5"/>
    </row>
    <row r="23" spans="1:23" x14ac:dyDescent="0.3">
      <c r="W23" s="5"/>
    </row>
    <row r="24" spans="1:23" x14ac:dyDescent="0.3">
      <c r="W24" s="5"/>
    </row>
    <row r="25" spans="1:23" x14ac:dyDescent="0.3">
      <c r="W25" s="5"/>
    </row>
    <row r="26" spans="1:23" x14ac:dyDescent="0.3">
      <c r="W26" s="5"/>
    </row>
    <row r="27" spans="1:23" x14ac:dyDescent="0.3">
      <c r="W27" s="5"/>
    </row>
    <row r="28" spans="1:23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</sheetData>
  <mergeCells count="2">
    <mergeCell ref="A2:B2"/>
    <mergeCell ref="A1:B1"/>
  </mergeCells>
  <dataValidations count="2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7620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>
      <selection activeCell="F13" sqref="F13"/>
    </sheetView>
  </sheetViews>
  <sheetFormatPr defaultRowHeight="14.4" x14ac:dyDescent="0.3"/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18FCFF"/>
  </sheetPr>
  <dimension ref="A1:L1"/>
  <sheetViews>
    <sheetView workbookViewId="0">
      <selection activeCell="D8" sqref="D8"/>
    </sheetView>
  </sheetViews>
  <sheetFormatPr defaultColWidth="9.109375" defaultRowHeight="14.4" x14ac:dyDescent="0.3"/>
  <cols>
    <col min="1" max="1" width="3.109375" style="36" bestFit="1" customWidth="1"/>
    <col min="2" max="2" width="9.109375" style="36"/>
    <col min="3" max="3" width="50.6640625" style="36" bestFit="1" customWidth="1"/>
    <col min="4" max="4" width="37.5546875" style="36" bestFit="1" customWidth="1"/>
    <col min="5" max="7" width="15.33203125" style="36" bestFit="1" customWidth="1"/>
    <col min="8" max="8" width="10.109375" style="36" bestFit="1" customWidth="1"/>
    <col min="9" max="11" width="9.109375" style="36"/>
    <col min="12" max="12" width="10.109375" style="36" bestFit="1" customWidth="1"/>
    <col min="13" max="16384" width="9.109375" style="36"/>
  </cols>
  <sheetData>
    <row r="1" spans="1:12" ht="29.25" customHeight="1" thickBot="1" x14ac:dyDescent="0.35">
      <c r="A1" s="37" t="s">
        <v>99</v>
      </c>
      <c r="B1" s="38" t="s">
        <v>100</v>
      </c>
      <c r="C1" s="38" t="s">
        <v>101</v>
      </c>
      <c r="D1" s="38" t="s">
        <v>5</v>
      </c>
      <c r="E1" s="38" t="s">
        <v>102</v>
      </c>
      <c r="F1" s="38" t="s">
        <v>53</v>
      </c>
      <c r="G1" s="38" t="s">
        <v>103</v>
      </c>
      <c r="H1" s="40">
        <f>COUNTA(B:B)-1</f>
        <v>0</v>
      </c>
      <c r="L1" s="39">
        <f ca="1">TODAY()</f>
        <v>43067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CloseDefendIsue">
                <anchor moveWithCells="1" sizeWithCells="1">
                  <from>
                    <xdr:col>8</xdr:col>
                    <xdr:colOff>60960</xdr:colOff>
                    <xdr:row>0</xdr:row>
                    <xdr:rowOff>7620</xdr:rowOff>
                  </from>
                  <to>
                    <xdr:col>10</xdr:col>
                    <xdr:colOff>228600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27"/>
  <sheetViews>
    <sheetView workbookViewId="0">
      <selection activeCell="K9" sqref="K9"/>
    </sheetView>
  </sheetViews>
  <sheetFormatPr defaultRowHeight="14.4" x14ac:dyDescent="0.3"/>
  <cols>
    <col min="2" max="2" width="14.5546875" bestFit="1" customWidth="1"/>
    <col min="4" max="4" width="24.44140625" bestFit="1" customWidth="1"/>
  </cols>
  <sheetData>
    <row r="1" spans="1:4" ht="15" thickBot="1" x14ac:dyDescent="0.35">
      <c r="A1" s="7">
        <f>COUNTA(A2:A94)</f>
        <v>9</v>
      </c>
      <c r="B1" s="9" t="s">
        <v>50</v>
      </c>
      <c r="C1" s="11">
        <f>COUNTA(C2:C96)</f>
        <v>26</v>
      </c>
      <c r="D1" s="10" t="s">
        <v>35</v>
      </c>
    </row>
    <row r="2" spans="1:4" x14ac:dyDescent="0.3">
      <c r="A2" s="5" t="s">
        <v>27</v>
      </c>
      <c r="B2" s="4"/>
      <c r="C2" t="s">
        <v>51</v>
      </c>
    </row>
    <row r="3" spans="1:4" x14ac:dyDescent="0.3">
      <c r="A3" s="5" t="s">
        <v>28</v>
      </c>
      <c r="B3" s="4"/>
      <c r="C3" t="s">
        <v>52</v>
      </c>
    </row>
    <row r="4" spans="1:4" x14ac:dyDescent="0.3">
      <c r="A4" s="5" t="s">
        <v>30</v>
      </c>
      <c r="B4" s="4"/>
      <c r="C4" t="s">
        <v>36</v>
      </c>
    </row>
    <row r="5" spans="1:4" x14ac:dyDescent="0.3">
      <c r="A5" s="6" t="s">
        <v>41</v>
      </c>
      <c r="B5" s="4"/>
      <c r="C5" t="s">
        <v>37</v>
      </c>
    </row>
    <row r="6" spans="1:4" x14ac:dyDescent="0.3">
      <c r="A6" s="6" t="s">
        <v>42</v>
      </c>
      <c r="B6" s="4"/>
      <c r="C6" t="s">
        <v>38</v>
      </c>
    </row>
    <row r="7" spans="1:4" x14ac:dyDescent="0.3">
      <c r="A7" t="s">
        <v>106</v>
      </c>
      <c r="B7" s="4"/>
      <c r="C7" t="s">
        <v>43</v>
      </c>
    </row>
    <row r="8" spans="1:4" x14ac:dyDescent="0.3">
      <c r="A8" t="s">
        <v>107</v>
      </c>
      <c r="B8" s="4"/>
      <c r="C8" t="s">
        <v>49</v>
      </c>
    </row>
    <row r="9" spans="1:4" x14ac:dyDescent="0.3">
      <c r="A9" t="s">
        <v>108</v>
      </c>
      <c r="B9" s="4"/>
      <c r="C9" s="5" t="s">
        <v>29</v>
      </c>
    </row>
    <row r="10" spans="1:4" x14ac:dyDescent="0.3">
      <c r="A10" t="s">
        <v>118</v>
      </c>
      <c r="B10" s="4"/>
      <c r="C10" t="s">
        <v>55</v>
      </c>
    </row>
    <row r="11" spans="1:4" x14ac:dyDescent="0.3">
      <c r="B11" s="4"/>
      <c r="C11" t="s">
        <v>56</v>
      </c>
    </row>
    <row r="12" spans="1:4" x14ac:dyDescent="0.3">
      <c r="B12" s="4"/>
      <c r="C12" t="s">
        <v>58</v>
      </c>
    </row>
    <row r="13" spans="1:4" x14ac:dyDescent="0.3">
      <c r="B13" s="4"/>
      <c r="C13" t="s">
        <v>59</v>
      </c>
    </row>
    <row r="14" spans="1:4" x14ac:dyDescent="0.3">
      <c r="B14" s="4"/>
      <c r="C14" t="s">
        <v>60</v>
      </c>
    </row>
    <row r="15" spans="1:4" x14ac:dyDescent="0.3">
      <c r="B15" s="4"/>
      <c r="C15" t="s">
        <v>92</v>
      </c>
    </row>
    <row r="16" spans="1:4" x14ac:dyDescent="0.3">
      <c r="B16" s="4"/>
      <c r="C16" t="s">
        <v>93</v>
      </c>
    </row>
    <row r="17" spans="2:3" x14ac:dyDescent="0.3">
      <c r="B17" s="4"/>
      <c r="C17" t="s">
        <v>94</v>
      </c>
    </row>
    <row r="18" spans="2:3" x14ac:dyDescent="0.3">
      <c r="C18" t="s">
        <v>96</v>
      </c>
    </row>
    <row r="19" spans="2:3" x14ac:dyDescent="0.3">
      <c r="C19" t="s">
        <v>109</v>
      </c>
    </row>
    <row r="20" spans="2:3" x14ac:dyDescent="0.3">
      <c r="C20" t="s">
        <v>106</v>
      </c>
    </row>
    <row r="21" spans="2:3" x14ac:dyDescent="0.3">
      <c r="C21" t="s">
        <v>110</v>
      </c>
    </row>
    <row r="22" spans="2:3" x14ac:dyDescent="0.3">
      <c r="C22" t="s">
        <v>111</v>
      </c>
    </row>
    <row r="23" spans="2:3" x14ac:dyDescent="0.3">
      <c r="C23" t="s">
        <v>112</v>
      </c>
    </row>
    <row r="24" spans="2:3" x14ac:dyDescent="0.3">
      <c r="C24" t="s">
        <v>113</v>
      </c>
    </row>
    <row r="25" spans="2:3" x14ac:dyDescent="0.3">
      <c r="C25" t="s">
        <v>38</v>
      </c>
    </row>
    <row r="26" spans="2:3" x14ac:dyDescent="0.3">
      <c r="C26" t="s">
        <v>119</v>
      </c>
    </row>
    <row r="27" spans="2:3" x14ac:dyDescent="0.3">
      <c r="C27" t="s">
        <v>120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0"/>
  <sheetViews>
    <sheetView workbookViewId="0">
      <selection activeCell="B21" sqref="B21"/>
    </sheetView>
  </sheetViews>
  <sheetFormatPr defaultRowHeight="14.4" x14ac:dyDescent="0.3"/>
  <cols>
    <col min="1" max="1" width="5.5546875" customWidth="1"/>
    <col min="2" max="2" width="13.44140625" bestFit="1" customWidth="1"/>
    <col min="3" max="3" width="21.88671875" bestFit="1" customWidth="1"/>
  </cols>
  <sheetData>
    <row r="1" spans="1:3" x14ac:dyDescent="0.3">
      <c r="A1" s="30">
        <f>COUNTA(B:B)-1</f>
        <v>19</v>
      </c>
      <c r="B1" s="32" t="s">
        <v>61</v>
      </c>
      <c r="C1" s="31" t="s">
        <v>62</v>
      </c>
    </row>
    <row r="2" spans="1:3" x14ac:dyDescent="0.3">
      <c r="A2">
        <v>1</v>
      </c>
      <c r="B2" t="s">
        <v>73</v>
      </c>
      <c r="C2" t="s">
        <v>63</v>
      </c>
    </row>
    <row r="3" spans="1:3" x14ac:dyDescent="0.3">
      <c r="A3">
        <v>2</v>
      </c>
      <c r="B3" t="s">
        <v>64</v>
      </c>
      <c r="C3" t="s">
        <v>65</v>
      </c>
    </row>
    <row r="4" spans="1:3" x14ac:dyDescent="0.3">
      <c r="A4">
        <v>3</v>
      </c>
      <c r="B4" t="s">
        <v>66</v>
      </c>
      <c r="C4" t="s">
        <v>67</v>
      </c>
    </row>
    <row r="5" spans="1:3" x14ac:dyDescent="0.3">
      <c r="A5">
        <v>4</v>
      </c>
      <c r="B5" t="s">
        <v>68</v>
      </c>
      <c r="C5" t="s">
        <v>95</v>
      </c>
    </row>
    <row r="6" spans="1:3" x14ac:dyDescent="0.3">
      <c r="A6">
        <v>5</v>
      </c>
      <c r="B6" t="s">
        <v>121</v>
      </c>
      <c r="C6" t="s">
        <v>69</v>
      </c>
    </row>
    <row r="7" spans="1:3" x14ac:dyDescent="0.3">
      <c r="A7">
        <v>6</v>
      </c>
      <c r="B7" t="s">
        <v>70</v>
      </c>
      <c r="C7" t="s">
        <v>71</v>
      </c>
    </row>
    <row r="8" spans="1:3" x14ac:dyDescent="0.3">
      <c r="A8">
        <v>7</v>
      </c>
      <c r="B8" t="s">
        <v>74</v>
      </c>
      <c r="C8" t="s">
        <v>75</v>
      </c>
    </row>
    <row r="9" spans="1:3" x14ac:dyDescent="0.3">
      <c r="A9">
        <v>8</v>
      </c>
      <c r="B9" t="s">
        <v>77</v>
      </c>
      <c r="C9" t="s">
        <v>78</v>
      </c>
    </row>
    <row r="10" spans="1:3" x14ac:dyDescent="0.3">
      <c r="A10">
        <v>9</v>
      </c>
      <c r="B10" t="s">
        <v>79</v>
      </c>
      <c r="C10" t="s">
        <v>80</v>
      </c>
    </row>
    <row r="11" spans="1:3" x14ac:dyDescent="0.3">
      <c r="A11">
        <v>10</v>
      </c>
      <c r="B11" t="s">
        <v>81</v>
      </c>
      <c r="C11" t="s">
        <v>84</v>
      </c>
    </row>
    <row r="12" spans="1:3" x14ac:dyDescent="0.3">
      <c r="A12">
        <v>11</v>
      </c>
      <c r="B12" t="s">
        <v>82</v>
      </c>
      <c r="C12" t="s">
        <v>83</v>
      </c>
    </row>
    <row r="13" spans="1:3" x14ac:dyDescent="0.3">
      <c r="A13">
        <v>12</v>
      </c>
      <c r="B13" t="s">
        <v>85</v>
      </c>
      <c r="C13" t="s">
        <v>86</v>
      </c>
    </row>
    <row r="14" spans="1:3" x14ac:dyDescent="0.3">
      <c r="A14">
        <v>13</v>
      </c>
      <c r="B14" t="s">
        <v>87</v>
      </c>
      <c r="C14" t="s">
        <v>88</v>
      </c>
    </row>
    <row r="15" spans="1:3" x14ac:dyDescent="0.3">
      <c r="A15">
        <v>14</v>
      </c>
      <c r="B15" t="s">
        <v>89</v>
      </c>
      <c r="C15" t="s">
        <v>90</v>
      </c>
    </row>
    <row r="16" spans="1:3" x14ac:dyDescent="0.3">
      <c r="A16">
        <v>15</v>
      </c>
      <c r="B16" t="s">
        <v>97</v>
      </c>
      <c r="C16" t="s">
        <v>98</v>
      </c>
    </row>
    <row r="17" spans="1:3" x14ac:dyDescent="0.3">
      <c r="A17">
        <v>16</v>
      </c>
      <c r="B17" t="s">
        <v>104</v>
      </c>
      <c r="C17" t="s">
        <v>105</v>
      </c>
    </row>
    <row r="18" spans="1:3" x14ac:dyDescent="0.3">
      <c r="A18">
        <v>17</v>
      </c>
      <c r="B18" t="s">
        <v>117</v>
      </c>
      <c r="C18" t="s">
        <v>116</v>
      </c>
    </row>
    <row r="19" spans="1:3" x14ac:dyDescent="0.3">
      <c r="A19">
        <v>18</v>
      </c>
      <c r="B19" t="s">
        <v>122</v>
      </c>
      <c r="C19" t="s">
        <v>123</v>
      </c>
    </row>
    <row r="20" spans="1:3" x14ac:dyDescent="0.3">
      <c r="A20">
        <v>19</v>
      </c>
      <c r="B20" t="s">
        <v>128</v>
      </c>
      <c r="C20" t="s">
        <v>126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D3FEA9-3AB3-4950-AAAA-D3DFF0F2D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Ротапост</vt:lpstr>
      <vt:lpstr>Прод</vt:lpstr>
      <vt:lpstr>BufferList</vt:lpstr>
      <vt:lpstr>Отложенные</vt:lpstr>
      <vt:lpstr>Исключения</vt:lpstr>
      <vt:lpstr>Ключи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Черняхівський Віталій Анатолійович</dc:creator>
  <cp:lastModifiedBy>Черняхівський Віталій Анатолійович</cp:lastModifiedBy>
  <dcterms:created xsi:type="dcterms:W3CDTF">2017-07-26T09:37:38Z</dcterms:created>
  <dcterms:modified xsi:type="dcterms:W3CDTF">2017-11-28T14:11:13Z</dcterms:modified>
</cp:coreProperties>
</file>