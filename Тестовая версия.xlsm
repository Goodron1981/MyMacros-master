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Users\chernyahivskiy.v\Desktop\Тести\MymacrosforRota\Гит_макрос\MyMacros-master\"/>
    </mc:Choice>
  </mc:AlternateContent>
  <bookViews>
    <workbookView xWindow="0" yWindow="0" windowWidth="10380" windowHeight="5796"/>
  </bookViews>
  <sheets>
    <sheet name="Ротапост" sheetId="3" r:id="rId1"/>
    <sheet name="Прод" sheetId="6" r:id="rId2"/>
    <sheet name="Лист1" sheetId="12" r:id="rId3"/>
    <sheet name="BufferList" sheetId="11" state="hidden" r:id="rId4"/>
    <sheet name="Отложенные" sheetId="10" r:id="rId5"/>
    <sheet name="Исключения" sheetId="8" r:id="rId6"/>
    <sheet name="Ключи" sheetId="9" r:id="rId7"/>
  </sheets>
  <functionGroups builtInGroupCount="18"/>
  <definedNames>
    <definedName name="_xlnm._FilterDatabase" localSheetId="5" hidden="1">Исключения!$C$1:$C$25</definedName>
    <definedName name="_xlnm._FilterDatabase" localSheetId="6" hidden="1">Ключи!$A$1:$C$132</definedName>
    <definedName name="_xlnm._FilterDatabase" localSheetId="2" hidden="1">Лист1!$A$1:$D$15</definedName>
    <definedName name="_xlnm._FilterDatabase" localSheetId="1" hidden="1">Прод!$T$1:$T$5</definedName>
    <definedName name="_xlnm._FilterDatabase" localSheetId="0" hidden="1">Ротапост!$A$25:$A$25</definedName>
  </definedNames>
  <calcPr calcId="162913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" i="3" l="1"/>
  <c r="H1" i="10" l="1"/>
  <c r="L1" i="10" l="1"/>
  <c r="A1" i="9" l="1"/>
  <c r="C1" i="8" l="1"/>
  <c r="A1" i="8" l="1"/>
  <c r="C2" i="6" l="1"/>
</calcChain>
</file>

<file path=xl/connections.xml><?xml version="1.0" encoding="utf-8"?>
<connections xmlns="http://schemas.openxmlformats.org/spreadsheetml/2006/main">
  <connection id="1" name="Подключение" type="4" refreshedVersion="0" background="1">
    <webPr sourceData="1" parsePre="1" consecutive="1" url="https://api.rotapost.ru/Task/Webmaster?Status=ToDo&amp;ApiKey=37237948-fe41-4bb5-8757-f2b00326e524" htmlFormat="all"/>
  </connection>
</connections>
</file>

<file path=xl/sharedStrings.xml><?xml version="1.0" encoding="utf-8"?>
<sst xmlns="http://schemas.openxmlformats.org/spreadsheetml/2006/main" count="1017" uniqueCount="622">
  <si>
    <t>Ссылка</t>
  </si>
  <si>
    <t>Ключевое слово</t>
  </si>
  <si>
    <t>Перевод</t>
  </si>
  <si>
    <t>Уникальность</t>
  </si>
  <si>
    <t>ApiKey</t>
  </si>
  <si>
    <t>Id</t>
  </si>
  <si>
    <t>Type</t>
  </si>
  <si>
    <t>Text</t>
  </si>
  <si>
    <t>Comment</t>
  </si>
  <si>
    <t>Site</t>
  </si>
  <si>
    <t>CheckUrl</t>
  </si>
  <si>
    <t>Price</t>
  </si>
  <si>
    <t>CreateDate</t>
  </si>
  <si>
    <t>TakenDate</t>
  </si>
  <si>
    <t>CompletedDate</t>
  </si>
  <si>
    <t>ApprovedDate</t>
  </si>
  <si>
    <t>RejectedDate</t>
  </si>
  <si>
    <t>ReturnCount</t>
  </si>
  <si>
    <t>ModificationPrice</t>
  </si>
  <si>
    <t>AutoActionTime</t>
  </si>
  <si>
    <t>NofollowRequired</t>
  </si>
  <si>
    <t>Error</t>
  </si>
  <si>
    <t>Обрезка</t>
  </si>
  <si>
    <t>Начинка</t>
  </si>
  <si>
    <t>Блоки</t>
  </si>
  <si>
    <t>Обрез2</t>
  </si>
  <si>
    <t>русский</t>
  </si>
  <si>
    <t>українська</t>
  </si>
  <si>
    <t>пожалуйста зарегистрируйтесь</t>
  </si>
  <si>
    <t>только зарегистрированные пользователи</t>
  </si>
  <si>
    <t>Анкор</t>
  </si>
  <si>
    <t>Тема</t>
  </si>
  <si>
    <t>Линк</t>
  </si>
  <si>
    <t>Proxy</t>
  </si>
  <si>
    <t>Отбор по предложениям</t>
  </si>
  <si>
    <t>мы предлогаем</t>
  </si>
  <si>
    <t>у нас в офисе</t>
  </si>
  <si>
    <t>мы работаем</t>
  </si>
  <si>
    <t>Закрытие</t>
  </si>
  <si>
    <t>Кол. Строк</t>
  </si>
  <si>
    <t>live</t>
  </si>
  <si>
    <t>о телеканале</t>
  </si>
  <si>
    <t>Картинка</t>
  </si>
  <si>
    <t>Пользователь</t>
  </si>
  <si>
    <t>Конечный текст</t>
  </si>
  <si>
    <t>Дата соз. Заявки</t>
  </si>
  <si>
    <t>Площадка</t>
  </si>
  <si>
    <t>интеренет-магазин</t>
  </si>
  <si>
    <t>Отбор по сайту</t>
  </si>
  <si>
    <t>компан</t>
  </si>
  <si>
    <t>Статус</t>
  </si>
  <si>
    <t>Статус заявки</t>
  </si>
  <si>
    <t>реклама</t>
  </si>
  <si>
    <t>спонсор</t>
  </si>
  <si>
    <t>Статус выгружаемых заявок</t>
  </si>
  <si>
    <t>рассказывают</t>
  </si>
  <si>
    <t>оставьте пожалуйста</t>
  </si>
  <si>
    <t>Корень слова</t>
  </si>
  <si>
    <t>Фраза</t>
  </si>
  <si>
    <t>сковород</t>
  </si>
  <si>
    <t>Как выбрать сковороду.</t>
  </si>
  <si>
    <t>недвижимост</t>
  </si>
  <si>
    <t>Как правильно выбирать недвижимость.</t>
  </si>
  <si>
    <t>здоровье</t>
  </si>
  <si>
    <t>Как орендовать недвижимость.</t>
  </si>
  <si>
    <t>алергия</t>
  </si>
  <si>
    <t>Какие причины аллергии.</t>
  </si>
  <si>
    <t>Title</t>
  </si>
  <si>
    <t>мебел</t>
  </si>
  <si>
    <t>Как выбрать мебель для дома.</t>
  </si>
  <si>
    <t>Закрыть сейчас</t>
  </si>
  <si>
    <t>виагра</t>
  </si>
  <si>
    <t>Как улучшить сексуальные отношения.</t>
  </si>
  <si>
    <t>потенци</t>
  </si>
  <si>
    <t>Как возобновить интимные отношения.</t>
  </si>
  <si>
    <t>семян</t>
  </si>
  <si>
    <t>грузо</t>
  </si>
  <si>
    <t>квартир</t>
  </si>
  <si>
    <t>Как правильно купить квартиру.</t>
  </si>
  <si>
    <t>двер</t>
  </si>
  <si>
    <t>Как выбрать двери для дома.</t>
  </si>
  <si>
    <t>гипсокартон</t>
  </si>
  <si>
    <t>Как начать ремонт квартиры.</t>
  </si>
  <si>
    <t>нас просили</t>
  </si>
  <si>
    <t>видео</t>
  </si>
  <si>
    <t>предыдущей статье</t>
  </si>
  <si>
    <t>Как правильно следить за своим здоровьем.</t>
  </si>
  <si>
    <t>алкоголизм</t>
  </si>
  <si>
    <t>Как победить алкоголизм.</t>
  </si>
  <si>
    <t>№</t>
  </si>
  <si>
    <t>ID</t>
  </si>
  <si>
    <t>URL</t>
  </si>
  <si>
    <t>Дата создания</t>
  </si>
  <si>
    <t>Дата закрытия</t>
  </si>
  <si>
    <t>Как выбрать шины для автомобиля.</t>
  </si>
  <si>
    <t>многолетний опыт</t>
  </si>
  <si>
    <t>президент</t>
  </si>
  <si>
    <t>врачи клиники</t>
  </si>
  <si>
    <t>киев</t>
  </si>
  <si>
    <t>главный редактор</t>
  </si>
  <si>
    <t xml:space="preserve">шеф-редактор </t>
  </si>
  <si>
    <t>комментарии</t>
  </si>
  <si>
    <t>украин</t>
  </si>
  <si>
    <t>Как выбрать хорошие цветы.</t>
  </si>
  <si>
    <t>цветы</t>
  </si>
  <si>
    <t>форум</t>
  </si>
  <si>
    <t>росси</t>
  </si>
  <si>
    <t>республик</t>
  </si>
  <si>
    <t>оренд</t>
  </si>
  <si>
    <t>золот</t>
  </si>
  <si>
    <t>Как выбрать украшения из золота.</t>
  </si>
  <si>
    <t>Выбираем детские игрушки.</t>
  </si>
  <si>
    <t>игрушк</t>
  </si>
  <si>
    <t>Keywords с сайта.</t>
  </si>
  <si>
    <t>английск</t>
  </si>
  <si>
    <t>Как быстро выучить английский.</t>
  </si>
  <si>
    <t>жк</t>
  </si>
  <si>
    <t>шин</t>
  </si>
  <si>
    <t>одежд</t>
  </si>
  <si>
    <t>Как выбрать модную одежду.</t>
  </si>
  <si>
    <t>ноутбук</t>
  </si>
  <si>
    <t>Как правильно выбрать ноутбук.</t>
  </si>
  <si>
    <t>моноколесо</t>
  </si>
  <si>
    <t>Как пользоваться моноколесом.</t>
  </si>
  <si>
    <t>зерн</t>
  </si>
  <si>
    <t>Правильное хранение зерновых культур.</t>
  </si>
  <si>
    <t>флаг</t>
  </si>
  <si>
    <t>Где устанавливается флагшток.</t>
  </si>
  <si>
    <t>кита</t>
  </si>
  <si>
    <t>Как забрать посылку из Китая.</t>
  </si>
  <si>
    <t>раскрутка</t>
  </si>
  <si>
    <t>Как правильно раскуртить свой сайт.</t>
  </si>
  <si>
    <t>конвейер</t>
  </si>
  <si>
    <t>Где используются конвейеры.</t>
  </si>
  <si>
    <t>новострой</t>
  </si>
  <si>
    <t>Как выбрать квартиру в новостройке.</t>
  </si>
  <si>
    <t>наш</t>
  </si>
  <si>
    <t>рекомендует</t>
  </si>
  <si>
    <t>специализируюсь</t>
  </si>
  <si>
    <t>создаю</t>
  </si>
  <si>
    <t>adonaidenver.org</t>
  </si>
  <si>
    <t>nanoplast.com.ua</t>
  </si>
  <si>
    <t>ve4e.com.ua</t>
  </si>
  <si>
    <t>иннов</t>
  </si>
  <si>
    <t>Как рождаются инновационные идеи.</t>
  </si>
  <si>
    <t>seooptimus.ru</t>
  </si>
  <si>
    <t>рыбалк</t>
  </si>
  <si>
    <t>Что нужно для рыбалки.</t>
  </si>
  <si>
    <t>кино</t>
  </si>
  <si>
    <t>Любимые жанры в кино.</t>
  </si>
  <si>
    <t>http://adonaidenver.org/yak-zabrati-posilku-z-kitayu/</t>
  </si>
  <si>
    <t>приватбанк</t>
  </si>
  <si>
    <t>dom.ria</t>
  </si>
  <si>
    <t>укрпочт</t>
  </si>
  <si>
    <t>ID заявки</t>
  </si>
  <si>
    <t>Публикация</t>
  </si>
  <si>
    <t>прическ</t>
  </si>
  <si>
    <t>Модные прически этого сезона.</t>
  </si>
  <si>
    <t>сайт</t>
  </si>
  <si>
    <t>Как создается сайт.</t>
  </si>
  <si>
    <t>amidi.com.ua</t>
  </si>
  <si>
    <t>linq.kiev.ua</t>
  </si>
  <si>
    <t>upu.org.ua</t>
  </si>
  <si>
    <t>hdtv.net.ua</t>
  </si>
  <si>
    <t>nutscn.com</t>
  </si>
  <si>
    <t>упаковк</t>
  </si>
  <si>
    <t>Праздничная упаковка подарка.</t>
  </si>
  <si>
    <t>наркотик</t>
  </si>
  <si>
    <t>Как наркотики разрушают жизнь.</t>
  </si>
  <si>
    <t>Как генетика улучшает нашу жизнь.</t>
  </si>
  <si>
    <t>генети</t>
  </si>
  <si>
    <t>infoweb.org.ua</t>
  </si>
  <si>
    <t>www.topcatalog.com.ua</t>
  </si>
  <si>
    <t>druzhba-lux.com.ua</t>
  </si>
  <si>
    <t>метал</t>
  </si>
  <si>
    <t>http://upu.org.ua/svyatkova-upakovka-podarunka/</t>
  </si>
  <si>
    <t>Не обработано</t>
  </si>
  <si>
    <t>https://amidi.com.ua/modni-zachiski-tsogo-sezonu/</t>
  </si>
  <si>
    <t>полтав</t>
  </si>
  <si>
    <t xml:space="preserve">я </t>
  </si>
  <si>
    <t>мною</t>
  </si>
  <si>
    <t>http://linq.kiev.ua/yak-stvority-sayt/</t>
  </si>
  <si>
    <t>Обработано.</t>
  </si>
  <si>
    <t>Не настроена публикация для wordpress</t>
  </si>
  <si>
    <t>Причина</t>
  </si>
  <si>
    <t>Нужна статья</t>
  </si>
  <si>
    <t>Какие изделия изготавливают из металла.</t>
  </si>
  <si>
    <t>http://druzhba-lux.com.ua/yaki-vyroby-vygotovlyayut-z-metalu/</t>
  </si>
  <si>
    <t>Нет ключей.</t>
  </si>
  <si>
    <t>Возращен.</t>
  </si>
  <si>
    <t>http://hdtv.net.ua/narkotiki-rujnuyut-zhittya/</t>
  </si>
  <si>
    <t>краска</t>
  </si>
  <si>
    <t>Как правильно выбрать краску.</t>
  </si>
  <si>
    <t>smartx.kiev.ua</t>
  </si>
  <si>
    <t>elit-a-a.com.ua</t>
  </si>
  <si>
    <t>тиковое масло</t>
  </si>
  <si>
    <t>Виды защиты древесины.</t>
  </si>
  <si>
    <t>http://smartx.kiev.ua/yak-pravilno-vibrati-farbu-dlya-poverhon/</t>
  </si>
  <si>
    <t>http://elit-a-a.com.ua/vidi-zahistu-derevini-2/</t>
  </si>
  <si>
    <t>генератор</t>
  </si>
  <si>
    <t>Как выбрать конструктор для ребенка.</t>
  </si>
  <si>
    <t>dril.com.ua</t>
  </si>
  <si>
    <t>кондиционер</t>
  </si>
  <si>
    <t>Как подобрать кондиционер.</t>
  </si>
  <si>
    <t>конструктор</t>
  </si>
  <si>
    <t>http://dril.com.ua/yak-pidibrati-konditsioner/</t>
  </si>
  <si>
    <t>http://upu.org.ua/yak-vibrati-konstruktor-dlya-ditini/</t>
  </si>
  <si>
    <t>kpln.com.ua</t>
  </si>
  <si>
    <t>interline.net.ua</t>
  </si>
  <si>
    <t>перфоратор</t>
  </si>
  <si>
    <t>Как выбрать дрель для дома.</t>
  </si>
  <si>
    <t>Не поддреживает публикацию.</t>
  </si>
  <si>
    <t>На доработке</t>
  </si>
  <si>
    <t>Нужен прессрелиз</t>
  </si>
  <si>
    <t>fledur.org.ua</t>
  </si>
  <si>
    <t>Где применяются электрические генераторы.</t>
  </si>
  <si>
    <t>посвящается</t>
  </si>
  <si>
    <t>http://ve4e.com.ua/de-zastosovuyutsya-elektrichni-generatori/</t>
  </si>
  <si>
    <t>Обработано</t>
  </si>
  <si>
    <t>gv.org.ua</t>
  </si>
  <si>
    <t>медоборудование</t>
  </si>
  <si>
    <t>Виды оборудования для медучтереждений.</t>
  </si>
  <si>
    <t>Ошибка публикации!</t>
  </si>
  <si>
    <t>плать</t>
  </si>
  <si>
    <t>Модные платья этого сезона.</t>
  </si>
  <si>
    <t>чугун</t>
  </si>
  <si>
    <t>Прочность изделий из чугуна.</t>
  </si>
  <si>
    <t>авто</t>
  </si>
  <si>
    <t>Как правильно купить автомобиль.</t>
  </si>
  <si>
    <t>ваканс</t>
  </si>
  <si>
    <t>Как правильно составить резюме.</t>
  </si>
  <si>
    <t>мусор</t>
  </si>
  <si>
    <t>Как мы загрязняем нашу планету.</t>
  </si>
  <si>
    <t>ткан</t>
  </si>
  <si>
    <t>Как выбрать качественную ткань.</t>
  </si>
  <si>
    <t>печать</t>
  </si>
  <si>
    <t>Какие виды печати существуют.</t>
  </si>
  <si>
    <t>Как открыть компанию за границей.</t>
  </si>
  <si>
    <t>ресторан</t>
  </si>
  <si>
    <t>Как подобрать ресторан.</t>
  </si>
  <si>
    <t>гинеколог</t>
  </si>
  <si>
    <t>Распостраненные женские болезни.</t>
  </si>
  <si>
    <t>приви</t>
  </si>
  <si>
    <t>Нужны ли прививки.</t>
  </si>
  <si>
    <t>холтер</t>
  </si>
  <si>
    <t>Что такое экг по холтеру.</t>
  </si>
  <si>
    <t>crm</t>
  </si>
  <si>
    <t>Как взаимодействовать с клиентами.</t>
  </si>
  <si>
    <t>путевк</t>
  </si>
  <si>
    <t>Как недорого выбрать тур.</t>
  </si>
  <si>
    <t>угл</t>
  </si>
  <si>
    <t>Чем уголь выгоднее.</t>
  </si>
  <si>
    <t>amway</t>
  </si>
  <si>
    <t>Как побдобрать себе косметику.</t>
  </si>
  <si>
    <t>Публикация возаращает ошибку(не доконца настроено, так как при обычном входе стандартный пароль не пускает)</t>
  </si>
  <si>
    <t>Нужна доработка</t>
  </si>
  <si>
    <t>dveroman.kiev.ua</t>
  </si>
  <si>
    <t>отопление</t>
  </si>
  <si>
    <t>Чем обогревать свой дом.</t>
  </si>
  <si>
    <t>http://dveroman.kiev.ua/chim-obigriti-svij-budinok/</t>
  </si>
  <si>
    <t>28546504        </t>
  </si>
  <si>
    <t>Нужна доработка.</t>
  </si>
  <si>
    <t>терминал</t>
  </si>
  <si>
    <t>Как расчитаться картой в магазине.</t>
  </si>
  <si>
    <t>роды</t>
  </si>
  <si>
    <t>ощадбанк</t>
  </si>
  <si>
    <t>сбербанк</t>
  </si>
  <si>
    <t>стяжка</t>
  </si>
  <si>
    <t>Как произвести стяжку пола.</t>
  </si>
  <si>
    <t>медтехн</t>
  </si>
  <si>
    <t>Виды медицинского оборудования.</t>
  </si>
  <si>
    <t>канализац</t>
  </si>
  <si>
    <t>Как правильно следить за канализацией.</t>
  </si>
  <si>
    <t>водоотвод</t>
  </si>
  <si>
    <t>Как посторить водоотвод у дома.</t>
  </si>
  <si>
    <t>парикмахер</t>
  </si>
  <si>
    <t>отель</t>
  </si>
  <si>
    <t>Как правильно выбрать отель.</t>
  </si>
  <si>
    <t>полимер</t>
  </si>
  <si>
    <t>Виды изделий из полимеров.</t>
  </si>
  <si>
    <t>массаж</t>
  </si>
  <si>
    <t>Как правильно выполнять массаж.</t>
  </si>
  <si>
    <t>openlib.org.ua</t>
  </si>
  <si>
    <t>apples-web.org.ua</t>
  </si>
  <si>
    <t>seovin.ru</t>
  </si>
  <si>
    <t>http://infoweb.org.ua/yak-stvoryuyetsya-sajt</t>
  </si>
  <si>
    <t>http://www.topcatalog.com.ua/yak-stvoryuyetsya-sajt</t>
  </si>
  <si>
    <t>http://openlib.org.ua/yak-pochati-svij-biznes/</t>
  </si>
  <si>
    <t>http://apples-web.org.ua/yak-stvoryuyetsya-sajt/</t>
  </si>
  <si>
    <t>свидетельство о регистрации</t>
  </si>
  <si>
    <t>Не обработана</t>
  </si>
  <si>
    <t>наклейк</t>
  </si>
  <si>
    <t>Виды индивидуальной рекламы.</t>
  </si>
  <si>
    <t>poser.kiev.ua</t>
  </si>
  <si>
    <t>http://poser.kiev.ua/yak-pravylno-raskurtyty-svij-sajt/</t>
  </si>
  <si>
    <t>Нужна статья.</t>
  </si>
  <si>
    <t>animan.kiev.ua</t>
  </si>
  <si>
    <t>автобус</t>
  </si>
  <si>
    <t>Как можно путешестовать по Европе.</t>
  </si>
  <si>
    <t>Как правильно закрепить груз.</t>
  </si>
  <si>
    <t>Как женщине подготовится к родам.</t>
  </si>
  <si>
    <t>плитк</t>
  </si>
  <si>
    <t>Как подобрать плитку для кухни.</t>
  </si>
  <si>
    <t>санатор</t>
  </si>
  <si>
    <t>Как поддерживать свое здоровье.</t>
  </si>
  <si>
    <t>психотерап</t>
  </si>
  <si>
    <t>Как приобрести душевное равновесие.</t>
  </si>
  <si>
    <t>балкон</t>
  </si>
  <si>
    <t>Как расширить балкон.</t>
  </si>
  <si>
    <t>матра</t>
  </si>
  <si>
    <t>Как создать здоровый сон.</t>
  </si>
  <si>
    <t>бд</t>
  </si>
  <si>
    <t>Виды баз данных.</t>
  </si>
  <si>
    <t>git</t>
  </si>
  <si>
    <t>Сохранение версий при разработке.</t>
  </si>
  <si>
    <t>css</t>
  </si>
  <si>
    <t>Использование стилей в вебразработке.</t>
  </si>
  <si>
    <t>тамад</t>
  </si>
  <si>
    <t>Как подготовиться к свадьбе.</t>
  </si>
  <si>
    <t>антикор</t>
  </si>
  <si>
    <t>Как защитить метал от ржавчины.</t>
  </si>
  <si>
    <t>текстил</t>
  </si>
  <si>
    <t>Используем текстиль в нашем доме.</t>
  </si>
  <si>
    <t>рубероид</t>
  </si>
  <si>
    <t>Чем защитить кровлю дома.</t>
  </si>
  <si>
    <t>клип</t>
  </si>
  <si>
    <t>кроссов</t>
  </si>
  <si>
    <t>Выбираем обувь на лето.</t>
  </si>
  <si>
    <t>косметолог</t>
  </si>
  <si>
    <t>Как ухаживать за кожей лица.</t>
  </si>
  <si>
    <t>знакомств</t>
  </si>
  <si>
    <t>Как познакомиться в интеренете.</t>
  </si>
  <si>
    <t>отвод</t>
  </si>
  <si>
    <t>Покдлючение водопровода в доме.</t>
  </si>
  <si>
    <t>посуд</t>
  </si>
  <si>
    <t>Выбираем посуду для кухни.</t>
  </si>
  <si>
    <t>bocado</t>
  </si>
  <si>
    <t>Распостраненные блюда итальянсокй кухни.</t>
  </si>
  <si>
    <t>стероид</t>
  </si>
  <si>
    <t>Как првильно качать мышцы.</t>
  </si>
  <si>
    <t>рулев</t>
  </si>
  <si>
    <t>Распостраненные поломки автомобиля.</t>
  </si>
  <si>
    <t>сайдинг</t>
  </si>
  <si>
    <t>Как облицовать загородный дом.</t>
  </si>
  <si>
    <t>строительств</t>
  </si>
  <si>
    <t>Как построить свой дом.</t>
  </si>
  <si>
    <t>лаборатория</t>
  </si>
  <si>
    <t>Первичные анализы при поступлении в больницу.</t>
  </si>
  <si>
    <t>косметик</t>
  </si>
  <si>
    <t>Как правильно выбрать косметику.</t>
  </si>
  <si>
    <t>глушит</t>
  </si>
  <si>
    <t>Основные поломки выхлопной системы автомобиля.</t>
  </si>
  <si>
    <t>коммутатор</t>
  </si>
  <si>
    <t>Где преминяется сетевой коммутатор.</t>
  </si>
  <si>
    <t>шкаф</t>
  </si>
  <si>
    <t>Как подобрать шкаф-купе.</t>
  </si>
  <si>
    <t>обогревател</t>
  </si>
  <si>
    <t>Как правильно пожобрать обогреватель для дома.</t>
  </si>
  <si>
    <t>гимнастика</t>
  </si>
  <si>
    <t>диплом</t>
  </si>
  <si>
    <t>Как подготовиться к сдаче диплома.</t>
  </si>
  <si>
    <t>http://fledur.org.ua/%d1%8f%d0%ba-%d0%bf%d1%96%d0%b4%d0%b3%d0%be%d1%82%d1%83%d0%b2%d0%b0%d1%82%d0%b8%d1%81%d1%8f-%d0%b4%d0%be-%d0%b7%d0%b4%d0%b0%d1%87%d1%96-%d0%b4%d0%b8%d0%bf%d0%bb%d0%be%d0%bc%d0%b0/</t>
  </si>
  <si>
    <t>http://animan.kiev.ua/yak-pravilno-raskurtit-svij-sajt/</t>
  </si>
  <si>
    <t>Как укрепить свое здоровье.</t>
  </si>
  <si>
    <t>http://gv.org.ua/yak-zmitsniti-svoye-zdorov-ya/</t>
  </si>
  <si>
    <t>linuxsam.org.ua</t>
  </si>
  <si>
    <t>quickest.com.ua</t>
  </si>
  <si>
    <t>buyheavenlyspot.com.ua</t>
  </si>
  <si>
    <t>ypag.com.ua</t>
  </si>
  <si>
    <t>medical-beauty.org.ua</t>
  </si>
  <si>
    <t>ukravtomobil.if.ua</t>
  </si>
  <si>
    <t>жд</t>
  </si>
  <si>
    <t>Путешествуем по европе.</t>
  </si>
  <si>
    <t>билет</t>
  </si>
  <si>
    <t>Как недорого проехать весь мир.</t>
  </si>
  <si>
    <t>квитки</t>
  </si>
  <si>
    <t>Вібираем направление для путешествия.</t>
  </si>
  <si>
    <t>салон</t>
  </si>
  <si>
    <t>руль</t>
  </si>
  <si>
    <t>Как украсить салон автомобиля.</t>
  </si>
  <si>
    <t>http://linuxsam.org.ua/podorozhuyemo-po-yevropi/</t>
  </si>
  <si>
    <t>http://buyheavenlyspot.com.ua/vibyraem-napravlenye-dlya-puteshestvyya/</t>
  </si>
  <si>
    <t>http://ypag.com.ua/podorozhuyemo-po-yevropi/</t>
  </si>
  <si>
    <t>http://ukravtomobil.if.ua/yak-pravilno-kupiti-avtomobil/</t>
  </si>
  <si>
    <t>http://ukravtomobil.if.ua/yak-prikrasiti-salon-avtomobilya/</t>
  </si>
  <si>
    <t>http://ukravtomobil.if.ua/yak-pravilno-zakripiti-vantazh/</t>
  </si>
  <si>
    <t>Нужна на английском.</t>
  </si>
  <si>
    <t>download.openlib.org.ua</t>
  </si>
  <si>
    <t>blackmetal.kiev.ua</t>
  </si>
  <si>
    <t>bigmoney.kiev.ua</t>
  </si>
  <si>
    <t>schooler.org.ua</t>
  </si>
  <si>
    <t>rielt.in.ua</t>
  </si>
  <si>
    <t>komitet.kiev.ua</t>
  </si>
  <si>
    <t>telopa.com.ua</t>
  </si>
  <si>
    <t>avtocentr.sumy.ua</t>
  </si>
  <si>
    <t>browncat.net.ua</t>
  </si>
  <si>
    <t>myiphone.net.ua</t>
  </si>
  <si>
    <t>it-shop.donetsk.ua</t>
  </si>
  <si>
    <t>sharabt.com.ua</t>
  </si>
  <si>
    <t>avtomir.dn.ua</t>
  </si>
  <si>
    <t>газон</t>
  </si>
  <si>
    <t>Как вырастить красивый газон.</t>
  </si>
  <si>
    <t>вязал</t>
  </si>
  <si>
    <t>Какие изделия изготавливают из шерсти.</t>
  </si>
  <si>
    <t>http://blackmetal.kiev.ua/yak-nedorogo-proyihaty-ves-svit/</t>
  </si>
  <si>
    <t>http://bigmoney.kiev.ua/yak-pravylno-raskurtyt-svij-sajt/</t>
  </si>
  <si>
    <t>http://schooler.org.ua/yak-pravylno-raskurtyt-svij-sajt/</t>
  </si>
  <si>
    <t>http://rielt.in.ua/yak-vyrostyty-garnyj-gazon/</t>
  </si>
  <si>
    <t>http://komitet.kiev.ua/yak-prykrasyty-salon-avtomobilya/</t>
  </si>
  <si>
    <t>http://komitet.kiev.ua/yak-pravylno-kupyty-avtomobil/</t>
  </si>
  <si>
    <t>http://telopa.com.ua/yaki-vyroby-vygotovlyayut-z-vovny/</t>
  </si>
  <si>
    <t>http://avtocentr.sumy.ua/yak-prykrasyty-salon-avtomobilya/</t>
  </si>
  <si>
    <t>http://browncat.net.ua/yak-pravylno-raskurtyt-svij-sajt/</t>
  </si>
  <si>
    <t>москв</t>
  </si>
  <si>
    <t>http://sharabt.com.ua/yak-pravylno-kupyty-kvartyru/</t>
  </si>
  <si>
    <t>В работе</t>
  </si>
  <si>
    <t>opalkova.com.ua</t>
  </si>
  <si>
    <t>сейф</t>
  </si>
  <si>
    <t>Как подобрать сейф.</t>
  </si>
  <si>
    <t>Как пользоваться банковской картой.</t>
  </si>
  <si>
    <t>карт</t>
  </si>
  <si>
    <t>ielts</t>
  </si>
  <si>
    <t>http://opalkova.com.ua/pravylne-zberigannya-zernovyh-kultur/</t>
  </si>
  <si>
    <t>http://dril.com.ua/yak-pidibrati-sejf/</t>
  </si>
  <si>
    <t>http://ve4e.com.ua/yak-pidibrati-sejf/</t>
  </si>
  <si>
    <t>http://ve4e.com.ua/yak-koristuvatisya-bankivskoyu-kartoyu/</t>
  </si>
  <si>
    <t>http://dveroman.kiev.ua/yak-vibrati-mebli-dlya-domu/</t>
  </si>
  <si>
    <t>http://upu.org.ua/yak-koristuvatisya-bankivskoyu-kartoyu/</t>
  </si>
  <si>
    <t>http://elit-a-a.com.ua/yak-shvidko-vivchiti-anglijsku/</t>
  </si>
  <si>
    <t>Макс</t>
  </si>
  <si>
    <t>Курко</t>
  </si>
  <si>
    <t>cugp.com.ua</t>
  </si>
  <si>
    <t>ahumor.org.ua</t>
  </si>
  <si>
    <t>интер</t>
  </si>
  <si>
    <t>Как продумать интерьер квартиры.</t>
  </si>
  <si>
    <t>http://cugp.com.ua/yak-produmati-inter-yer-kvartiri/</t>
  </si>
  <si>
    <t>http://ypag.com.ua/yak-vibrati-mebli-dlya-domu/</t>
  </si>
  <si>
    <t>Нужен английский текст</t>
  </si>
  <si>
    <t>меценат</t>
  </si>
  <si>
    <t>Помощь в развитии культуры.</t>
  </si>
  <si>
    <t>http://ahumor.org.ua/dopomoga-v-rozvytku-kultury/</t>
  </si>
  <si>
    <t>Нанопласт</t>
  </si>
  <si>
    <t>tellall.kiev.ua</t>
  </si>
  <si>
    <t>orangecat.net.ua</t>
  </si>
  <si>
    <t>dlemoduli.org.ua</t>
  </si>
  <si>
    <t>позика</t>
  </si>
  <si>
    <t>Где одолжить деньги.</t>
  </si>
  <si>
    <t>робота</t>
  </si>
  <si>
    <t>Как найти работу.</t>
  </si>
  <si>
    <t>http://avtocentr.sumy.ua/yak-pravylno-zakripyty-vantazh/</t>
  </si>
  <si>
    <t>http://komitet.kiev.ua/yak-pravylno-zakripyty-vantazh/</t>
  </si>
  <si>
    <t>http://tellall.kiev.ua/podorozhuyemo-po-yevropi/</t>
  </si>
  <si>
    <t>http://orangecat.net.ua/podorozhuyemo-po-yevropi/</t>
  </si>
  <si>
    <t>http://browncat.net.ua/de-pozychyty-groshi/</t>
  </si>
  <si>
    <t>http://rielt.in.ua/yak-znajty-ulyublenu-robotu/</t>
  </si>
  <si>
    <t>http://sharabt.com.ua/yak-vybraty-mebli-dlya-domu/</t>
  </si>
  <si>
    <t>http://browncat.net.ua/yak-korystuvatysya-bankivskoyu-kartoyu/</t>
  </si>
  <si>
    <t>http://fledur.org.ua/%d1%8f%d0%ba-%d0%b2%d1%96%d0%b4%d0%bd%d0%be%d0%b2%d0%b8%d1%82%d0%b8-%d1%96%d0%bd%d1%82%d0%b8%d0%bc%d0%bd%d1%96-%d1%81%d1%82%d0%be%d1%81%d1%83%d0%bd%d0%ba%d0%b8/</t>
  </si>
  <si>
    <t>xn--90afsemmyc.com.ua</t>
  </si>
  <si>
    <t>http://xn--90afsemmyc.com.ua/%D1%8F%D0%BA-%D0%BF%D1%80%D0%B0%D0%B2%D0%B8%D0%BB%D1%8C%D0%BD%D0%BE-%D0%B7%D0%B0%D0%BA%D1%80%D1%96%D0%BF%D0%B8%D1%82%D0%B8-%D0%B2%D0%B0%D0%BD%D1%82%D0%B0%D0%B6</t>
  </si>
  <si>
    <t>ndua.org.ua</t>
  </si>
  <si>
    <t>http://rielt.in.ua/yak-pravylno-kupyty-kvartyru/</t>
  </si>
  <si>
    <t>http://ndua.org.ua/yak-pravylno-kupyty-kvartyru/</t>
  </si>
  <si>
    <t>http://rielt.in.ua/yak-pravylno-vybyraty-neruhomist/</t>
  </si>
  <si>
    <t>продвижение сайта</t>
  </si>
  <si>
    <t>Как продвигать свой сайт.</t>
  </si>
  <si>
    <t>Как выбрать район для жилья.</t>
  </si>
  <si>
    <t>Как правильно отобрать семена.</t>
  </si>
  <si>
    <t>YES</t>
  </si>
  <si>
    <t>4da.org.ua</t>
  </si>
  <si>
    <t>конфети</t>
  </si>
  <si>
    <t>Как организовать праздник.</t>
  </si>
  <si>
    <t>бухгалтер</t>
  </si>
  <si>
    <t>Как правильно вести бухгалтерию.</t>
  </si>
  <si>
    <t>шоу</t>
  </si>
  <si>
    <t>Как устроить дома праздник.</t>
  </si>
  <si>
    <t>сонячн</t>
  </si>
  <si>
    <t>Выгода от солнечной электростанции.</t>
  </si>
  <si>
    <t>http://openlib.org.ua/yak-pochati-programuvati/</t>
  </si>
  <si>
    <t>http://hdtv.net.ua/yak-organizuvati-svyato/</t>
  </si>
  <si>
    <t>http://animan.kiev.ua/yak-pravilno-vesti-buhgalteriyu/</t>
  </si>
  <si>
    <t>http://animan.kiev.ua/yak-vlashtuvati-budinku-svyato/</t>
  </si>
  <si>
    <t>http://4da.org.ua/vygoda-vid-sonyachnoyi-elektrostantsiyi</t>
  </si>
  <si>
    <t>http://openlib.org.ua/yak-organizuvati-validatsiyu-na-sajti/</t>
  </si>
  <si>
    <t>http://cugp.com.ua/vigoda-vid-sonyachnoyi-elektrostantsiyi/</t>
  </si>
  <si>
    <t>betar.org.ua</t>
  </si>
  <si>
    <t>мероприят</t>
  </si>
  <si>
    <t>Как организовать мероприятие.</t>
  </si>
  <si>
    <t>утеплен</t>
  </si>
  <si>
    <t>Какой материал выбрать для утепления.</t>
  </si>
  <si>
    <t>http://betar.org.ua/yak-organizuvaty-zahid/</t>
  </si>
  <si>
    <t>http://gv.org.ua/yakij-material-vibrati-dlya-uteplennya/</t>
  </si>
  <si>
    <t>odissey.net.ua</t>
  </si>
  <si>
    <t>http://odissey.net.ua/yak-organizuvaty-zahid/</t>
  </si>
  <si>
    <t>4a630d87-8011-4437-8226-b41782f4579e</t>
  </si>
  <si>
    <t>redcat.net.ua</t>
  </si>
  <si>
    <t>http://tellall.kiev.ua/yak-organizuvaty-zahid/</t>
  </si>
  <si>
    <t>http://komitet.kiev.ua/yak-organizuvaty-zahid/</t>
  </si>
  <si>
    <t>Как организовать свадьбу.</t>
  </si>
  <si>
    <t>свад</t>
  </si>
  <si>
    <t>http://redcat.net.ua/yak-organizuvaty-vesillya/</t>
  </si>
  <si>
    <t>http://ukravtomobil.if.ua/podorozhuyemo-po-yevropi/</t>
  </si>
  <si>
    <t>http://medical-beauty.org.ua/%d0%bf%d0%be%d0%b4%d0%be%d1%80%d0%be%d0%b6%d1%83%d1%94%d0%bc%d0%be-%d0%bf%d0%be-%d1%94%d0%b2%d1%80%d0%be%d0%bf%d1%96/</t>
  </si>
  <si>
    <t>softik.net.ua</t>
  </si>
  <si>
    <t>http://it-shop.donetsk.ua/podorozhuyemo-po-yevropi/</t>
  </si>
  <si>
    <t>http://softik.net.ua/podorozhuyemo-po-yevropi/</t>
  </si>
  <si>
    <t>http://avtocentr.sumy.ua/podorozhuyemo-po-yevropi/</t>
  </si>
  <si>
    <t>Антон</t>
  </si>
  <si>
    <t>Максим</t>
  </si>
  <si>
    <t>eb9a2a05-69eb-49b9-a917-48f43be3d582</t>
  </si>
  <si>
    <t>43ca56ec-2c6f-4152-a3ee-daf9c537003a</t>
  </si>
  <si>
    <t>61465022-6443-492b-a36c-140faf0e9e95</t>
  </si>
  <si>
    <t>Postovoi</t>
  </si>
  <si>
    <t>NoK</t>
  </si>
  <si>
    <t>No keyword!</t>
  </si>
  <si>
    <t>No img!</t>
  </si>
  <si>
    <t>Заявки в работе</t>
  </si>
  <si>
    <t>Постовой должен быть окружен тематическим текстом
Постовой ближе к началу статьи
Постовой должен быть в новой статье
Только один постовой на страницу
Статья должна быть размером более 2 000 символов
Только уникальный контент
Без Sape и подобных бирж
Без слов "Спонсор", "Реклама" и подобных
Спасибо!</t>
  </si>
  <si>
    <t>http://evroremont.kharkov.ua/</t>
  </si>
  <si>
    <t>&lt;a href="http://evroremont.kharkov.ua/" title="ремонт квартир харьков"&gt;ремонт квартир харьков&lt;/a&gt;</t>
  </si>
  <si>
    <t>2018-01-17T15:49:05</t>
  </si>
  <si>
    <t>2018-01-17T16:13:32</t>
  </si>
  <si>
    <t>2018-01-24T16:13:32</t>
  </si>
  <si>
    <t>&lt;a href="https://www.3denglish.com.ua/ielts" title="как подготовится к IELTS"&gt;как подготовится к IELTS&lt;/a&gt;</t>
  </si>
  <si>
    <t>Постовой должен быть окружен тематическим текстом
Только один постовой на страницу
Постовой должен быть в новой и уникальной статье</t>
  </si>
  <si>
    <t>2018-01-11T18:45:44</t>
  </si>
  <si>
    <t>2018-01-11T21:20:35</t>
  </si>
  <si>
    <t>2018-01-25T09:57:34</t>
  </si>
  <si>
    <t>https://www.3denglish.com.ua/ielts</t>
  </si>
  <si>
    <t>На проверке</t>
  </si>
  <si>
    <t>Post</t>
  </si>
  <si>
    <t>Просьба упомянуть в обзоре название компании-производителя подъемников Форстор
Проверяется наличие ссылки: http://forstor.com.ua/reload-goods/cantilever-lift.html
с текстом (анкором): мачтовые подъемники
Проверяется наличие одного из вариантов текста: Форстор
Длина поста: до 1 500</t>
  </si>
  <si>
    <t>http://nanoplast.com.ua/ru/kak-vybrat-machtovye-podemniki</t>
  </si>
  <si>
    <t>2018-01-10T10:17:38</t>
  </si>
  <si>
    <t>2018-01-10T16:18:17</t>
  </si>
  <si>
    <t>2018-01-25T13:52:37</t>
  </si>
  <si>
    <t>No href!</t>
  </si>
  <si>
    <t>Ремонт квартир Харьков. Фото, цены | Евроремонт, ремонт квартир</t>
  </si>
  <si>
    <t>ремонт, квартир, харьков, евроремонт, цены, прайс-лист, гарантия, дизайн, интерьер, фото</t>
  </si>
  <si>
    <t>3denglish</t>
  </si>
  <si>
    <t>Not found</t>
  </si>
  <si>
    <t>С чего начать ремонт квартиры.</t>
  </si>
  <si>
    <t>ремонт кварт</t>
  </si>
  <si>
    <t>ювелирн</t>
  </si>
  <si>
    <t>радио</t>
  </si>
  <si>
    <t>Этапы развития радио.</t>
  </si>
  <si>
    <t>тормозные колод</t>
  </si>
  <si>
    <t>Как ухаживать за тормозами в автомобиле.</t>
  </si>
  <si>
    <t>Как правильно выбрать ювелирные изделия.</t>
  </si>
  <si>
    <t>http://nua.in.ua/wp-content/uploads/2016/05/mebel-1.jpg</t>
  </si>
  <si>
    <t>http://4da.org.ua/z-chogo-pochaty-remont-kvartyry</t>
  </si>
  <si>
    <t>http://openlib.org.ua/yak-vibrati-mebli-dlya-domu/</t>
  </si>
  <si>
    <t>http://betar.org.ua/ulyubleni-zhanry-v-kino/</t>
  </si>
  <si>
    <t>http://openlib.org.ua/ulyubleni-zhanri-v-kino/</t>
  </si>
  <si>
    <t>http://adonaidenver.org/dopomoga-v-rozvitku-kulturi/</t>
  </si>
  <si>
    <t>http://lisavika.ru/moda/142-kak-vybrat-juvelirnye-ukrashenija</t>
  </si>
  <si>
    <t>женский сайт_x000D_
Главная_x000D_
Видео_x000D_
фитнес_x000D_
упражнения с мячом_x000D_
фитнес-йога_x000D_
упражнения для ног_x000D_
растяжка_x000D_
кулинария_x000D_
торты_x000D_
пироги, печенье, пирожное_x000D_
вторые блюда_x000D_
первые блюда_x000D_
красота_x000D_
макияж_x000D_
французский маникюр_x000D_
дизайн ногтей_x000D_
педикюр_x000D_
прически_x000D_
фото_x000D_
фото парней_x000D_
фото девушек_x000D_
демотиваторы_x000D_
фото приколы_x000D_
Подписаться на сайт_x000D_
Контакты_x000D_
Статьи сайта_x000D_
Отношения_x000D_
Красота_x000D_
Мода_x000D_
Дети_x000D_
Здоровье_x000D_
Карьера_x000D_
Спорт_x000D_
Отдых_x000D_
Дневники_x000D_
Будь красивой_x000D_
Мой малыш_x000D_
Мое хобби_x000D_
Худеем вместе_x000D_
Этот прекрасный мир_x000D_
Полезные советы_x000D_
Наши питомцы_x000D_
Любовь-морковь_x000D_
Свежие статьи_x000D_
Фракционное омоложение лица – натуральная красота _x000D_
Алкогольные маски для волос: пиво, вино, коньяк _x000D_
Особенности написания «женского резюме» _x000D_
Профессиональные средства для депиляции _x000D_
Инъекции ботокс для лица _x000D_
Лучшее_x000D_
загрузка..._x000D_
Как выбрать ювелирные украшения?_x000D_
_x000D_
Драгоценности - это такая покупка, к которой нужно подходить со всей ответственностью, независимо от того, приобретаете вы их себе или делаете кому-то подарок._x000D_
Ни для кого не секрет, что в крупных магазинах у продавцов существует план продаж на определенные вещи. И именно их предлагают в первую очередь, акцентируя на них все внимание покупателя._x000D_
Так как же правильно выбирать ювелирные украшения и какие нюансы нужно знать?_x000D_
Металлы для драгоценностей_x000D_
В первую очередь, следует обратить внимание на металл, из которого изготовлено изделие. Чаще всего в продаже имеются украшения из золота, платины и серебра. А также из тех металлов, что относятся к платиновой группе – палладия, иридия и родия. Чаще всего все металлы помимо золота и серебра используют в драгоценных сплавах, чтобы придать украшению определенный блеск и стойкость._x000D_
_x000D_
На каждом украшении обязательно должна стоять проба. Если ее нет – скорее всего, перед вами подделка. Не исключен вариант, что оно выполнено в частной мастерской, но тогда проще узнать имя мастера и обратиться непосредственно к нему – так выйдет и экономнее, и оригинальнее, ведь в своей мастерской ювелир сможет предложить вам поправить изделие по своему вкусу, и дубликата у него не будет._x000D_
Серебро используется практически для всех видов украшений – благодаря уникальной пластичности его можно даже скатать в тончайшую проволоку, что сейчас стало модно использовать при изготовлении каффов.  Золото, эмаль, минеральные, драгоценные и полудрагоценные камни, слоновая кость – все эти материалы часто используют как элемент декора при работе с серебром. Пробы для серебра – 950, 925 (самая распространенная), 900, 800 и 720._x000D_
Золото же может быть 999, 958, 750, 585 (самое распространенное сочетание), 500 и 375 пробы. У золотых украшений бывает несколько оттенков – все зависит от примесей других металлов в изделии. Помимо классики, существует золото красного, розового и белого цвета. Есть даже более оригинальные оттенки – зеленый, синий и черный. В последнее время своеобразным «знаком качества» является белое золото, в частности, из-за того, что его почти невозможно поцарапать. Его рекомендуется приобретать с примесью родия, который обеспечит украшению блеск._x000D_
Платина из-за своей прочности и, одновременно, податливости, используется для изготовления сложных украшений. Часто можно встретить платиновые украшения с примесью рутения и иридия, именно этим обоснована их высокая цена. Стандартные пробы для платины – 950, 900 и 850._x000D_
Вставки для украшений_x000D_
Многие украшения, если не поражают своей витиеватостью и орнаментом, имеют вставки, выполненные из разнообразных камней. Большинство камней измеряется в каратах, 1 карат равен 200 миллиграммам._x000D_
_x000D_
Бриллианты – лучшие друзья девушек. Обручальное кольцо из золота с бриллиантом уже стало просто классикой. Стандартная огранка для бриллианта круглой формы – 57 граней, это крайне важно для его блеска. Смотреть украшения с бриллиантами лучше при дневном свете – только так вы сможете оценить его переливы. Бриллианты бывают не только прозрачными, а белыми, голубыми, зелеными, розовыми, желтыми и даже черными. Основное при выборе бриллианта – его прозрачность. Если природные вкрапления и прочие несовершенства видно даже невооруженным глазом, то стоимость его значительно падает._x000D_
Сапфир всем представляется камнем именно кристальной синевы, однако, это не всегда так! На самом же деле, сапфир имеет более 150 цветов и оттенков. Обычно используются сапфиры 2-х каратные, иногда встречаются в украшениях и в 5 или 10 карат._x000D_
Рубин, который ювелиры еще называют красным сапфиром (эти два камня действительно родственны), имеет красный цвет без каких-либо оттенков. Украшения с рубинами принято хранить отдельно от прочих драгоценностей. Чаще всего рубины бывают в 2 карата, но встречаются отдельные камни в 5 карат, и в этом случае они стоимостью превосходят даже бриллианты._x000D_
Изумруды обычно зеленого цвета, с желтоватым и голубоватым оттенком. Те, которые имеют слегка уходящий в голубой цвет, ценятся выше всего. При выборе изумруда особое внимание уделите его прозрачности и чистоте._x000D_
К минеральным камням в украшениях относятся жемчуг, коралл и прочие. К полудрагоценным – гранат, опал, кварц, топаз… Список можно вести почти бесконечно. Несмотря на то, что украшения с подобными камнями резко отличаются от тех, в которых в качестве вставки используются драгоценные камни, среди них очень много оригинальных украшений, которые можно назвать искусством._x000D_
Крепеж камня_x000D_
Выбирать закрепку на украшении нужно, ориентируясь на ваш образ жизни. Будет ли это украшение повседневным, или вы будете доставать его из сейфа раз в год на торжественные мероприятия? Насколько активный образ жизни вы ведете? Эти вопросы вовсе не пустяк, ведь крепеж камня может сломаться от неосторожного движения!_x000D_
_x000D_
 _x000D_
Пружинная закрепка создает ощущение, что камень вообще никак не держится на украшении, однако сидит он в своем гнезде очень прочно. Она будет идеальна для бриллиантов – с такой закрепкой камень будет играть и переливаться всеми своими гранями._x000D_
Ободковая закрепка не только увеличивает визуально камень, но и крепко охватывает его со всех сторон._x000D_
Канальное крепление используется чаще всего в обручальных кольцах. Камни помещаются внутрь сделанного канала, и их может поместить как несколько, так и расположить по всей окружности кольца._x000D_
Закрепка камней «лапками» - одна из самых распространенных, но людям с активным образом жизни стоит ее избегать. Конечно, она акцентирует все внимание на камне, но при этом является самой непрочной._x000D_
Серебряные украшения не считаются торжественным вариантом изделий, скорее они предназначены для повседневной носки. Исключением является случай, когда украшение сделано известным ювелиром, или само по себе является произведением искусства._x000D_
Если у вас есть гарнитур, никогда не надевайте его сразу весь. Лучше выбрать вариант cерьги-браслет, или ожерелье-кольцо._x000D_
А вот бриллиантовое колье следует носить только на очень торжественных приемах, и дама при этом должна быть в декольте. Удачных покупок!_x000D_
_x000D_
_x000D_
_x000D_
_x000D_
Еще материалы по теме:_x000D_
Как выбрать женский парфюм?_x000D_
Как не купить подделку брендовой вещи?_x000D_
Как правильно выбрать терм</t>
  </si>
  <si>
    <t xml:space="preserve"> Драгоценности - это такая покупка, к которой нужно подходить со всей ответственностью, независимо от того, приобретаете вы их себе или делаете кому-то подарок._x000D_ Ни для кого не секрет, что в крупных магазинах у продавцов существует план продаж на определенные вещи. И именно их предлагают в первую очередь, акцентируя на них все внимание покупателя._x000D_ В первую очередь, следует обратить внимание на металл, из которого изготовлено изделие. Чаще всего в продаже имеются украшения из золота, платины и серебра. А также из тех металлов, что относятся к платиновой группе – палладия, иридия и родия. Чаще всего все металлы помимо золота и серебра используют в драгоценных сплавах, чтобы придать украшению определенный блеск и стойкость._x000D_ На каждом украшении обязательно должна стоять проба. Если ее нет – скорее всего, перед вами подделка. Не исключен вариант, что оно выполнено в частной мастерской, но тогда проще узнать имя мастера и обратиться непосредственно к нему – так выйдет и экономнее, и оригинальнее, ведь в своей мастерской ювелир сможет предложить вам поправить изделие по своему вкусу, и дубликата у него не будет._x000D_ Золото же может быть 999, 958, 750, 585 (самое распространенное сочетание), 500 и 375 пробы. У золотых украшений бывает несколько оттенков – все зависит от примесей других металлов в изделии. Помимо классики, существует золото красного, розового и белого цвета. Есть даже более оригинальные оттенки – зеленый, синий и черный. В последнее время своеобразным «знаком качества» является белое золото, в частности, из-за того, что его почти невозможно поцарапать. Его рекомендуется приобретать с примесью родия, который обеспечит украшению блеск._x000D_ Многие украшения, если не поражают своей витиеватостью и орнаментом, имеют вставки, выполненные из разнообразных камней. Большинство камней измеряется в каратах, 1 карат равен 200 миллиграммам._x000D_ Бриллианты – лучшие друзья девушек. Обручальное кольцо из золота с бриллиантом уже стало просто классикой. Стандартная огранка для бриллианта круглой формы – 57 граней, это крайне важно для его блеска. Смотреть украшения с бриллиантами лучше при дневном свете – только так вы сможете оценить его переливы. Бриллианты бывают не только прозрачными, а белыми, голубыми, зелеными, розовыми, желтыми и даже черными. Основное при выборе бриллианта – его прозрачность. Если природные вкрапления и прочие несовершенства видно даже невооруженным глазом, то стоимость его значительно падает._x000D_ Сапфир всем представляется камнем именно кристальной синевы, однако, это не всегда так! На самом же деле, сапфир имеет более 150 цветов и оттенков. Обычно используются сапфиры 2-х каратные, иногда встречаются в украшениях и в 5 или 10 карат._x000D_ Рубин, который ювелиры еще называют красным сапфиром (эти два камня действительно родственны), имеет красный цвет без каких-либо оттенков. Украшения с рубинами принято хранить отдельно от прочих драгоценностей. Чаще всего рубины бывают в 2 карата, но встречаются отдельные камни в 5 карат, и в этом случае они стоимостью превосходят даже бриллианты._x000D_ Изумруды обычно зеленого цвета, с желтоватым и голубоватым оттенком. Те, которые имеют слегка уходящий в голубой цвет, ценятся выше всего. При выборе изумруда особое внимание уделите его прозрачности и чистоте._x000D_ К минеральным камням в украшениях относятся жемчуг, коралл и прочие. К полудрагоценным – гранат, опал, кварц, топаз… Список можно вести почти бесконечно. Несмотря на то, что украшения с подобными камнями резко отличаются от тех, в которых в качестве вставки используются драгоценные камни, среди них очень много оригинальных украшений, которые можно назвать искусством._x000D_ Пружинная закрепка создает ощущение, что камень вообще никак не держится на украшении, однако сидит он в своем гнезде очень прочно. Она будет идеальна для бриллиантов – с такой закрепкой камень будет играть и переливаться всеми своими гранями._x000D_ Ободковая закрепка не только увеличивает визуально камень, но и крепко охватывает его со всех сторон._x000D_ Канальное крепление используется чаще всего в обручальных кольцах. Камни помещаются внутрь сделанного канала, и их может поместить как несколько, так и расположить по всей окружности кольца._x000D_ Закрепка камней «лапками» - одна из самых распространенных, но людям с активным образом жизни стоит ее избегать. Конечно, она акцентирует все внимание на камне, но при этом является самой непрочной._x000D_ Серебряные украшения не считаются торжественным вариантом изделий, скорее они предназначены для повседневной носки. Исключением является случай, когда украшение сделано известным ювелиром, или само по себе является произведением искусства._x000D_ Если у вас есть гарнитур, никогда не надевайте его сразу весь. Лучше выбрать вариант cерьги-браслет, или ожерелье-кольцо._x000D_</t>
  </si>
  <si>
    <t xml:space="preserve"> Драгоценности - это такая покупка, к которой нужно подходить со всей ответственностью, независимо от того, приобретаете вы их себе или делаете кому-то подарок._x000D_ Ни для кого не секрет, что в крупных магазинах у продавцов существует план продаж на определенные вещи. И именно их предлагают в первую очередь, акцентируя на них все внимание покупателя._x000D_ В первую очередь, следует обратить внимание на металл, из которого изготовлено изделие. Чаще всего в продаже имеются украшения из золота, платины и серебра. А также из тех металлов, что относятся к платиновой группе – палладия, иридия и родия. Чаще всего все металлы помимо золота и серебра используют в драгоценных сплавах, чтобы придать украшению определенный блеск и стойкость._x000D_ На каждом украшении обязательно должна стоять проба. Если ее нет – скорее всего, перед вами подделка. Не исключен вариант, что оно выполнено в частной мастерской, но тогда проще узнать имя мастера и обратиться непосредственно к нему – так выйдет и экономнее, и оригинальнее, ведь в своей мастерской ювелир сможет предложить вам поправить изделие по своему вкусу, и дубликата у него не будет._x000D_ Золото же может быть 999, 958, 750, 585 (самое распространенное сочетание), 500 и 375 пробы. У золотых украшений бывает несколько оттенков – все зависит от примесей других металлов в изделии. Помимо классики, существует золото красного, розового и белого цвета. Есть даже более оригинальные оттенки – зеленый, синий и черный. В последнее время своеобразным «знаком качества» является белое золото, в частности, из-за того, что его почти невозможно поцарапать. Большинство камней измеряется в каратах, 1 карат равен 200 миллиграммам._x000D_ Бриллианты – лучшие друзья девушек. Обручальное кольцо из золота с бриллиантом уже стало просто классикой. Стандартная огранка для бриллианта круглой формы – 57 граней, это крайне важно для его блеска. </t>
  </si>
  <si>
    <t>Коштовності - це така покупка, до якої потрібно підходити з усією відповідальністю, незалежно від того, купуєте ви їх собі або робите комусь подарунок. Ні для кого не секрет, що у великих магазинах у продавців існує план продажів на певні речі. І саме їх пропонують в першу чергу, акцентуючи на них все уваги покупця. В першу чергу, слід звернути увагу на метал, з якого виготовлено виріб. Найчастіше у продажу є прикраси з золота, платини і срібла. А також з тих металів, що відносяться до платинової групи – паладію, іридію і родію. Найчастіше всі метали, крім золота і срібла використовують дорогоцінних сплавах, щоб надати прикрасі певний блиск і стійкість. На кожному прикрасі обов'язково повинна стояти проба. Якщо її немає – швидше за все, перед вами підробка. Не виключений варіант, що воно виконано у приватній майстерні, але тоді простіше дізнатися ім'я майстра і звернутися безпосередньо до нього – так вийде і економніше, і оригінальніше, адже у своїй майстерні ювелір зможе запропонувати вам поправити виріб за своїм смаком, і дубліката у нього не буде. Золото ж може бути 999, 958, 750, 585 (найпоширеніше поєднання), 500 і 375 проби. Біля золотих прикрас буває кілька відтінків – все залежить від домішок інших металів у виробі. Крім класики, існує золото червоного, рожевого і білого кольору. Є навіть більш оригінальні відтінки – зелений, синій і чорний. Останнім часом своєрідним «знаком якості» є біле золото, зокрема, із-за того, що його майже неможливо подряпати. Більшість каменів вимірюється в каратах, 1 карат дорівнює 200 міліграм. Діаманти – кращі друзі дівчат. Обручку з золота з діамантом вже стало просто класикою. Стандартна ограновування для діаманти круглої форми – 57 граней, це вкрай важливо для його блиску.</t>
  </si>
  <si>
    <t xml:space="preserve">Коштовності - це така покупка, до якої потрібно підходити з усією відповідальністю, незалежно від того, купуєте ви їх собі або робите комусь подарунок. Ні для кого не секрет, що у великих магазинах у продавців існує план продажів на певні речі. І саме їх пропонують в першу чергу, акцентуючи на них все уваги покупця. В першу чергу, слід звернути увагу на метал, з якого виготовлено виріб. Найчастіше у продажу є прикраси з золота, платини і срібла. А також з тих металів, що відносяться до платинової групи – паладію, іридію і родію. Найчастіше всі метали, крім золота і срібла використовують дорогоцінних сплавах, щоб надати прикрасі певний блиск і стійкість. На кожному прикрасі обов'язково повинна стояти проба. Якщо її немає – швидше за все, перед вами підробка. Не виключений варіант, що воно виконано у приватній майстерні, але тоді простіше дізнатися ім'я майстра і звернутися безпосередньо до нього – так вийде і економніше, і оригінальніше, адже у своїй майстерні ювелір зможе запропонувати вам поправити виріб за своїм смаком, і дубліката у нього не буде. Золото ж може бути 999, 958, 750, 585 (найпоширеніше поєднання), 500 і 375 проби. Біля золотих прикрас буває кілька відтінків – все залежить від домішок інших металів у виробі. Крім класики, існує золото червоного, рожевого і білого кольору. Є навіть більш оригінальні відтінки – зелений, синій і чорний. Більшість каменів вимірюється в каратах, 1 карат дорівнює 200 міліграм. Діаманти – кращі друзі дівчат. </t>
  </si>
  <si>
    <t>http://fastpost.org/at/blog/kak_pravilno_vybrat_yuvelirnye_izdeliya</t>
  </si>
  <si>
    <t xml:space="preserve"> _x000D_
    _x000D_
LENTA_x000D_
L _x000D_
Здоровье _x000D_
Всё про зубы _x000D_
Здоровье ребенка _x000D_
Здоровье женщины _x000D_
Беременность и материнство _x000D_
Методы лечения _x000D_
Здоровье мужчины _x000D_
Кулинария _x000D_
Диеты и питание _x000D_
Напитки _x000D_
Рецепты _x000D_
Продукты _x000D_
Отдых _x000D_
В мире _x000D_
Культура _x000D_
Баня и сауна _x000D_
Страны _x000D_
Азия _x000D_
Южная Америка _x000D_
Европа _x000D_
Африка _x000D_
Ближний Восток _x000D_
Северная Америка и Карибы _x000D_
Австралия и Океания _x000D_
Психология _x000D_
Работа _x000D_
Секс и Сексология _x000D_
Реальная жизнь _x000D_
Без рубрики _x000D_
Семья _x000D_
Родителям _x000D_
Знакомства и отношения _x000D_
Отдых и досуг с детьми _x000D_
Девочкам и мальчикам _x000D_
Семейный бюджет _x000D_
Интересное _x000D_
Женская история _x000D_
Из дневников _x000D_
Хай-тек _x000D_
Самореализация _x000D_
Транспорт _x000D_
Эзотерика _x000D_
Услуги _x000D_
Видеоклуб _x000D_
Обучение _x000D_
Фотопроект _x000D_
Радиоклуб _x000D_
Красота _x000D_
Уход за телом _x000D_
Одежда и обувь _x000D_
Аксессуары _x000D_
Фитнес _x000D_
Похудение _x000D_
Дом _x000D_
Интерьер _x000D_
Ремонт и стройка _x000D_
Бытовая техника _x000D_
Бытовые вопросы _x000D_
Все для праздника _x000D_
Сад и огород _x000D_
Оборудование и инструменты _x000D_
Покупки _x000D_
Домашние животные _x000D_
Фэн-шуй _x000D_
Сегодня _x000D_
Мнение _x000D_
Россия _x000D_
Гороскопы _x000D_
Ежедневный гороскоп _x000D_
Гороскопы совместимости _x000D_
Гороскоп на неделю _x000D_
Оракул Depils'a на неделю _x000D_
Оракул Depils'a _x000D_
Архив _x000D_
Дом и быт _x000D_
Работа _x000D_
Психология архив _x000D_
Дети и родители архив _x000D_
Здоровье _x000D_
Интересное архив _x000D_
Отношения архив _x000D_
Красота архив _x000D_
Секс _x000D_
Питание и диеты архив _x000D_
Здоровье детей архив _x000D_
Материнство архив _x000D_
Одежда архив _x000D_
Всё для праздника архив _x000D_
  _x000D_
Как правильно выбрать ювелирные изделия_x000D_
Красота, личность и очарование каждой женщины подчеркивается правильно выбранным оригинальным украшением. Ювелирные изделия демонстрируют стиль моды и являются необходимым дополнением к внешнему виду. В настоящее время в моде массивные ювелирные изделия, которые привлекают внимание к внешности и завершают стиль в одежде._x000D_
Люди в течение многих лет стремились отличаться друг от друга хотя бы украшениями. Один из способов заключается в выборе подходящего украшения из огромной массы сережек, браслетов, колец, ожерелий, подвесок и часов._x000D_
Ювелирные изделия ценятся как знак внимания и любви к девушкам и женщинам, которые с радостью принимают подарки и берегут их. Общедоступные материалы, пригодные для современных ювелирных изделий – это в основном золото и серебро, а также хирургическая сталь или вольфрам._x000D_
Ювелирные изделия можно разделить на два сектора в зависимости от их использования. Для повседневной носки лучше выбирать украшения небольшие и не слишком экстравагантные. В особых случаях дарят дорогие ювелирные изделия, большие и наиболее уникальные. Мужчинам и женщинам глубоко верующим, можно понравившееся  в ювелирном магазине, а затем освятить его._x000D_
Если финансовые возможности ограничены, то отличным выбором станут серебряные украшения или ювелирные изделия из популярной хирургической стали, вольфрама. Конечно, наиболее привлекательным подарком по-прежнему являются дорогие и роскошные ювелирные изделия из золота, жемчуга и драгоценных камней. Помните, что в дополнение к серебряным и золотым украшениям отличным модным аксессуаром будут правильно подобранные часы._x000D_
Серьги являются неотъемлемой частью ювелирных аксессуаров, которые дополняют и украшают внешний вид. Серебряные серьги наиболее подчеркивают форму лица, поэтому необходимо следует выбрать лишь те, которые отражают стиль, внешние особенности фигуры, форму и линию лица. Определенную роль играет стрижка или прическа._x000D_
Для овального лица лучше всего подходят мелкие серьги различных форм со слегка закругленной поверхностью. Длинные серьги не стоит носить, они при такой форме лица могут повредить кожу._x000D_
Для круглого лица необходимо создать оптическую иллюзию сужения лица. Это легко сделать с помощью сережек в виде различных геометрических фигур, кроме колец._x000D_
Для треугольного лица подойдут круглые или овальные серьги. Совершенно неуместные для этого типа небольшие и малозаметные серьги._x000D_
Для квадратного лица подходят серьги небольшого размера или круглые, но не геометрической формы. Неплохим выбором станут серьги-подвески, которые смягчают овал лицо._x000D_
При выборе колечка надо внимательно рассмотреть длину руки и пальцев. Кольцо действительно может оптически укоротить короткие пальцы. Поэтому владелец коротких пальцев должен выбирать кольца тонкие и не слишком заметные. Короткие пальцы оптически удлиняются формой камней. Изобилие колец на пальцах вызывает недоумение. Все ювелирные изделия должны быть из одного металла и в одном стиле._x000D_
Золото на все времена_x000D_
_x000D_
Золото уже очень долгое время занимает первое место среди других драгоценных металлов. И вряд ли оно когда-либо выйдет из моды._x000D_
Обладая завораживающими и уникальными свойствами, золото способно наделить обладателя частицей своего очарования и харизмы. Чистое золото, в отличие от других металлов, не тускнеет и не ржавеет, не вступает в химическую реакцию с различными веществами и не окисляется от соприкосновений с кожей._x000D_
Золотые украшения гармонично сочетают в себе индивидуальность, красоту и стиль.Одно из главных достоинств золота состоит в том, что оно обладает повышенной гибкостью и может легко принимать практически любую форму. При создании украшений это имеет колоссальное значение._x000D_
Большое количество цепочек, колец, кулонов, браслетов и серёг, которые красуются на витринах, поражают своим многообразием и изяществом. Украшения из чистого золота обладают повышенной прочностью, благодаря этому их можно носить, не снимая каждый день, не беспокоясь за драгоценное изделие._x000D_
Золотые украшения являются достойным и универсальным подарком. И мужчина, и женщина по достоинству оценят такой «дар». Каждый раз, надевая украшение, обладатель будет вспоминать о вас, с благодарностью и уважением._x000D_
Интересные статьи_x000D_
Идеальная женщина для него по знаку Зодиака _x000D_
Все мужчины хотят видеть возле себя красивую и умную женщину, которая будет хорошей хозяйкой и великолепной любовницей. Однако такие качества сильно обобщены, так как для каждого представителя сильного пола они имеют свое значение… Один считает совершенством, умеющую вкусно готовить, а второй – поддерживающую идеальную чистоту, третий вообще не задумывается о том, должна ли его супруга обладать кулинарными способностями, важнее красота и сексуальность. _x000D_
28.10.2017 _x000D_
Виниловый ламинат и его особенности _x000D_
Однако, помимо привлекательности внешнего вида, от отделку ожидают и не менее фантастического качества, ну или хотя бы просто отличного качества. Именно поэтому, когда начинается процес выбора материала для декорирования, этому процессу необходимо уделять максимальное внимание. _x000D_
28.10.2017 _x000D_
Строим заграждение: выбор нужного материала _x000D_
Чтобы выбор оказался правильным, необходимо знать требования и все параметры, которым должен соответствовать возведённый забор, а также рассчитывать свои финансовые возможности. Если вы хотите максимально изолировать от постороннего звука территорию за ограждением, то следует использовать тот материал, в конструкции которого присутствуют звукоизоляционные детали. _x000D_
28.10.2017 _x000D_
Аскариды у детей — симптомы _x000D_
В этой статье мы поговорим об аскаридозе. Как они туда попадают? Микроскопические личинк</t>
  </si>
  <si>
    <t xml:space="preserve"> Красота, личность и очарование каждой женщины подчеркивается правильно выбранным оригинальным украшением. Ювелирные изделия демонстрируют стиль моды и являются необходимым дополнением к внешнему виду. В настоящее время в моде массивные ювелирные изделия, которые привлекают внимание к внешности и завершают стиль в одежде._x000D_ Люди в течение многих лет стремились отличаться друг от друга хотя бы украшениями. Один из способов заключается в выборе подходящего украшения из огромной массы сережек, браслетов, колец, ожерелий, подвесок и часов._x000D_ Ювелирные изделия ценятся как знак внимания и любви к девушкам и женщинам, которые с радостью принимают подарки и берегут их. Общедоступные материалы, пригодные для современных ювелирных изделий – это в основном золото и серебро, а также хирургическая сталь или вольфрам._x000D_ Ювелирные изделия можно разделить на два сектора в зависимости от их использования. Для повседневной носки лучше выбирать украшения небольшие и не слишком экстравагантные. В особых случаях дарят дорогие ювелирные изделия, большие и наиболее уникальные. Мужчинам и женщинам глубоко верующим, можно понравившееся  в ювелирном магазине, а затем освятить его._x000D_ Если финансовые возможности ограничены, то отличным выбором станут серебряные украшения или ювелирные изделия из популярной хирургической стали, вольфрама. Конечно, наиболее привлекательным подарком по-прежнему являются дорогие и роскошные ювелирные изделия из золота, жемчуга и драгоценных камней. Помните, что в дополнение к серебряным и золотым украшениям отличным модным аксессуаром будут правильно подобранные часы._x000D_ Серьги являются неотъемлемой частью ювелирных аксессуаров, которые дополняют и украшают внешний вид. Серебряные серьги наиболее подчеркивают форму лица, поэтому необходимо следует выбрать лишь те, которые отражают стиль, внешние особенности фигуры, форму и линию лица. Определенную роль играет стрижка или прическа._x000D_ Для овального лица лучше всего подходят мелкие серьги различных форм со слегка закругленной поверхностью. Длинные серьги не стоит носить, они при такой форме лица могут повредить кожу._x000D_ Для круглого лица необходимо создать оптическую иллюзию сужения лица. Это легко сделать с помощью сережек в виде различных геометрических фигур, кроме колец._x000D_ Для треугольного лица подойдут круглые или овальные серьги. Совершенно неуместные для этого типа небольшие и малозаметные серьги._x000D_ Для квадратного лица подходят серьги небольшого размера или круглые, но не геометрической формы. Неплохим выбором станут серьги-подвески, которые смягчают овал лицо._x000D_ При выборе колечка надо внимательно рассмотреть длину руки и пальцев. Кольцо действительно может оптически укоротить короткие пальцы. Поэтому владелец коротких пальцев должен выбирать кольца тонкие и не слишком заметные. Короткие пальцы оптически удлиняются формой камней. Изобилие колец на пальцах вызывает недоумение. Все ювелирные изделия должны быть из одного металла и в одном стиле._x000D_ Золото уже очень долгое время занимает первое место среди других драгоценных металлов. И вряд ли оно когда-либо выйдет из моды._x000D_ Обладая завораживающими и уникальными свойствами, золото способно наделить обладателя частицей своего очарования и харизмы. Чистое золото, в отличие от других металлов, не тускнеет и не ржавеет, не вступает в химическую реакцию с различными веществами и не окисляется от соприкосновений с кожей._x000D_ Золотые украшения гармонично сочетают в себе индивидуальность, красоту и стиль.Одно из главных достоинств золота состоит в том, что оно обладает повышенной гибкостью и может легко принимать практически любую форму. При создании украшений это имеет колоссальное значение._x000D_ Большое количество цепочек, колец, кулонов, браслетов и серёг, которые красуются на витринах, поражают своим многообразием и изяществом. Украшения из чистого золота обладают повышенной прочностью, благодаря этому их можно носить, не снимая каждый день, не беспокоясь за драгоценное изделие._x000D_ Золотые украшения являются достойным и универсальным подарком. И мужчина, и женщина по достоинству оценят такой «дар». Каждый раз, надевая украшение, обладатель будет вспоминать о вас, с благодарностью и уважением._x000D_</t>
  </si>
  <si>
    <t xml:space="preserve"> Красота, личность и очарование каждой женщины подчеркивается правильно выбранным оригинальным украшением. Ювелирные изделия демонстрируют стиль моды и являются необходимым дополнением к внешнему виду. В настоящее время в моде массивные ювелирные изделия, которые привлекают внимание к внешности и завершают стиль в одежде._x000D_ Люди в течение многих лет стремились отличаться друг от друга хотя бы украшениями. Один из способов заключается в выборе подходящего украшения из огромной массы сережек, браслетов, колец, ожерелий, подвесок и часов._x000D_ Ювелирные изделия ценятся как знак внимания и любви к девушкам и женщинам, которые с радостью принимают подарки и берегут их. Общедоступные материалы, пригодные для современных ювелирных изделий – это в основном золото и серебро, а также хирургическая сталь или вольфрам._x000D_ Ювелирные изделия можно разделить на два сектора в зависимости от их использования. Для повседневной носки лучше выбирать украшения небольшие и не слишком экстравагантные. В особых случаях дарят дорогие ювелирные изделия, большие и наиболее уникальные. Мужчинам и женщинам глубоко верующим, можно понравившееся  в ювелирном магазине, а затем освятить его._x000D_ Если финансовые возможности ограничены, то отличным выбором станут серебряные украшения или ювелирные изделия из популярной хирургической стали, вольфрама. Конечно, наиболее привлекательным подарком по-прежнему являются дорогие и роскошные ювелирные изделия из золота, жемчуга и драгоценных камней. Помните, что в дополнение к серебряным и золотым украшениям отличным модным аксессуаром будут правильно подобранные часы._x000D_ Серьги являются неотъемлемой частью ювелирных аксессуаров, которые дополняют и украшают внешний вид. Определенную роль играет стрижка или прическа._x000D_ Для овального лица лучше всего подходят мелкие серьги различных форм со слегка закругленной поверхностью. </t>
  </si>
  <si>
    <t xml:space="preserve">Краса, особистість і чарівність кожної жінки підкреслюється правильно обраним оригінальною прикрасою. Ювелірні вироби демонструють стиль моди і є необхідним доповненням до зовнішнього вигляду. В даний час в моді масивні ювелірні вироби, які привертають увагу до зовнішності і завершують стиль в одязі. Люди протягом багатьох років прагнули відрізнятись один від одного хоча б прикрасами. Один із способів полягає у виборі відповідного прикраси з величезної маси сережок, браслетів, перснів, намист, підвісок і годин. Ювелірні вироби цінуються як знак уваги і любові до дівчатам і жінкам, які з радістю приймають подарунки і бережуть їх. Загальнодоступні матеріали, придатні для сучасних ювелірних виробів – це в основному золото і срібло, а також хірургічна сталь або вольфрам. Ювелірні вироби можна поділити на два сектори в залежності від їх використання. Для повсякденної шкарпетки краще вибирати прикраси невеликі і не дуже екстравагантні. В особливих випадках дарують дорогі ювелірні вироби, великі і найбільш унікальні. Чоловікам і жінкам глибоко віруючим, можна вподобане в ювелірному магазині, а потім освятити його. Якщо фінансові можливості обмежені, то відмінним вибором стануть срібні прикраси чи ювелірні вироби з популярної хірургічної сталі, вольфраму. Звичайно, найбільш привабливим подарунком, як і раніше, є дорогі і розкішні ювелірні вироби із золота, перлів та дорогоцінних каменів. Певну роль відіграє стрижка або зачіска. </t>
  </si>
  <si>
    <t>Як правильно вибрати ювелірні вироби.</t>
  </si>
  <si>
    <t>[caption id="" align="aligncenter" width="350"]&lt;img src="http://nevpopad.ru/sites/default/files/imagecache/635x300/ukrasenie.png" alt="" width="350" height="300" /&gt; Як правильно вибрати ювелірні вироби.[/caption]    Краса, особистість і чарівність кожної жінки підкреслюється правильно обраним оригінальною прикрасою. Ювелірні вироби демонструють стиль моди і є необхідним доповненням до зовнішнього вигляду. В даний час в моді масивні ювелірні вироби, які привертають увагу до зовнішності і завершують стиль в одязі. Люди протягом багатьох років прагнули відрізнятись один від одного хоча б прикрасами. Один із способів полягає у виборі відповідного прикраси з величезної маси сережок, браслетів, перснів, намист, підвісок і годин. Ювелірні вироби цінуються як знак уваги і любові до дівчатам і жінкам, які з радістю приймають подарунки і бережуть їх. Також ви можете знайти все необхідне на ресурсі &lt;a href="https://btq-tv.com/ru/" title="ювелирные изделия"&gt;ювелирные изделия&lt;/a&gt;._x000D_
    Загальнодоступні матеріали, придатні для сучасних ювелірних виробів – це в основному золото і срібло, а також хірургічна сталь або вольфрам. Ювелірні вироби можна поділити на два сектори в залежності від їх використання. Для повсякденної шкарпетки краще вибирати прикраси невеликі і не дуже екстравагантні. В особливих випадках дарують дорогі ювелірні вироби, великі і найбільш унікальні. Чоловікам і жінкам глибоко віруючим, можна вподобане в ювелірному магазині, а потім освятити його. Якщо фінансові можливості обмежені, то відмінним вибором стануть срібні прикраси чи ювелірні вироби з популярної хірургічної сталі, вольфраму. _x000D_
     Звичайно, найбільш привабливим подарунком, як і раніше, є дорогі і розкішні ювелірні вироби із золота, перлів та дорогоцінних каменів. Пам'ятайте, що на додаток до срібним і золотим прикрасам відмінним модним аксесуаром будуть правильно підібрані годинник. Сережки є невід'ємною частиною ювелірних аксесуарів, які доповнюють і прикрашають зовнішній вигляд. Певну роль відіграє стрижка або зачіска. Для овального обличчя краще всього підходять дрібні сережки різних форм зі злегка закругленою поверхнею.</t>
  </si>
  <si>
    <t>http://hdtv.net.ua/yak-pidibrati-restoran/</t>
  </si>
  <si>
    <t>http://ve4e.com.ua/yak-narodzhuyutsya-innovatsijni-ideyi/</t>
  </si>
  <si>
    <t>http://druzhba-lux.com.ua/etapy-rozvytku-radio/</t>
  </si>
  <si>
    <t>http://ypag.com.ua/z-chogo-pochati-remont-kvartiri/</t>
  </si>
  <si>
    <t>http://cugp.com.ua/z-chogo-pochati-remont-kvartiri/</t>
  </si>
  <si>
    <t>http://rielt.in.ua/z-chogo-pochaty-remont-kvartyry/</t>
  </si>
  <si>
    <t>http://avtocentr.sumy.ua/yak-doglyadaty-za-galmamy-v-avtomobili/</t>
  </si>
  <si>
    <t>http://it-shop.donetsk.ua/etapy-rozvytku-radio/</t>
  </si>
  <si>
    <t>одессе</t>
  </si>
  <si>
    <t>новосибирске</t>
  </si>
  <si>
    <t>самаре</t>
  </si>
  <si>
    <t>https://amidi.com.ua/yak-pravilno-vibrati-yuvelirni-virobi/</t>
  </si>
  <si>
    <t>OK</t>
  </si>
  <si>
    <t>Нужен прессрелиз.</t>
  </si>
  <si>
    <t>Ссылку вставить в первом абзаце.							
Добавить одно-три изображение с заполненым тегом alt.							
Объем текста, знаков (без пробелов): от 2000 тыс знаков							
Обязательные требования:							
Не писать от 1 лица.							
Текст должен быть полезным и удобочитаемым для пользователя.							
Должен присутствовать заголовок H1: Батареи от Xiaomi - как выбрать подходящую
Технические требования к тексту:							
- Статья на русском языке;							
- Уникальность: от 95% по Advego Plagiatus;							
- Вода: не более 60%
Проверяется наличие ссылки: https://fishki.ua/portativnye-batarei/brend-is-xiaomi/tsvet-is-belyy/
с текстом (анкором): https://fishki.ua/portativnye-batarei/brend-is-xiaomi/tsvet-is-belyy/
Длина поста: до 1 500</t>
  </si>
  <si>
    <t>2018-01-19T14:12:07</t>
  </si>
  <si>
    <t>2018-01-19T15:19:40</t>
  </si>
  <si>
    <t>2018-01-26T15:19:40</t>
  </si>
  <si>
    <t>&lt;a href="https://promebli.ua" title="мебель сокме"&gt;мебель сокме&lt;/a&gt;</t>
  </si>
  <si>
    <t>Постовой должен быть окружен тематическим текстом
Постовой должен быть в новой статье</t>
  </si>
  <si>
    <t>2018-01-19T15:15:39</t>
  </si>
  <si>
    <t>2018-01-19T15:20:42</t>
  </si>
  <si>
    <t>2018-01-26T15:20:42</t>
  </si>
  <si>
    <t>https://promebli.ua</t>
  </si>
  <si>
    <t>&lt;a href="https://promebli.ua" title="каталог мебели от украинских производителей"&gt;каталог мебели от украинских производителей&lt;/a&gt;</t>
  </si>
  <si>
    <t>2018-01-19T15:15:38</t>
  </si>
  <si>
    <t>2018-01-19T15:20:45</t>
  </si>
  <si>
    <t>2018-01-26T15:20:45</t>
  </si>
  <si>
    <t>&lt;a href="https://promebli.ua" title="https://promebli.ua"&gt;https://promebli.ua&lt;/a&gt;</t>
  </si>
  <si>
    <t>2018-01-19T15:20:48</t>
  </si>
  <si>
    <t>2018-01-26T15:20:48</t>
  </si>
  <si>
    <t>&lt;a href="https://promebli.ua" title="мебель gerbor"&gt;мебель gerbor&lt;/a&gt;</t>
  </si>
  <si>
    <t>2018-01-19T15:29:09</t>
  </si>
  <si>
    <t>2018-01-26T15:29:09</t>
  </si>
  <si>
    <t>&lt;a href="https://promebli.ua" title="украинская мебель"&gt;украинская мебель&lt;/a&gt;</t>
  </si>
  <si>
    <t>2018-01-19T15:29:12</t>
  </si>
  <si>
    <t>2018-01-26T15:29:12</t>
  </si>
  <si>
    <t>&lt;a href="https://promebli.ua/mebeldlyavannoy.html" title="мвк мебель для ванных комнат"&gt;мвк мебель для ванных комнат&lt;/a&gt;</t>
  </si>
  <si>
    <t>2018-01-19T15:15:40</t>
  </si>
  <si>
    <t>2018-01-19T16:14:06</t>
  </si>
  <si>
    <t>2018-01-26T16:14:06</t>
  </si>
  <si>
    <t>https://promebli.ua/mebeldlyavannoy.html</t>
  </si>
  <si>
    <t>&lt;a href="https://promebli.ua/mebeldlyavannoy.html" title="https://promebli.ua/mebeldlyavannoy.html"&gt;https://promebli.ua/mebeldlyavannoy.html&lt;/a&gt;</t>
  </si>
  <si>
    <t>&lt;a href="https://promebli.ua" title="promebli.ua"&gt;promebli.ua&lt;/a&gt;</t>
  </si>
  <si>
    <t>http://srbu.ru/images/stroitelnye-raboty/s-chego-nachat-remont-kvartiry/s-chego-nachat-remont-kvartiry.jpg</t>
  </si>
  <si>
    <t>http://3-tickets.ru/wp-content/uploads/2014/10/x_478055e7.jpg</t>
  </si>
  <si>
    <t>Мебель. Интернет-магазин мебели. Купить мебель в Киеве, Днепропетровске недорого - ProMebli™</t>
  </si>
  <si>
    <t>мебель, интернет-магазин мебели, купить мебель, магазин мебели, мебель в Киеве, продажа мебели, купить мебель в Киеве, каталог мебели, купить мебель в интернет-магазине</t>
  </si>
  <si>
    <t>http://www.krasiviy-dom.ru/images/newspost_images/gost_11.jpg</t>
  </si>
  <si>
    <t>https://img.mebelok.com/image/data/embawood/Frida/embawood-frida-vitrina-02.jpg</t>
  </si>
  <si>
    <t>http://kayrosblog.ru/wp-content/uploads/2016/01/Kak-pravilno-vybrat-mebel-dlya-doma.jpg</t>
  </si>
  <si>
    <t>Мебель для ванной комнаты | Купить мебель в ванную в Киеве, Днепре - ProMebli™</t>
  </si>
  <si>
    <t>мебель для ванной комнаты, мебель в ванную комнату, купить мебель для ванной комнаты, мебель для ванной комнаты интернет магазин, купить мебель в ванную</t>
  </si>
  <si>
    <t>https://www.initial.com.ua/1322226694-soft-corner-3nd-w-s-1.jpg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</si>
</sst>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b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i/>
      <sz val="14"/>
      <color theme="1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sz val="14"/>
      <color rgb="FF000000"/>
      <name val="Calibri"/>
      <family val="2"/>
      <charset val="204"/>
    </font>
    <font>
      <b/>
      <sz val="12"/>
      <color theme="1"/>
      <name val="Calibri"/>
      <family val="2"/>
      <charset val="204"/>
      <scheme val="minor"/>
    </font>
    <font>
      <sz val="11"/>
      <color theme="1"/>
      <name val="Bodoni MT"/>
      <family val="1"/>
    </font>
    <font>
      <sz val="11"/>
      <color theme="1"/>
      <name val="Calibri"/>
      <family val="2"/>
      <charset val="204"/>
    </font>
  </fonts>
  <fills count="1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F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61">
    <xf numFmtId="0" fontId="0" fillId="0" borderId="0" xfId="0"/>
    <xf numFmtId="0" fontId="0" fillId="0" borderId="0" xfId="0" applyAlignment="1">
      <alignment horizontal="left"/>
    </xf>
    <xf numFmtId="0" fontId="3" fillId="0" borderId="0" xfId="0" applyFont="1"/>
    <xf numFmtId="0" fontId="0" fillId="0" borderId="0" xfId="0" applyFont="1"/>
    <xf numFmtId="0" fontId="0" fillId="0" borderId="5" xfId="0" applyBorder="1"/>
    <xf numFmtId="0" fontId="0" fillId="0" borderId="0" xfId="0" applyBorder="1"/>
    <xf numFmtId="0" fontId="0" fillId="0" borderId="0" xfId="0" applyFill="1" applyBorder="1"/>
    <xf numFmtId="0" fontId="0" fillId="0" borderId="3" xfId="0" applyBorder="1" applyAlignment="1">
      <alignment horizontal="center"/>
    </xf>
    <xf numFmtId="0" fontId="2" fillId="6" borderId="2" xfId="0" applyFont="1" applyFill="1" applyBorder="1" applyAlignment="1">
      <alignment horizontal="center" vertical="center" wrapText="1"/>
    </xf>
    <xf numFmtId="0" fontId="0" fillId="14" borderId="6" xfId="0" applyFill="1" applyBorder="1"/>
    <xf numFmtId="0" fontId="0" fillId="6" borderId="4" xfId="0" applyFill="1" applyBorder="1"/>
    <xf numFmtId="0" fontId="0" fillId="0" borderId="7" xfId="0" applyBorder="1" applyAlignment="1">
      <alignment horizontal="center"/>
    </xf>
    <xf numFmtId="0" fontId="2" fillId="13" borderId="2" xfId="0" applyFont="1" applyFill="1" applyBorder="1" applyAlignment="1">
      <alignment horizontal="center" vertical="center"/>
    </xf>
    <xf numFmtId="0" fontId="0" fillId="7" borderId="0" xfId="0" applyFill="1" applyAlignment="1">
      <alignment vertical="center"/>
    </xf>
    <xf numFmtId="0" fontId="2" fillId="3" borderId="2" xfId="0" applyFont="1" applyFill="1" applyBorder="1" applyAlignment="1">
      <alignment vertical="center"/>
    </xf>
    <xf numFmtId="0" fontId="0" fillId="6" borderId="0" xfId="0" applyFill="1" applyAlignment="1">
      <alignment vertical="center"/>
    </xf>
    <xf numFmtId="0" fontId="0" fillId="10" borderId="0" xfId="0" applyFill="1" applyAlignment="1">
      <alignment vertical="center"/>
    </xf>
    <xf numFmtId="0" fontId="0" fillId="0" borderId="0" xfId="0" applyAlignment="1">
      <alignment vertical="center"/>
    </xf>
    <xf numFmtId="0" fontId="0" fillId="8" borderId="0" xfId="0" applyFill="1" applyAlignment="1">
      <alignment vertical="center"/>
    </xf>
    <xf numFmtId="0" fontId="0" fillId="11" borderId="0" xfId="0" applyFill="1" applyAlignment="1">
      <alignment vertical="center"/>
    </xf>
    <xf numFmtId="0" fontId="0" fillId="9" borderId="0" xfId="0" applyFill="1" applyBorder="1" applyAlignment="1">
      <alignment vertical="center"/>
    </xf>
    <xf numFmtId="0" fontId="2" fillId="15" borderId="2" xfId="0" applyFont="1" applyFill="1" applyBorder="1" applyAlignment="1">
      <alignment vertical="center"/>
    </xf>
    <xf numFmtId="0" fontId="5" fillId="4" borderId="1" xfId="0" applyFont="1" applyFill="1" applyBorder="1" applyAlignment="1">
      <alignment vertical="center"/>
    </xf>
    <xf numFmtId="0" fontId="5" fillId="3" borderId="1" xfId="0" applyFont="1" applyFill="1" applyBorder="1" applyAlignment="1">
      <alignment vertical="center"/>
    </xf>
    <xf numFmtId="0" fontId="2" fillId="0" borderId="1" xfId="0" applyFont="1" applyFill="1" applyBorder="1" applyAlignment="1">
      <alignment horizontal="center" vertical="center"/>
    </xf>
    <xf numFmtId="0" fontId="2" fillId="5" borderId="2" xfId="0" applyFont="1" applyFill="1" applyBorder="1" applyAlignment="1">
      <alignment horizontal="center" vertical="center"/>
    </xf>
    <xf numFmtId="0" fontId="2" fillId="12" borderId="2" xfId="0" applyFont="1" applyFill="1" applyBorder="1" applyAlignment="1">
      <alignment vertical="center"/>
    </xf>
    <xf numFmtId="0" fontId="3" fillId="0" borderId="0" xfId="0" applyFont="1" applyAlignment="1">
      <alignment wrapText="1"/>
    </xf>
    <xf numFmtId="0" fontId="0" fillId="2" borderId="1" xfId="0" applyFill="1" applyBorder="1" applyAlignment="1">
      <alignment horizontal="center" vertical="center"/>
    </xf>
    <xf numFmtId="0" fontId="0" fillId="16" borderId="1" xfId="0" applyFill="1" applyBorder="1" applyAlignment="1">
      <alignment horizontal="center" vertical="center"/>
    </xf>
    <xf numFmtId="0" fontId="0" fillId="17" borderId="1" xfId="0" applyFill="1" applyBorder="1" applyAlignment="1">
      <alignment horizontal="center" vertical="center"/>
    </xf>
    <xf numFmtId="0" fontId="0" fillId="5" borderId="1" xfId="0" applyFont="1" applyFill="1" applyBorder="1"/>
    <xf numFmtId="0" fontId="0" fillId="0" borderId="0" xfId="0" applyFont="1" applyFill="1" applyBorder="1"/>
    <xf numFmtId="0" fontId="0" fillId="17" borderId="2" xfId="0" applyFill="1" applyBorder="1" applyAlignment="1">
      <alignment horizontal="center" vertical="center" wrapText="1"/>
    </xf>
    <xf numFmtId="0" fontId="0" fillId="0" borderId="0" xfId="0" applyFill="1"/>
    <xf numFmtId="0" fontId="9" fillId="6" borderId="1" xfId="0" applyFon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14" fontId="0" fillId="7" borderId="4" xfId="0" applyNumberForma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0" xfId="0"/>
    <xf numFmtId="14" fontId="3" fillId="0" borderId="0" xfId="0" applyNumberFormat="1" applyFont="1"/>
    <xf numFmtId="22" fontId="3" fillId="0" borderId="0" xfId="0" applyNumberFormat="1" applyFont="1"/>
    <xf numFmtId="0" fontId="0" fillId="7" borderId="1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left" vertical="center"/>
    </xf>
    <xf numFmtId="0" fontId="2" fillId="0" borderId="1" xfId="0" applyFont="1" applyBorder="1"/>
    <xf numFmtId="0" fontId="0" fillId="0" borderId="1" xfId="0" applyBorder="1"/>
    <xf numFmtId="0" fontId="0" fillId="0" borderId="12" xfId="0" applyFill="1" applyBorder="1"/>
    <xf numFmtId="0" fontId="3" fillId="0" borderId="0" xfId="0" applyFont="1" applyAlignment="1">
      <alignment horizontal="left"/>
    </xf>
    <xf numFmtId="22" fontId="0" fillId="0" borderId="0" xfId="0" applyNumberFormat="1"/>
    <xf numFmtId="0" fontId="0" fillId="18" borderId="0" xfId="0" applyFill="1"/>
    <xf numFmtId="0" fontId="0" fillId="0" borderId="0" xfId="0" applyFont="1" applyFill="1" applyBorder="1" applyAlignment="1"/>
    <xf numFmtId="0" fontId="8" fillId="0" borderId="13" xfId="0" applyFont="1" applyBorder="1" applyAlignment="1">
      <alignment horizontal="center" vertical="center"/>
    </xf>
    <xf numFmtId="0" fontId="8" fillId="0" borderId="14" xfId="0" applyFont="1" applyBorder="1" applyAlignment="1">
      <alignment horizontal="center" vertical="center"/>
    </xf>
    <xf numFmtId="0" fontId="8" fillId="0" borderId="15" xfId="0" applyFont="1" applyBorder="1" applyAlignment="1">
      <alignment horizontal="center" vertical="center"/>
    </xf>
    <xf numFmtId="0" fontId="0" fillId="5" borderId="9" xfId="0" applyFont="1" applyFill="1" applyBorder="1"/>
    <xf numFmtId="0" fontId="0" fillId="5" borderId="10" xfId="0" applyFont="1" applyFill="1" applyBorder="1"/>
    <xf numFmtId="0" fontId="0" fillId="5" borderId="11" xfId="0" applyFont="1" applyFill="1" applyBorder="1"/>
    <xf numFmtId="0" fontId="3" fillId="2" borderId="16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Result">
        <xsd:complexType>
          <xsd:sequence minOccurs="0">
            <xsd:element minOccurs="0" nillable="true" type="xsd:boolean" name="Success" form="unqualified"/>
            <xsd:element minOccurs="0" nillable="true" name="Tasks" form="unqualified">
              <xsd:complexType>
                <xsd:sequence minOccurs="0">
                  <xsd:element minOccurs="0" maxOccurs="unbounded" nillable="true" name="Task" form="unqualified">
                    <xsd:complexType>
                      <xsd:sequence minOccurs="0">
                        <xsd:element minOccurs="0" nillable="true" type="xsd:integer" name="Id" form="unqualified"/>
                        <xsd:element minOccurs="0" nillable="true" type="xsd:string" name="Type" form="unqualified"/>
                        <xsd:element minOccurs="0" nillable="true" type="xsd:string" name="Text" form="unqualified"/>
                        <xsd:element minOccurs="0" nillable="true" type="xsd:string" name="Comment" form="unqualified"/>
                        <xsd:element minOccurs="0" nillable="true" type="xsd:string" name="Site" form="unqualified"/>
                        <xsd:element minOccurs="0" nillable="true" type="xsd:string" name="CheckUrl" form="unqualified"/>
                        <xsd:element minOccurs="0" nillable="true" type="xsd:double" name="Price" form="unqualified"/>
                        <xsd:element minOccurs="0" nillable="true" type="xsd:dateTime" name="CreateDate" form="unqualified"/>
                        <xsd:element minOccurs="0" nillable="true" type="xsd:dateTime" name="TakenDate" form="unqualified"/>
                        <xsd:element minOccurs="0" nillable="true" type="xsd:string" name="CompletedDate" form="unqualified"/>
                        <xsd:element minOccurs="0" nillable="true" type="xsd:string" name="ApprovedDate" form="unqualified"/>
                        <xsd:element minOccurs="0" nillable="true" type="xsd:string" name="RejectedDate" form="unqualified"/>
                        <xsd:element minOccurs="0" nillable="true" type="xsd:integer" name="ReturnCount" form="unqualified"/>
                        <xsd:element minOccurs="0" nillable="true" type="xsd:integer" name="ModificationPrice" form="unqualified"/>
                        <xsd:element minOccurs="0" nillable="true" type="xsd:dateTime" name="AutoActionTime" form="unqualified"/>
                        <xsd:element minOccurs="0" nillable="true" type="xsd:boolean" name="NofollowRequired" form="unqualified"/>
                        <xsd:element minOccurs="0" nillable="true" type="xsd:string" name="Error" form="unqualified"/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Map ID="1" Name="Result_карта" RootElement="Result" SchemaID="Schema1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xmlMaps" Target="xmlMaps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1196340</xdr:colOff>
          <xdr:row>0</xdr:row>
          <xdr:rowOff>15240</xdr:rowOff>
        </xdr:from>
        <xdr:to>
          <xdr:col>3</xdr:col>
          <xdr:colOff>2651760</xdr:colOff>
          <xdr:row>1</xdr:row>
          <xdr:rowOff>38100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Авторизация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2065020</xdr:colOff>
          <xdr:row>3</xdr:row>
          <xdr:rowOff>83820</xdr:rowOff>
        </xdr:from>
        <xdr:to>
          <xdr:col>3</xdr:col>
          <xdr:colOff>1013460</xdr:colOff>
          <xdr:row>4</xdr:row>
          <xdr:rowOff>106680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Выгрузить заявки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0</xdr:row>
          <xdr:rowOff>68580</xdr:rowOff>
        </xdr:from>
        <xdr:to>
          <xdr:col>2</xdr:col>
          <xdr:colOff>1943100</xdr:colOff>
          <xdr:row>1</xdr:row>
          <xdr:rowOff>76200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форму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0</xdr:row>
          <xdr:rowOff>0</xdr:rowOff>
        </xdr:from>
        <xdr:to>
          <xdr:col>7</xdr:col>
          <xdr:colOff>76200</xdr:colOff>
          <xdr:row>0</xdr:row>
          <xdr:rowOff>342900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Найти данные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121920</xdr:colOff>
          <xdr:row>0</xdr:row>
          <xdr:rowOff>0</xdr:rowOff>
        </xdr:from>
        <xdr:to>
          <xdr:col>15</xdr:col>
          <xdr:colOff>716280</xdr:colOff>
          <xdr:row>0</xdr:row>
          <xdr:rowOff>342900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1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Закрыть заявки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60960</xdr:colOff>
          <xdr:row>0</xdr:row>
          <xdr:rowOff>7620</xdr:rowOff>
        </xdr:from>
        <xdr:to>
          <xdr:col>10</xdr:col>
          <xdr:colOff>228600</xdr:colOff>
          <xdr:row>1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4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Закрыть заявки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A1:S36"/>
  <sheetViews>
    <sheetView tabSelected="1" zoomScale="80" zoomScaleNormal="80" workbookViewId="0">
      <selection activeCell="C12" sqref="C12"/>
    </sheetView>
  </sheetViews>
  <sheetFormatPr defaultColWidth="40.6640625" defaultRowHeight="14.4" x14ac:dyDescent="0.3"/>
  <cols>
    <col min="1" max="1" width="17.6640625" style="2" bestFit="1" customWidth="1"/>
    <col min="2" max="18" width="38.88671875" style="2" customWidth="1"/>
    <col min="19" max="16384" width="40.6640625" style="2"/>
  </cols>
  <sheetData>
    <row r="1" spans="1:19" ht="16.5" customHeight="1" thickBot="1" x14ac:dyDescent="0.35">
      <c r="A1" s="57" t="str">
        <f xml:space="preserve"> "Авторизация"</f>
        <v>Авторизация</v>
      </c>
      <c r="B1" s="58"/>
      <c r="C1" s="39"/>
      <c r="D1" s="39"/>
      <c r="E1" s="42" t="s">
        <v>54</v>
      </c>
      <c r="F1" s="42" t="s">
        <v>43</v>
      </c>
    </row>
    <row r="2" spans="1:19" ht="15.6" x14ac:dyDescent="0.3">
      <c r="A2" s="54" t="s">
        <v>507</v>
      </c>
      <c r="B2" s="51" t="s">
        <v>509</v>
      </c>
      <c r="C2" s="39"/>
      <c r="D2" s="39"/>
      <c r="E2" s="44" t="s">
        <v>516</v>
      </c>
      <c r="F2" s="43" t="s">
        <v>508</v>
      </c>
    </row>
    <row r="3" spans="1:19" x14ac:dyDescent="0.3">
      <c r="A3" s="55" t="s">
        <v>508</v>
      </c>
      <c r="B3" s="52" t="s">
        <v>510</v>
      </c>
      <c r="C3" s="39"/>
      <c r="D3" s="39"/>
      <c r="E3" s="39"/>
      <c r="F3" s="39"/>
    </row>
    <row r="4" spans="1:19" x14ac:dyDescent="0.3">
      <c r="A4" s="55" t="s">
        <v>430</v>
      </c>
      <c r="B4" s="52" t="s">
        <v>511</v>
      </c>
      <c r="C4" s="40"/>
      <c r="D4" s="39"/>
      <c r="E4" s="39"/>
      <c r="F4" s="39"/>
    </row>
    <row r="5" spans="1:19" ht="15" thickBot="1" x14ac:dyDescent="0.35">
      <c r="A5" s="56" t="s">
        <v>441</v>
      </c>
      <c r="B5" s="53" t="s">
        <v>494</v>
      </c>
      <c r="C5" s="41"/>
      <c r="D5" s="39"/>
      <c r="E5" s="39"/>
      <c r="F5" s="39"/>
    </row>
    <row r="6" spans="1:19" x14ac:dyDescent="0.3">
      <c r="E6" s="39"/>
    </row>
    <row r="7" spans="1:19" x14ac:dyDescent="0.3">
      <c r="A7" s="2" t="s">
        <v>5</v>
      </c>
      <c r="B7" s="1">
        <v>28580968</v>
      </c>
      <c r="C7" s="1">
        <v>28576070</v>
      </c>
      <c r="D7" s="1">
        <v>28574239</v>
      </c>
      <c r="E7" s="1">
        <v>28582610</v>
      </c>
      <c r="F7" s="1">
        <v>28582650</v>
      </c>
      <c r="G7" s="1">
        <v>28582642</v>
      </c>
      <c r="H7" s="1">
        <v>28582652</v>
      </c>
      <c r="I7" s="1">
        <v>28582643</v>
      </c>
      <c r="J7" s="1">
        <v>28582649</v>
      </c>
      <c r="K7" s="1">
        <v>28582653</v>
      </c>
      <c r="L7" s="1">
        <v>28582646</v>
      </c>
      <c r="M7" s="1">
        <v>28582651</v>
      </c>
      <c r="N7"/>
      <c r="O7"/>
      <c r="P7"/>
      <c r="Q7"/>
      <c r="R7"/>
      <c r="S7"/>
    </row>
    <row r="8" spans="1:19" x14ac:dyDescent="0.3">
      <c r="A8" s="2" t="s">
        <v>6</v>
      </c>
      <c r="B8" s="1" t="s">
        <v>512</v>
      </c>
      <c r="C8" s="1" t="s">
        <v>512</v>
      </c>
      <c r="D8" s="1" t="s">
        <v>530</v>
      </c>
      <c r="E8" s="1" t="s">
        <v>530</v>
      </c>
      <c r="F8" s="1" t="s">
        <v>512</v>
      </c>
      <c r="G8" s="1" t="s">
        <v>512</v>
      </c>
      <c r="H8" s="1" t="s">
        <v>512</v>
      </c>
      <c r="I8" s="1" t="s">
        <v>512</v>
      </c>
      <c r="J8" s="1" t="s">
        <v>512</v>
      </c>
      <c r="K8" s="1" t="s">
        <v>512</v>
      </c>
      <c r="L8" s="1" t="s">
        <v>512</v>
      </c>
      <c r="M8" s="1" t="s">
        <v>512</v>
      </c>
      <c r="N8"/>
      <c r="O8"/>
      <c r="P8"/>
      <c r="Q8"/>
      <c r="R8"/>
      <c r="S8"/>
    </row>
    <row r="9" spans="1:19" x14ac:dyDescent="0.3">
      <c r="A9" s="2" t="s">
        <v>7</v>
      </c>
      <c r="B9" s="1" t="s">
        <v>519</v>
      </c>
      <c r="C9" s="1" t="s">
        <v>523</v>
      </c>
      <c r="D9" s="1" t="s">
        <v>531</v>
      </c>
      <c r="E9" s="1" t="s">
        <v>582</v>
      </c>
      <c r="F9" s="1" t="s">
        <v>586</v>
      </c>
      <c r="G9" s="1" t="s">
        <v>592</v>
      </c>
      <c r="H9" s="1" t="s">
        <v>596</v>
      </c>
      <c r="I9" s="1" t="s">
        <v>599</v>
      </c>
      <c r="J9" s="1" t="s">
        <v>602</v>
      </c>
      <c r="K9" s="1" t="s">
        <v>605</v>
      </c>
      <c r="L9" s="1" t="s">
        <v>610</v>
      </c>
      <c r="M9" s="1" t="s">
        <v>611</v>
      </c>
      <c r="N9"/>
      <c r="O9"/>
      <c r="P9"/>
      <c r="Q9"/>
      <c r="R9"/>
      <c r="S9"/>
    </row>
    <row r="10" spans="1:19" x14ac:dyDescent="0.3">
      <c r="A10" s="2" t="s">
        <v>8</v>
      </c>
      <c r="B10" s="1" t="s">
        <v>517</v>
      </c>
      <c r="C10" s="1" t="s">
        <v>524</v>
      </c>
      <c r="D10" s="1"/>
      <c r="E10" s="1"/>
      <c r="F10" s="1" t="s">
        <v>587</v>
      </c>
      <c r="G10" s="1" t="s">
        <v>587</v>
      </c>
      <c r="H10" s="1" t="s">
        <v>587</v>
      </c>
      <c r="I10" s="1" t="s">
        <v>587</v>
      </c>
      <c r="J10" s="1" t="s">
        <v>587</v>
      </c>
      <c r="K10" s="1" t="s">
        <v>587</v>
      </c>
      <c r="L10" s="1" t="s">
        <v>587</v>
      </c>
      <c r="M10" s="1" t="s">
        <v>587</v>
      </c>
      <c r="N10"/>
      <c r="O10"/>
      <c r="P10"/>
      <c r="Q10"/>
      <c r="R10"/>
      <c r="S10"/>
    </row>
    <row r="11" spans="1:19" x14ac:dyDescent="0.3">
      <c r="A11" s="2" t="s">
        <v>9</v>
      </c>
      <c r="B11" s="1" t="s">
        <v>141</v>
      </c>
      <c r="C11" s="1" t="s">
        <v>194</v>
      </c>
      <c r="D11" s="1" t="s">
        <v>141</v>
      </c>
      <c r="E11" s="1" t="s">
        <v>214</v>
      </c>
      <c r="F11" s="1" t="s">
        <v>219</v>
      </c>
      <c r="G11" s="1" t="s">
        <v>142</v>
      </c>
      <c r="H11" s="1" t="s">
        <v>416</v>
      </c>
      <c r="I11" s="1" t="s">
        <v>431</v>
      </c>
      <c r="J11" s="1" t="s">
        <v>368</v>
      </c>
      <c r="K11" s="1" t="s">
        <v>391</v>
      </c>
      <c r="L11" s="1" t="s">
        <v>395</v>
      </c>
      <c r="M11" s="1" t="s">
        <v>388</v>
      </c>
      <c r="N11"/>
      <c r="O11"/>
      <c r="P11"/>
      <c r="Q11"/>
      <c r="R11"/>
      <c r="S11"/>
    </row>
    <row r="12" spans="1:19" x14ac:dyDescent="0.3">
      <c r="A12" s="2" t="s">
        <v>10</v>
      </c>
      <c r="B12" s="1"/>
      <c r="C12" s="1" t="s">
        <v>428</v>
      </c>
      <c r="D12" s="1" t="s">
        <v>532</v>
      </c>
      <c r="E12" s="1"/>
      <c r="F12" s="1"/>
      <c r="G12" s="1"/>
      <c r="H12" s="1"/>
      <c r="I12" s="1"/>
      <c r="J12" s="1"/>
      <c r="K12" s="1"/>
      <c r="L12" s="1"/>
      <c r="M12" s="1"/>
      <c r="N12"/>
      <c r="O12"/>
      <c r="P12"/>
      <c r="Q12"/>
      <c r="R12"/>
      <c r="S12"/>
    </row>
    <row r="13" spans="1:19" x14ac:dyDescent="0.3">
      <c r="A13" s="2" t="s">
        <v>11</v>
      </c>
      <c r="B13" s="1">
        <v>50</v>
      </c>
      <c r="C13" s="1">
        <v>50</v>
      </c>
      <c r="D13" s="1">
        <v>300</v>
      </c>
      <c r="E13" s="1">
        <v>350</v>
      </c>
      <c r="F13" s="1">
        <v>50</v>
      </c>
      <c r="G13" s="1">
        <v>50</v>
      </c>
      <c r="H13" s="1">
        <v>50</v>
      </c>
      <c r="I13" s="1">
        <v>50</v>
      </c>
      <c r="J13" s="1">
        <v>50</v>
      </c>
      <c r="K13" s="1">
        <v>50</v>
      </c>
      <c r="L13" s="1">
        <v>50</v>
      </c>
      <c r="M13" s="1">
        <v>50</v>
      </c>
      <c r="N13"/>
      <c r="O13"/>
      <c r="P13"/>
      <c r="Q13"/>
      <c r="R13"/>
      <c r="S13"/>
    </row>
    <row r="14" spans="1:19" x14ac:dyDescent="0.3">
      <c r="A14" s="2" t="s">
        <v>12</v>
      </c>
      <c r="B14" s="1" t="s">
        <v>520</v>
      </c>
      <c r="C14" s="1" t="s">
        <v>525</v>
      </c>
      <c r="D14" s="1" t="s">
        <v>533</v>
      </c>
      <c r="E14" s="1" t="s">
        <v>583</v>
      </c>
      <c r="F14" s="1" t="s">
        <v>588</v>
      </c>
      <c r="G14" s="1" t="s">
        <v>593</v>
      </c>
      <c r="H14" s="1" t="s">
        <v>588</v>
      </c>
      <c r="I14" s="1" t="s">
        <v>593</v>
      </c>
      <c r="J14" s="1" t="s">
        <v>588</v>
      </c>
      <c r="K14" s="1" t="s">
        <v>606</v>
      </c>
      <c r="L14" s="1" t="s">
        <v>588</v>
      </c>
      <c r="M14" s="1" t="s">
        <v>588</v>
      </c>
      <c r="N14"/>
      <c r="O14"/>
      <c r="P14"/>
      <c r="Q14"/>
      <c r="R14"/>
      <c r="S14"/>
    </row>
    <row r="15" spans="1:19" x14ac:dyDescent="0.3">
      <c r="A15" s="2" t="s">
        <v>13</v>
      </c>
      <c r="B15" s="1" t="s">
        <v>521</v>
      </c>
      <c r="C15" s="1" t="s">
        <v>526</v>
      </c>
      <c r="D15" s="1" t="s">
        <v>534</v>
      </c>
      <c r="E15" s="1" t="s">
        <v>584</v>
      </c>
      <c r="F15" s="1" t="s">
        <v>589</v>
      </c>
      <c r="G15" s="1" t="s">
        <v>594</v>
      </c>
      <c r="H15" s="1" t="s">
        <v>597</v>
      </c>
      <c r="I15" s="1" t="s">
        <v>600</v>
      </c>
      <c r="J15" s="1" t="s">
        <v>603</v>
      </c>
      <c r="K15" s="1" t="s">
        <v>607</v>
      </c>
      <c r="L15" s="1" t="s">
        <v>607</v>
      </c>
      <c r="M15" s="1" t="s">
        <v>607</v>
      </c>
      <c r="N15"/>
      <c r="O15"/>
      <c r="P15"/>
      <c r="Q15"/>
      <c r="R15"/>
      <c r="S15"/>
    </row>
    <row r="16" spans="1:19" x14ac:dyDescent="0.3">
      <c r="A16" s="2" t="s">
        <v>14</v>
      </c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/>
      <c r="O16"/>
      <c r="P16"/>
      <c r="Q16"/>
      <c r="R16"/>
      <c r="S16"/>
    </row>
    <row r="17" spans="1:19" x14ac:dyDescent="0.3">
      <c r="A17" s="2" t="s">
        <v>15</v>
      </c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/>
      <c r="O17"/>
      <c r="P17"/>
      <c r="Q17"/>
      <c r="R17"/>
      <c r="S17"/>
    </row>
    <row r="18" spans="1:19" x14ac:dyDescent="0.3">
      <c r="A18" s="2" t="s">
        <v>16</v>
      </c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/>
      <c r="O18"/>
      <c r="P18"/>
      <c r="Q18"/>
      <c r="R18"/>
      <c r="S18"/>
    </row>
    <row r="19" spans="1:19" x14ac:dyDescent="0.3">
      <c r="A19" s="2" t="s">
        <v>17</v>
      </c>
      <c r="B19" s="1">
        <v>0</v>
      </c>
      <c r="C19" s="1">
        <v>1</v>
      </c>
      <c r="D19" s="1">
        <v>3</v>
      </c>
      <c r="E19" s="1">
        <v>0</v>
      </c>
      <c r="F19" s="1">
        <v>0</v>
      </c>
      <c r="G19" s="1">
        <v>0</v>
      </c>
      <c r="H19" s="1">
        <v>0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/>
      <c r="O19"/>
      <c r="P19"/>
      <c r="Q19"/>
      <c r="R19"/>
      <c r="S19"/>
    </row>
    <row r="20" spans="1:19" x14ac:dyDescent="0.3">
      <c r="A20" s="2" t="s">
        <v>18</v>
      </c>
      <c r="B20" s="1">
        <v>0</v>
      </c>
      <c r="C20" s="1">
        <v>0</v>
      </c>
      <c r="D20" s="1">
        <v>0</v>
      </c>
      <c r="E20" s="1">
        <v>0</v>
      </c>
      <c r="F20" s="1">
        <v>0</v>
      </c>
      <c r="G20" s="1">
        <v>0</v>
      </c>
      <c r="H20" s="1">
        <v>0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/>
      <c r="O20"/>
      <c r="P20"/>
      <c r="Q20"/>
      <c r="R20"/>
      <c r="S20"/>
    </row>
    <row r="21" spans="1:19" x14ac:dyDescent="0.3">
      <c r="A21" s="2" t="s">
        <v>19</v>
      </c>
      <c r="B21" s="1" t="s">
        <v>522</v>
      </c>
      <c r="C21" s="1" t="s">
        <v>527</v>
      </c>
      <c r="D21" s="1" t="s">
        <v>535</v>
      </c>
      <c r="E21" s="1" t="s">
        <v>585</v>
      </c>
      <c r="F21" s="1" t="s">
        <v>590</v>
      </c>
      <c r="G21" s="1" t="s">
        <v>595</v>
      </c>
      <c r="H21" s="1" t="s">
        <v>598</v>
      </c>
      <c r="I21" s="1" t="s">
        <v>601</v>
      </c>
      <c r="J21" s="1" t="s">
        <v>604</v>
      </c>
      <c r="K21" s="1" t="s">
        <v>608</v>
      </c>
      <c r="L21" s="1" t="s">
        <v>608</v>
      </c>
      <c r="M21" s="1" t="s">
        <v>608</v>
      </c>
      <c r="N21"/>
      <c r="O21"/>
      <c r="P21"/>
      <c r="Q21"/>
      <c r="R21"/>
      <c r="S21"/>
    </row>
    <row r="22" spans="1:19" x14ac:dyDescent="0.3">
      <c r="A22" s="2" t="s">
        <v>20</v>
      </c>
      <c r="B22" s="1" t="b">
        <v>0</v>
      </c>
      <c r="C22" s="1" t="b">
        <v>0</v>
      </c>
      <c r="D22" s="1" t="b">
        <v>0</v>
      </c>
      <c r="E22" s="1" t="b">
        <v>0</v>
      </c>
      <c r="F22" s="1" t="b">
        <v>0</v>
      </c>
      <c r="G22" s="1" t="b">
        <v>0</v>
      </c>
      <c r="H22" s="1" t="b">
        <v>0</v>
      </c>
      <c r="I22" s="1" t="b">
        <v>0</v>
      </c>
      <c r="J22" s="1" t="b">
        <v>0</v>
      </c>
      <c r="K22" s="1" t="b">
        <v>0</v>
      </c>
      <c r="L22" s="1" t="b">
        <v>0</v>
      </c>
      <c r="M22" s="1" t="b">
        <v>0</v>
      </c>
      <c r="N22"/>
      <c r="O22"/>
      <c r="P22"/>
      <c r="Q22"/>
      <c r="R22"/>
      <c r="S22"/>
    </row>
    <row r="23" spans="1:19" x14ac:dyDescent="0.3">
      <c r="A23" s="2" t="s">
        <v>21</v>
      </c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/>
      <c r="O23"/>
      <c r="P23"/>
      <c r="Q23"/>
      <c r="R23"/>
      <c r="S23"/>
    </row>
    <row r="24" spans="1:19" x14ac:dyDescent="0.3">
      <c r="A24" s="2" t="s">
        <v>0</v>
      </c>
      <c r="B24" s="1" t="s">
        <v>518</v>
      </c>
      <c r="C24" s="1" t="s">
        <v>528</v>
      </c>
      <c r="D24" s="1" t="s">
        <v>536</v>
      </c>
      <c r="E24" s="1" t="s">
        <v>536</v>
      </c>
      <c r="F24" s="1" t="s">
        <v>591</v>
      </c>
      <c r="G24" s="1" t="s">
        <v>591</v>
      </c>
      <c r="H24" s="1" t="s">
        <v>591</v>
      </c>
      <c r="I24" s="1" t="s">
        <v>591</v>
      </c>
      <c r="J24" s="1" t="s">
        <v>591</v>
      </c>
      <c r="K24" s="1" t="s">
        <v>609</v>
      </c>
      <c r="L24" s="1" t="s">
        <v>609</v>
      </c>
      <c r="M24" s="1" t="s">
        <v>591</v>
      </c>
      <c r="N24"/>
      <c r="O24"/>
      <c r="P24"/>
      <c r="Q24"/>
      <c r="R24"/>
      <c r="S24"/>
    </row>
    <row r="25" spans="1:19" x14ac:dyDescent="0.3">
      <c r="A25" s="31" t="s">
        <v>1</v>
      </c>
      <c r="B25" t="s">
        <v>541</v>
      </c>
      <c r="C25" t="s">
        <v>115</v>
      </c>
      <c r="D25" t="s">
        <v>514</v>
      </c>
      <c r="E25" t="s">
        <v>514</v>
      </c>
      <c r="F25" t="s">
        <v>69</v>
      </c>
      <c r="G25" t="s">
        <v>69</v>
      </c>
      <c r="H25" t="s">
        <v>69</v>
      </c>
      <c r="I25" t="s">
        <v>69</v>
      </c>
      <c r="J25" t="s">
        <v>69</v>
      </c>
      <c r="K25" t="s">
        <v>69</v>
      </c>
      <c r="L25" t="s">
        <v>69</v>
      </c>
      <c r="M25" t="s">
        <v>69</v>
      </c>
      <c r="N25"/>
      <c r="O25"/>
      <c r="P25"/>
      <c r="Q25"/>
      <c r="R25"/>
      <c r="S25"/>
    </row>
    <row r="26" spans="1:19" x14ac:dyDescent="0.3">
      <c r="A26" s="3" t="s">
        <v>30</v>
      </c>
      <c r="B26" t="s">
        <v>519</v>
      </c>
      <c r="C26" t="s">
        <v>523</v>
      </c>
      <c r="D26" t="s">
        <v>540</v>
      </c>
      <c r="E26" t="s">
        <v>540</v>
      </c>
      <c r="F26" t="s">
        <v>586</v>
      </c>
      <c r="G26" t="s">
        <v>592</v>
      </c>
      <c r="H26" t="s">
        <v>596</v>
      </c>
      <c r="I26" t="s">
        <v>599</v>
      </c>
      <c r="J26" t="s">
        <v>602</v>
      </c>
      <c r="K26" t="s">
        <v>605</v>
      </c>
      <c r="L26" t="s">
        <v>610</v>
      </c>
      <c r="M26" t="s">
        <v>611</v>
      </c>
      <c r="N26"/>
      <c r="O26"/>
      <c r="P26"/>
      <c r="Q26"/>
      <c r="R26"/>
      <c r="S26"/>
    </row>
    <row r="27" spans="1:19" x14ac:dyDescent="0.3">
      <c r="A27" s="3" t="s">
        <v>42</v>
      </c>
      <c r="B27" s="1" t="s">
        <v>612</v>
      </c>
      <c r="C27" s="1" t="s">
        <v>613</v>
      </c>
      <c r="D27" s="1" t="s">
        <v>515</v>
      </c>
      <c r="E27" s="1" t="s">
        <v>515</v>
      </c>
      <c r="F27" s="1" t="s">
        <v>616</v>
      </c>
      <c r="G27" s="1" t="s">
        <v>617</v>
      </c>
      <c r="H27" s="1" t="s">
        <v>617</v>
      </c>
      <c r="I27" s="1" t="s">
        <v>549</v>
      </c>
      <c r="J27" s="1" t="s">
        <v>618</v>
      </c>
      <c r="K27" s="1" t="s">
        <v>616</v>
      </c>
      <c r="L27" s="1" t="s">
        <v>618</v>
      </c>
      <c r="M27" s="1" t="s">
        <v>621</v>
      </c>
      <c r="N27"/>
      <c r="O27"/>
      <c r="P27"/>
      <c r="Q27"/>
      <c r="R27"/>
      <c r="S27"/>
    </row>
    <row r="28" spans="1:19" x14ac:dyDescent="0.3">
      <c r="A28" s="3" t="s">
        <v>50</v>
      </c>
      <c r="B28" t="s">
        <v>415</v>
      </c>
      <c r="C28" t="s">
        <v>529</v>
      </c>
      <c r="D28" t="s">
        <v>529</v>
      </c>
      <c r="E28" t="s">
        <v>415</v>
      </c>
      <c r="F28" t="s">
        <v>415</v>
      </c>
      <c r="G28" t="s">
        <v>415</v>
      </c>
      <c r="H28" t="s">
        <v>415</v>
      </c>
      <c r="I28" t="s">
        <v>415</v>
      </c>
      <c r="J28" t="s">
        <v>415</v>
      </c>
      <c r="K28" t="s">
        <v>415</v>
      </c>
      <c r="L28" t="s">
        <v>415</v>
      </c>
      <c r="M28" t="s">
        <v>415</v>
      </c>
      <c r="N28"/>
      <c r="O28"/>
      <c r="P28"/>
      <c r="Q28"/>
      <c r="R28"/>
      <c r="S28"/>
    </row>
    <row r="29" spans="1:19" x14ac:dyDescent="0.3">
      <c r="A29" s="50" t="s">
        <v>67</v>
      </c>
      <c r="B29" s="1" t="s">
        <v>537</v>
      </c>
      <c r="C29" s="1" t="s">
        <v>539</v>
      </c>
      <c r="D29"/>
      <c r="E29"/>
      <c r="F29" s="1" t="s">
        <v>614</v>
      </c>
      <c r="G29" s="1" t="s">
        <v>614</v>
      </c>
      <c r="H29" s="1" t="s">
        <v>614</v>
      </c>
      <c r="I29" s="1" t="s">
        <v>614</v>
      </c>
      <c r="J29" s="1" t="s">
        <v>614</v>
      </c>
      <c r="K29" s="1" t="s">
        <v>619</v>
      </c>
      <c r="L29" s="1" t="s">
        <v>619</v>
      </c>
      <c r="M29" s="1" t="s">
        <v>614</v>
      </c>
      <c r="N29"/>
      <c r="O29"/>
      <c r="P29"/>
      <c r="Q29"/>
      <c r="R29"/>
      <c r="S29"/>
    </row>
    <row r="30" spans="1:19" x14ac:dyDescent="0.3">
      <c r="A30" s="32" t="s">
        <v>113</v>
      </c>
      <c r="B30" t="s">
        <v>538</v>
      </c>
      <c r="C30" t="s">
        <v>513</v>
      </c>
      <c r="D30" t="s">
        <v>513</v>
      </c>
      <c r="E30" t="s">
        <v>513</v>
      </c>
      <c r="F30" t="s">
        <v>615</v>
      </c>
      <c r="G30" t="s">
        <v>615</v>
      </c>
      <c r="H30" t="s">
        <v>615</v>
      </c>
      <c r="I30" t="s">
        <v>615</v>
      </c>
      <c r="J30" t="s">
        <v>615</v>
      </c>
      <c r="K30" t="s">
        <v>620</v>
      </c>
      <c r="L30" t="s">
        <v>620</v>
      </c>
      <c r="M30" t="s">
        <v>615</v>
      </c>
      <c r="N30"/>
      <c r="O30"/>
      <c r="P30"/>
      <c r="Q30"/>
      <c r="R30"/>
      <c r="S30"/>
    </row>
    <row r="31" spans="1:19" x14ac:dyDescent="0.3">
      <c r="A31" s="32" t="s">
        <v>43</v>
      </c>
      <c r="B31" t="s">
        <v>508</v>
      </c>
      <c r="C31" t="s">
        <v>508</v>
      </c>
      <c r="D31" t="s">
        <v>508</v>
      </c>
      <c r="E31" t="s">
        <v>508</v>
      </c>
      <c r="F31" t="s">
        <v>508</v>
      </c>
      <c r="G31" t="s">
        <v>508</v>
      </c>
      <c r="H31" t="s">
        <v>508</v>
      </c>
      <c r="I31" t="s">
        <v>430</v>
      </c>
      <c r="J31" t="s">
        <v>430</v>
      </c>
      <c r="K31" t="s">
        <v>441</v>
      </c>
      <c r="L31" t="s">
        <v>441</v>
      </c>
      <c r="M31" t="s">
        <v>441</v>
      </c>
      <c r="N31"/>
      <c r="O31"/>
      <c r="P31"/>
      <c r="Q31"/>
      <c r="R31"/>
      <c r="S31"/>
    </row>
    <row r="34" spans="2:2" x14ac:dyDescent="0.3">
      <c r="B34" s="3"/>
    </row>
    <row r="36" spans="2:2" x14ac:dyDescent="0.3">
      <c r="B36" s="27"/>
    </row>
  </sheetData>
  <mergeCells count="1">
    <mergeCell ref="A1:B1"/>
  </mergeCells>
  <dataValidations count="2">
    <dataValidation type="list" allowBlank="1" showInputMessage="1" showErrorMessage="1" sqref="F2">
      <formula1>"Антон, Максим,Курко,Нанопласт,ВСЕ"</formula1>
    </dataValidation>
    <dataValidation type="list" allowBlank="1" showInputMessage="1" showErrorMessage="1" sqref="E2">
      <formula1>"Новые заявки, Заявки в работе"</formula1>
    </dataValidation>
  </dataValidations>
  <pageMargins left="0.7" right="0.7" top="0.75" bottom="0.75" header="0.3" footer="0.3"/>
  <pageSetup paperSize="9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GetRotaAuto">
                <anchor moveWithCells="1" sizeWithCells="1">
                  <from>
                    <xdr:col>3</xdr:col>
                    <xdr:colOff>1196340</xdr:colOff>
                    <xdr:row>0</xdr:row>
                    <xdr:rowOff>15240</xdr:rowOff>
                  </from>
                  <to>
                    <xdr:col>3</xdr:col>
                    <xdr:colOff>2651760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GetRotaIsue">
                <anchor moveWithCells="1" sizeWithCells="1">
                  <from>
                    <xdr:col>2</xdr:col>
                    <xdr:colOff>2065020</xdr:colOff>
                    <xdr:row>3</xdr:row>
                    <xdr:rowOff>83820</xdr:rowOff>
                  </from>
                  <to>
                    <xdr:col>3</xdr:col>
                    <xdr:colOff>1013460</xdr:colOff>
                    <xdr:row>4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Button 5">
              <controlPr defaultSize="0" print="0" autoFill="0" autoPict="0" macro="[0]!clerform">
                <anchor moveWithCells="1" sizeWithCells="1">
                  <from>
                    <xdr:col>2</xdr:col>
                    <xdr:colOff>114300</xdr:colOff>
                    <xdr:row>0</xdr:row>
                    <xdr:rowOff>68580</xdr:rowOff>
                  </from>
                  <to>
                    <xdr:col>2</xdr:col>
                    <xdr:colOff>1943100</xdr:colOff>
                    <xdr:row>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/>
  <dimension ref="A1:V5"/>
  <sheetViews>
    <sheetView zoomScale="70" zoomScaleNormal="70" workbookViewId="0">
      <selection activeCell="T3" sqref="A3:T3"/>
    </sheetView>
  </sheetViews>
  <sheetFormatPr defaultRowHeight="14.4" x14ac:dyDescent="0.3"/>
  <cols>
    <col min="1" max="1" width="11.5546875" customWidth="1"/>
    <col min="2" max="2" width="8.88671875" customWidth="1"/>
    <col min="3" max="3" width="15.5546875" customWidth="1"/>
    <col min="4" max="4" width="22.33203125" customWidth="1"/>
    <col min="5" max="5" width="16.44140625" bestFit="1" customWidth="1"/>
    <col min="6" max="6" width="8.88671875" customWidth="1"/>
    <col min="7" max="7" width="16.44140625" customWidth="1"/>
    <col min="8" max="8" width="8.88671875" customWidth="1"/>
    <col min="9" max="9" width="13.33203125" customWidth="1"/>
    <col min="10" max="11" width="8.88671875" customWidth="1"/>
    <col min="12" max="12" width="10.44140625" customWidth="1"/>
    <col min="13" max="15" width="8.88671875" customWidth="1"/>
    <col min="16" max="16" width="13.6640625" customWidth="1"/>
    <col min="17" max="19" width="8.88671875" customWidth="1"/>
    <col min="21" max="21" width="9.5546875" customWidth="1"/>
  </cols>
  <sheetData>
    <row r="1" spans="1:22" ht="32.25" customHeight="1" thickBot="1" x14ac:dyDescent="0.35">
      <c r="A1" s="60" t="s">
        <v>33</v>
      </c>
      <c r="B1" s="60"/>
      <c r="C1" s="22" t="s">
        <v>39</v>
      </c>
      <c r="D1" s="23"/>
      <c r="L1" s="8" t="s">
        <v>44</v>
      </c>
    </row>
    <row r="2" spans="1:22" s="17" customFormat="1" ht="31.5" customHeight="1" thickBot="1" x14ac:dyDescent="0.35">
      <c r="A2" s="59" t="s">
        <v>468</v>
      </c>
      <c r="B2" s="59"/>
      <c r="C2" s="24">
        <f>COUNTA(A:A)-2</f>
        <v>3</v>
      </c>
      <c r="D2" s="12" t="s">
        <v>43</v>
      </c>
      <c r="E2" s="12" t="s">
        <v>46</v>
      </c>
      <c r="F2" s="13" t="s">
        <v>23</v>
      </c>
      <c r="G2" s="14" t="s">
        <v>45</v>
      </c>
      <c r="H2" s="15" t="s">
        <v>24</v>
      </c>
      <c r="I2" s="21" t="s">
        <v>51</v>
      </c>
      <c r="J2" s="16" t="s">
        <v>22</v>
      </c>
      <c r="L2" s="20" t="s">
        <v>2</v>
      </c>
      <c r="N2" s="18" t="s">
        <v>25</v>
      </c>
      <c r="P2" s="19" t="s">
        <v>3</v>
      </c>
      <c r="R2" s="25" t="s">
        <v>31</v>
      </c>
      <c r="T2" s="12" t="s">
        <v>32</v>
      </c>
      <c r="U2" s="33" t="s">
        <v>70</v>
      </c>
      <c r="V2" s="26" t="s">
        <v>38</v>
      </c>
    </row>
    <row r="3" spans="1:22" x14ac:dyDescent="0.3">
      <c r="A3">
        <v>28581209</v>
      </c>
      <c r="D3" t="s">
        <v>508</v>
      </c>
      <c r="E3" t="s">
        <v>160</v>
      </c>
      <c r="G3" s="48">
        <v>43117.852777777778</v>
      </c>
      <c r="I3" t="s">
        <v>415</v>
      </c>
      <c r="L3" s="1" t="s">
        <v>567</v>
      </c>
      <c r="R3" t="s">
        <v>566</v>
      </c>
      <c r="T3" s="34" t="s">
        <v>579</v>
      </c>
      <c r="U3" t="s">
        <v>580</v>
      </c>
      <c r="V3" t="b">
        <v>1</v>
      </c>
    </row>
    <row r="4" spans="1:22" x14ac:dyDescent="0.3">
      <c r="A4" t="s">
        <v>555</v>
      </c>
      <c r="F4" s="1" t="s">
        <v>556</v>
      </c>
      <c r="H4" s="1" t="s">
        <v>557</v>
      </c>
      <c r="J4" s="1" t="s">
        <v>558</v>
      </c>
      <c r="L4" s="1" t="s">
        <v>559</v>
      </c>
      <c r="N4" s="1" t="s">
        <v>560</v>
      </c>
      <c r="P4" s="1">
        <v>18.600000000000001</v>
      </c>
    </row>
    <row r="5" spans="1:22" x14ac:dyDescent="0.3">
      <c r="A5" t="s">
        <v>561</v>
      </c>
      <c r="F5" s="1" t="s">
        <v>562</v>
      </c>
      <c r="H5" s="1" t="s">
        <v>563</v>
      </c>
      <c r="J5" s="1" t="s">
        <v>564</v>
      </c>
      <c r="L5" s="1" t="s">
        <v>566</v>
      </c>
      <c r="N5" s="1" t="s">
        <v>565</v>
      </c>
      <c r="P5" s="1">
        <v>100</v>
      </c>
    </row>
  </sheetData>
  <mergeCells count="2">
    <mergeCell ref="A2:B2"/>
    <mergeCell ref="A1:B1"/>
  </mergeCells>
  <dataValidations count="2">
    <dataValidation type="list" allowBlank="1" showInputMessage="1" showErrorMessage="1" sqref="A2:B2">
      <formula1>"YES,NO"</formula1>
    </dataValidation>
    <dataValidation type="list" allowBlank="1" showInputMessage="1" showErrorMessage="1" sqref="U3">
      <formula1>"OK,NeOK,Отложить"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forloadlinks">
                <anchor moveWithCells="1" sizeWithCells="1">
                  <from>
                    <xdr:col>4</xdr:col>
                    <xdr:colOff>7620</xdr:colOff>
                    <xdr:row>0</xdr:row>
                    <xdr:rowOff>0</xdr:rowOff>
                  </from>
                  <to>
                    <xdr:col>7</xdr:col>
                    <xdr:colOff>76200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5" name="Button 4">
              <controlPr defaultSize="0" print="0" autoFill="0" autoPict="0" macro="[0]!CloseIsue">
                <anchor moveWithCells="1" sizeWithCells="1">
                  <from>
                    <xdr:col>13</xdr:col>
                    <xdr:colOff>121920</xdr:colOff>
                    <xdr:row>0</xdr:row>
                    <xdr:rowOff>0</xdr:rowOff>
                  </from>
                  <to>
                    <xdr:col>15</xdr:col>
                    <xdr:colOff>716280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E173"/>
  <sheetViews>
    <sheetView topLeftCell="A151" workbookViewId="0">
      <selection activeCell="A168" sqref="A168"/>
    </sheetView>
  </sheetViews>
  <sheetFormatPr defaultRowHeight="14.4" x14ac:dyDescent="0.3"/>
  <sheetData>
    <row r="1" spans="1:5" x14ac:dyDescent="0.3">
      <c r="A1" s="45" t="s">
        <v>154</v>
      </c>
      <c r="B1" s="45" t="s">
        <v>46</v>
      </c>
      <c r="C1" s="45" t="s">
        <v>155</v>
      </c>
      <c r="D1" s="45" t="s">
        <v>51</v>
      </c>
      <c r="E1" s="46" t="s">
        <v>184</v>
      </c>
    </row>
    <row r="2" spans="1:5" x14ac:dyDescent="0.3">
      <c r="A2" s="45">
        <v>28542234</v>
      </c>
      <c r="B2" s="45" t="s">
        <v>145</v>
      </c>
      <c r="C2" s="45"/>
      <c r="D2" s="45" t="s">
        <v>176</v>
      </c>
      <c r="E2" s="39" t="s">
        <v>185</v>
      </c>
    </row>
    <row r="3" spans="1:5" x14ac:dyDescent="0.3">
      <c r="A3" s="45">
        <v>28549279</v>
      </c>
      <c r="B3" s="45" t="s">
        <v>171</v>
      </c>
      <c r="C3" s="45"/>
      <c r="D3" s="45" t="s">
        <v>176</v>
      </c>
      <c r="E3" s="39" t="s">
        <v>185</v>
      </c>
    </row>
    <row r="4" spans="1:5" x14ac:dyDescent="0.3">
      <c r="A4">
        <v>28546343</v>
      </c>
      <c r="B4" t="s">
        <v>142</v>
      </c>
      <c r="D4" s="45" t="s">
        <v>176</v>
      </c>
      <c r="E4" s="6" t="s">
        <v>188</v>
      </c>
    </row>
    <row r="5" spans="1:5" x14ac:dyDescent="0.3">
      <c r="A5" s="45">
        <v>28544868</v>
      </c>
      <c r="B5" s="45" t="s">
        <v>160</v>
      </c>
      <c r="C5" s="45" t="s">
        <v>177</v>
      </c>
      <c r="D5" s="45" t="s">
        <v>182</v>
      </c>
    </row>
    <row r="6" spans="1:5" x14ac:dyDescent="0.3">
      <c r="A6" s="45">
        <v>28546435</v>
      </c>
      <c r="B6" s="45" t="s">
        <v>161</v>
      </c>
      <c r="C6" s="45" t="s">
        <v>181</v>
      </c>
      <c r="D6" s="45" t="s">
        <v>182</v>
      </c>
    </row>
    <row r="7" spans="1:5" x14ac:dyDescent="0.3">
      <c r="A7" s="45">
        <v>28546613</v>
      </c>
      <c r="B7" s="45" t="s">
        <v>162</v>
      </c>
      <c r="C7" s="45" t="s">
        <v>175</v>
      </c>
      <c r="D7" s="45" t="s">
        <v>182</v>
      </c>
    </row>
    <row r="8" spans="1:5" x14ac:dyDescent="0.3">
      <c r="A8">
        <v>28547795</v>
      </c>
      <c r="B8" t="s">
        <v>164</v>
      </c>
      <c r="D8" s="46" t="s">
        <v>176</v>
      </c>
      <c r="E8" t="s">
        <v>183</v>
      </c>
    </row>
    <row r="9" spans="1:5" x14ac:dyDescent="0.3">
      <c r="A9" s="45">
        <v>28549107</v>
      </c>
      <c r="B9" s="45" t="s">
        <v>141</v>
      </c>
      <c r="C9" s="45"/>
      <c r="D9" s="45" t="s">
        <v>176</v>
      </c>
      <c r="E9" t="s">
        <v>185</v>
      </c>
    </row>
    <row r="10" spans="1:5" x14ac:dyDescent="0.3">
      <c r="A10" s="45">
        <v>28549521</v>
      </c>
      <c r="B10" s="45" t="s">
        <v>172</v>
      </c>
      <c r="C10" s="45"/>
      <c r="D10" s="45" t="s">
        <v>176</v>
      </c>
      <c r="E10" s="39" t="s">
        <v>185</v>
      </c>
    </row>
    <row r="11" spans="1:5" x14ac:dyDescent="0.3">
      <c r="A11" s="45">
        <v>28549420</v>
      </c>
      <c r="B11" s="45" t="s">
        <v>173</v>
      </c>
      <c r="C11" s="45" t="s">
        <v>187</v>
      </c>
      <c r="D11" s="45" t="s">
        <v>182</v>
      </c>
    </row>
    <row r="12" spans="1:5" x14ac:dyDescent="0.3">
      <c r="A12" s="45">
        <v>28539436</v>
      </c>
      <c r="B12" s="45" t="s">
        <v>140</v>
      </c>
      <c r="C12" s="45" t="s">
        <v>150</v>
      </c>
      <c r="D12" s="45" t="s">
        <v>189</v>
      </c>
    </row>
    <row r="13" spans="1:5" x14ac:dyDescent="0.3">
      <c r="A13" s="45">
        <v>28546504</v>
      </c>
      <c r="B13" s="45" t="s">
        <v>163</v>
      </c>
      <c r="C13" s="45" t="s">
        <v>190</v>
      </c>
      <c r="D13" s="45" t="s">
        <v>182</v>
      </c>
    </row>
    <row r="14" spans="1:5" x14ac:dyDescent="0.3">
      <c r="A14" s="47">
        <v>28550443</v>
      </c>
      <c r="B14" s="45" t="s">
        <v>193</v>
      </c>
      <c r="C14" s="45" t="s">
        <v>197</v>
      </c>
      <c r="D14" s="45" t="s">
        <v>182</v>
      </c>
    </row>
    <row r="15" spans="1:5" x14ac:dyDescent="0.3">
      <c r="A15" s="47">
        <v>28550474</v>
      </c>
      <c r="B15" t="s">
        <v>194</v>
      </c>
      <c r="C15" t="s">
        <v>198</v>
      </c>
      <c r="D15" s="45" t="s">
        <v>182</v>
      </c>
    </row>
    <row r="16" spans="1:5" x14ac:dyDescent="0.3">
      <c r="A16" s="47">
        <v>28546504</v>
      </c>
      <c r="B16" t="s">
        <v>163</v>
      </c>
      <c r="C16" t="s">
        <v>190</v>
      </c>
      <c r="D16" s="45" t="s">
        <v>189</v>
      </c>
    </row>
    <row r="18" spans="1:5" x14ac:dyDescent="0.3">
      <c r="A18">
        <v>28552804</v>
      </c>
      <c r="B18" t="s">
        <v>201</v>
      </c>
      <c r="C18" t="s">
        <v>205</v>
      </c>
      <c r="D18" t="s">
        <v>182</v>
      </c>
    </row>
    <row r="19" spans="1:5" x14ac:dyDescent="0.3">
      <c r="A19">
        <v>28553902</v>
      </c>
      <c r="B19" t="s">
        <v>162</v>
      </c>
      <c r="C19" t="s">
        <v>206</v>
      </c>
      <c r="D19" s="39" t="s">
        <v>182</v>
      </c>
    </row>
    <row r="20" spans="1:5" x14ac:dyDescent="0.3">
      <c r="A20" s="1">
        <v>28552247</v>
      </c>
      <c r="B20" s="1" t="s">
        <v>141</v>
      </c>
      <c r="D20" s="6" t="s">
        <v>176</v>
      </c>
      <c r="E20" t="s">
        <v>211</v>
      </c>
    </row>
    <row r="21" spans="1:5" x14ac:dyDescent="0.3">
      <c r="A21" s="47">
        <v>28546504</v>
      </c>
      <c r="B21" s="47" t="s">
        <v>163</v>
      </c>
      <c r="D21" s="6" t="s">
        <v>176</v>
      </c>
      <c r="E21" t="s">
        <v>212</v>
      </c>
    </row>
    <row r="22" spans="1:5" x14ac:dyDescent="0.3">
      <c r="A22" s="47">
        <v>28556692</v>
      </c>
      <c r="B22" s="47" t="s">
        <v>207</v>
      </c>
      <c r="D22" s="6" t="s">
        <v>176</v>
      </c>
      <c r="E22" t="s">
        <v>213</v>
      </c>
    </row>
    <row r="23" spans="1:5" x14ac:dyDescent="0.3">
      <c r="A23" s="47">
        <v>28556689</v>
      </c>
      <c r="B23" s="47" t="s">
        <v>142</v>
      </c>
      <c r="D23" s="6" t="s">
        <v>176</v>
      </c>
      <c r="E23" t="s">
        <v>213</v>
      </c>
    </row>
    <row r="24" spans="1:5" x14ac:dyDescent="0.3">
      <c r="A24" s="47">
        <v>28556977</v>
      </c>
      <c r="B24" s="47" t="s">
        <v>208</v>
      </c>
      <c r="D24" s="6" t="s">
        <v>176</v>
      </c>
      <c r="E24" t="s">
        <v>211</v>
      </c>
    </row>
    <row r="26" spans="1:5" x14ac:dyDescent="0.3">
      <c r="A26">
        <v>28560698</v>
      </c>
      <c r="B26" t="s">
        <v>214</v>
      </c>
      <c r="D26" s="6" t="s">
        <v>176</v>
      </c>
      <c r="E26" s="39" t="s">
        <v>211</v>
      </c>
    </row>
    <row r="27" spans="1:5" x14ac:dyDescent="0.3">
      <c r="A27">
        <v>28560696</v>
      </c>
      <c r="B27" t="s">
        <v>142</v>
      </c>
      <c r="C27" t="s">
        <v>217</v>
      </c>
      <c r="D27" s="6" t="s">
        <v>218</v>
      </c>
    </row>
    <row r="28" spans="1:5" x14ac:dyDescent="0.3">
      <c r="A28" s="49">
        <v>28560698</v>
      </c>
      <c r="B28" t="s">
        <v>214</v>
      </c>
      <c r="C28" s="6" t="s">
        <v>218</v>
      </c>
    </row>
    <row r="29" spans="1:5" x14ac:dyDescent="0.3">
      <c r="A29">
        <v>28561581</v>
      </c>
      <c r="B29" t="s">
        <v>219</v>
      </c>
      <c r="C29" s="6" t="s">
        <v>218</v>
      </c>
    </row>
    <row r="30" spans="1:5" x14ac:dyDescent="0.3">
      <c r="A30">
        <v>28561582</v>
      </c>
      <c r="B30" t="s">
        <v>164</v>
      </c>
      <c r="C30" s="6" t="s">
        <v>176</v>
      </c>
      <c r="D30" t="s">
        <v>254</v>
      </c>
    </row>
    <row r="31" spans="1:5" x14ac:dyDescent="0.3">
      <c r="A31">
        <v>28546504</v>
      </c>
      <c r="B31" t="s">
        <v>163</v>
      </c>
      <c r="C31" s="6" t="s">
        <v>255</v>
      </c>
    </row>
    <row r="33" spans="1:5" x14ac:dyDescent="0.3">
      <c r="A33">
        <v>28561582</v>
      </c>
      <c r="B33" t="s">
        <v>164</v>
      </c>
      <c r="D33" s="6" t="s">
        <v>176</v>
      </c>
      <c r="E33" t="s">
        <v>222</v>
      </c>
    </row>
    <row r="34" spans="1:5" x14ac:dyDescent="0.3">
      <c r="A34">
        <v>28562075</v>
      </c>
      <c r="B34" t="s">
        <v>256</v>
      </c>
      <c r="C34" t="s">
        <v>259</v>
      </c>
      <c r="D34" s="6" t="s">
        <v>218</v>
      </c>
    </row>
    <row r="35" spans="1:5" x14ac:dyDescent="0.3">
      <c r="A35" t="s">
        <v>260</v>
      </c>
      <c r="B35" t="s">
        <v>163</v>
      </c>
      <c r="D35" s="6" t="s">
        <v>261</v>
      </c>
    </row>
    <row r="36" spans="1:5" x14ac:dyDescent="0.3">
      <c r="A36">
        <v>28563723</v>
      </c>
      <c r="B36" t="s">
        <v>171</v>
      </c>
      <c r="C36" t="s">
        <v>285</v>
      </c>
      <c r="D36" s="6" t="s">
        <v>218</v>
      </c>
    </row>
    <row r="37" spans="1:5" x14ac:dyDescent="0.3">
      <c r="A37">
        <v>28563725</v>
      </c>
      <c r="B37" t="s">
        <v>172</v>
      </c>
      <c r="C37" t="s">
        <v>286</v>
      </c>
      <c r="D37" s="6" t="s">
        <v>218</v>
      </c>
    </row>
    <row r="38" spans="1:5" x14ac:dyDescent="0.3">
      <c r="A38">
        <v>28563671</v>
      </c>
      <c r="B38" t="s">
        <v>282</v>
      </c>
      <c r="C38" t="s">
        <v>287</v>
      </c>
      <c r="D38" s="6" t="s">
        <v>218</v>
      </c>
    </row>
    <row r="39" spans="1:5" x14ac:dyDescent="0.3">
      <c r="A39">
        <v>28563721</v>
      </c>
      <c r="B39" t="s">
        <v>283</v>
      </c>
      <c r="C39" t="s">
        <v>288</v>
      </c>
      <c r="D39" s="6" t="s">
        <v>218</v>
      </c>
    </row>
    <row r="40" spans="1:5" x14ac:dyDescent="0.3">
      <c r="A40">
        <v>28562625</v>
      </c>
      <c r="B40" t="s">
        <v>284</v>
      </c>
      <c r="D40" s="6" t="s">
        <v>290</v>
      </c>
      <c r="E40" t="s">
        <v>185</v>
      </c>
    </row>
    <row r="42" spans="1:5" x14ac:dyDescent="0.3">
      <c r="A42">
        <v>28567486</v>
      </c>
      <c r="B42" t="s">
        <v>293</v>
      </c>
      <c r="C42" t="s">
        <v>294</v>
      </c>
      <c r="D42" s="6" t="s">
        <v>218</v>
      </c>
    </row>
    <row r="43" spans="1:5" x14ac:dyDescent="0.3">
      <c r="A43">
        <v>28562625</v>
      </c>
      <c r="B43" t="s">
        <v>284</v>
      </c>
      <c r="D43" s="6" t="s">
        <v>176</v>
      </c>
      <c r="E43" t="s">
        <v>295</v>
      </c>
    </row>
    <row r="44" spans="1:5" x14ac:dyDescent="0.3">
      <c r="A44">
        <v>28563927</v>
      </c>
      <c r="B44" t="s">
        <v>173</v>
      </c>
      <c r="D44" s="6" t="s">
        <v>176</v>
      </c>
      <c r="E44" s="39" t="s">
        <v>295</v>
      </c>
    </row>
    <row r="46" spans="1:5" x14ac:dyDescent="0.3">
      <c r="A46">
        <v>28572285</v>
      </c>
      <c r="B46" t="s">
        <v>214</v>
      </c>
      <c r="C46" t="s">
        <v>361</v>
      </c>
      <c r="D46" s="6" t="s">
        <v>218</v>
      </c>
    </row>
    <row r="47" spans="1:5" x14ac:dyDescent="0.3">
      <c r="A47">
        <v>28572434</v>
      </c>
      <c r="B47" t="s">
        <v>296</v>
      </c>
      <c r="C47" t="s">
        <v>362</v>
      </c>
      <c r="D47" s="6" t="s">
        <v>218</v>
      </c>
    </row>
    <row r="48" spans="1:5" x14ac:dyDescent="0.3">
      <c r="A48">
        <v>28572147</v>
      </c>
      <c r="B48" t="s">
        <v>219</v>
      </c>
      <c r="C48" t="s">
        <v>364</v>
      </c>
      <c r="D48" s="6" t="s">
        <v>218</v>
      </c>
    </row>
    <row r="50" spans="1:5" x14ac:dyDescent="0.3">
      <c r="A50">
        <v>28567399</v>
      </c>
      <c r="B50" t="s">
        <v>365</v>
      </c>
      <c r="C50" t="s">
        <v>380</v>
      </c>
      <c r="D50" s="6" t="s">
        <v>218</v>
      </c>
    </row>
    <row r="51" spans="1:5" x14ac:dyDescent="0.3">
      <c r="A51">
        <v>28567404</v>
      </c>
      <c r="B51" t="s">
        <v>367</v>
      </c>
      <c r="C51" t="s">
        <v>381</v>
      </c>
      <c r="D51" s="6" t="s">
        <v>218</v>
      </c>
    </row>
    <row r="52" spans="1:5" x14ac:dyDescent="0.3">
      <c r="A52">
        <v>28567402</v>
      </c>
      <c r="B52" t="s">
        <v>368</v>
      </c>
      <c r="C52" t="s">
        <v>382</v>
      </c>
      <c r="D52" s="6" t="s">
        <v>218</v>
      </c>
    </row>
    <row r="53" spans="1:5" x14ac:dyDescent="0.3">
      <c r="A53">
        <v>28570198</v>
      </c>
      <c r="B53" t="s">
        <v>370</v>
      </c>
      <c r="C53" t="s">
        <v>383</v>
      </c>
      <c r="D53" s="6" t="s">
        <v>218</v>
      </c>
    </row>
    <row r="54" spans="1:5" x14ac:dyDescent="0.3">
      <c r="A54">
        <v>28570195</v>
      </c>
      <c r="B54" t="s">
        <v>370</v>
      </c>
      <c r="C54" t="s">
        <v>384</v>
      </c>
      <c r="D54" s="6" t="s">
        <v>218</v>
      </c>
    </row>
    <row r="55" spans="1:5" x14ac:dyDescent="0.3">
      <c r="A55">
        <v>28568341</v>
      </c>
      <c r="B55" t="s">
        <v>369</v>
      </c>
      <c r="D55" s="6" t="s">
        <v>176</v>
      </c>
      <c r="E55" t="s">
        <v>295</v>
      </c>
    </row>
    <row r="56" spans="1:5" x14ac:dyDescent="0.3">
      <c r="A56">
        <v>28571296</v>
      </c>
      <c r="B56" t="s">
        <v>370</v>
      </c>
      <c r="C56" t="s">
        <v>385</v>
      </c>
      <c r="D56" s="6" t="s">
        <v>218</v>
      </c>
    </row>
    <row r="57" spans="1:5" x14ac:dyDescent="0.3">
      <c r="A57">
        <v>28573145</v>
      </c>
      <c r="B57" t="s">
        <v>366</v>
      </c>
      <c r="E57" t="s">
        <v>386</v>
      </c>
    </row>
    <row r="58" spans="1:5" x14ac:dyDescent="0.3">
      <c r="A58" s="1">
        <v>28573132</v>
      </c>
      <c r="B58" s="1" t="s">
        <v>173</v>
      </c>
      <c r="D58" s="6" t="s">
        <v>176</v>
      </c>
      <c r="E58" s="39" t="s">
        <v>386</v>
      </c>
    </row>
    <row r="59" spans="1:5" x14ac:dyDescent="0.3">
      <c r="A59" s="1">
        <v>28573136</v>
      </c>
      <c r="B59" s="1" t="s">
        <v>141</v>
      </c>
      <c r="D59" s="6" t="s">
        <v>176</v>
      </c>
      <c r="E59" s="39" t="s">
        <v>386</v>
      </c>
    </row>
    <row r="60" spans="1:5" x14ac:dyDescent="0.3">
      <c r="A60" s="1">
        <v>28573137</v>
      </c>
      <c r="B60" s="1" t="s">
        <v>283</v>
      </c>
      <c r="D60" s="6" t="s">
        <v>176</v>
      </c>
      <c r="E60" s="39" t="s">
        <v>386</v>
      </c>
    </row>
    <row r="61" spans="1:5" x14ac:dyDescent="0.3">
      <c r="A61" s="1">
        <v>28573142</v>
      </c>
      <c r="B61" s="1" t="s">
        <v>387</v>
      </c>
      <c r="D61" s="6" t="s">
        <v>176</v>
      </c>
      <c r="E61" s="39" t="s">
        <v>386</v>
      </c>
    </row>
    <row r="62" spans="1:5" x14ac:dyDescent="0.3">
      <c r="A62" s="1">
        <v>28573139</v>
      </c>
      <c r="B62" s="1" t="s">
        <v>140</v>
      </c>
      <c r="D62" s="6" t="s">
        <v>176</v>
      </c>
      <c r="E62" s="39" t="s">
        <v>386</v>
      </c>
    </row>
    <row r="63" spans="1:5" x14ac:dyDescent="0.3">
      <c r="A63">
        <v>28567388</v>
      </c>
      <c r="B63" t="s">
        <v>388</v>
      </c>
      <c r="C63" t="s">
        <v>404</v>
      </c>
      <c r="D63" s="6" t="s">
        <v>218</v>
      </c>
    </row>
    <row r="64" spans="1:5" x14ac:dyDescent="0.3">
      <c r="A64">
        <v>28568419</v>
      </c>
      <c r="B64" t="s">
        <v>389</v>
      </c>
      <c r="C64" t="s">
        <v>405</v>
      </c>
      <c r="D64" s="6" t="s">
        <v>218</v>
      </c>
    </row>
    <row r="65" spans="1:5" x14ac:dyDescent="0.3">
      <c r="A65">
        <v>28570174</v>
      </c>
      <c r="B65" t="s">
        <v>390</v>
      </c>
      <c r="C65" t="s">
        <v>406</v>
      </c>
      <c r="D65" s="6" t="s">
        <v>218</v>
      </c>
    </row>
    <row r="66" spans="1:5" x14ac:dyDescent="0.3">
      <c r="A66">
        <v>28570566</v>
      </c>
      <c r="B66" t="s">
        <v>391</v>
      </c>
      <c r="C66" t="s">
        <v>407</v>
      </c>
      <c r="D66" s="6" t="s">
        <v>218</v>
      </c>
    </row>
    <row r="67" spans="1:5" x14ac:dyDescent="0.3">
      <c r="A67">
        <v>28570199</v>
      </c>
      <c r="B67" t="s">
        <v>392</v>
      </c>
      <c r="C67" t="s">
        <v>408</v>
      </c>
      <c r="D67" s="6" t="s">
        <v>218</v>
      </c>
    </row>
    <row r="68" spans="1:5" x14ac:dyDescent="0.3">
      <c r="A68">
        <v>28570196</v>
      </c>
      <c r="B68" t="s">
        <v>392</v>
      </c>
      <c r="C68" t="s">
        <v>409</v>
      </c>
      <c r="D68" s="6" t="s">
        <v>218</v>
      </c>
    </row>
    <row r="69" spans="1:5" x14ac:dyDescent="0.3">
      <c r="A69">
        <v>28570211</v>
      </c>
      <c r="B69" t="s">
        <v>393</v>
      </c>
      <c r="C69" t="s">
        <v>410</v>
      </c>
      <c r="D69" s="6" t="s">
        <v>218</v>
      </c>
    </row>
    <row r="70" spans="1:5" x14ac:dyDescent="0.3">
      <c r="A70">
        <v>28570197</v>
      </c>
      <c r="B70" t="s">
        <v>394</v>
      </c>
      <c r="C70" t="s">
        <v>411</v>
      </c>
      <c r="D70" s="6" t="s">
        <v>218</v>
      </c>
    </row>
    <row r="71" spans="1:5" x14ac:dyDescent="0.3">
      <c r="A71">
        <v>28572090</v>
      </c>
      <c r="B71" t="s">
        <v>395</v>
      </c>
      <c r="C71" t="s">
        <v>412</v>
      </c>
      <c r="D71" s="6" t="s">
        <v>218</v>
      </c>
    </row>
    <row r="72" spans="1:5" x14ac:dyDescent="0.3">
      <c r="A72">
        <v>28573146</v>
      </c>
      <c r="B72" t="s">
        <v>396</v>
      </c>
      <c r="D72" s="6" t="s">
        <v>176</v>
      </c>
      <c r="E72" s="39" t="s">
        <v>386</v>
      </c>
    </row>
    <row r="73" spans="1:5" x14ac:dyDescent="0.3">
      <c r="A73">
        <v>28573141</v>
      </c>
      <c r="B73" t="s">
        <v>391</v>
      </c>
      <c r="D73" s="6" t="s">
        <v>176</v>
      </c>
      <c r="E73" s="39" t="s">
        <v>386</v>
      </c>
    </row>
    <row r="74" spans="1:5" x14ac:dyDescent="0.3">
      <c r="A74">
        <v>28573133</v>
      </c>
      <c r="B74" t="s">
        <v>388</v>
      </c>
      <c r="D74" s="6" t="s">
        <v>176</v>
      </c>
      <c r="E74" s="39" t="s">
        <v>386</v>
      </c>
    </row>
    <row r="75" spans="1:5" x14ac:dyDescent="0.3">
      <c r="A75">
        <v>28573144</v>
      </c>
      <c r="B75" t="s">
        <v>397</v>
      </c>
      <c r="D75" s="6" t="s">
        <v>176</v>
      </c>
      <c r="E75" s="39" t="s">
        <v>386</v>
      </c>
    </row>
    <row r="76" spans="1:5" x14ac:dyDescent="0.3">
      <c r="A76">
        <v>28573135</v>
      </c>
      <c r="B76" t="s">
        <v>395</v>
      </c>
      <c r="D76" s="6" t="s">
        <v>176</v>
      </c>
      <c r="E76" s="39" t="s">
        <v>386</v>
      </c>
    </row>
    <row r="77" spans="1:5" x14ac:dyDescent="0.3">
      <c r="A77">
        <v>28567394</v>
      </c>
      <c r="B77" t="s">
        <v>393</v>
      </c>
      <c r="D77" s="6" t="s">
        <v>255</v>
      </c>
    </row>
    <row r="78" spans="1:5" x14ac:dyDescent="0.3">
      <c r="A78" s="47">
        <v>28567393</v>
      </c>
      <c r="B78" s="47" t="s">
        <v>398</v>
      </c>
      <c r="D78" s="6" t="s">
        <v>255</v>
      </c>
    </row>
    <row r="79" spans="1:5" x14ac:dyDescent="0.3">
      <c r="A79" s="47">
        <v>28567390</v>
      </c>
      <c r="B79" s="47" t="s">
        <v>392</v>
      </c>
      <c r="D79" s="6" t="s">
        <v>255</v>
      </c>
    </row>
    <row r="80" spans="1:5" x14ac:dyDescent="0.3">
      <c r="A80" s="47">
        <v>28567396</v>
      </c>
      <c r="B80" s="47" t="s">
        <v>399</v>
      </c>
      <c r="D80" s="6" t="s">
        <v>255</v>
      </c>
    </row>
    <row r="81" spans="1:5" x14ac:dyDescent="0.3">
      <c r="A81" s="47">
        <v>28567401</v>
      </c>
      <c r="B81" s="47" t="s">
        <v>390</v>
      </c>
      <c r="D81" s="6" t="s">
        <v>255</v>
      </c>
    </row>
    <row r="82" spans="1:5" x14ac:dyDescent="0.3">
      <c r="A82" s="47">
        <v>28567400</v>
      </c>
      <c r="B82" s="47" t="s">
        <v>391</v>
      </c>
      <c r="D82" s="6" t="s">
        <v>255</v>
      </c>
    </row>
    <row r="84" spans="1:5" x14ac:dyDescent="0.3">
      <c r="A84">
        <v>28573902</v>
      </c>
      <c r="B84" t="s">
        <v>398</v>
      </c>
      <c r="C84" t="s">
        <v>414</v>
      </c>
      <c r="D84" t="s">
        <v>182</v>
      </c>
    </row>
    <row r="86" spans="1:5" x14ac:dyDescent="0.3">
      <c r="A86" t="s">
        <v>429</v>
      </c>
    </row>
    <row r="87" spans="1:5" x14ac:dyDescent="0.3">
      <c r="A87">
        <v>28575643</v>
      </c>
      <c r="B87" t="s">
        <v>416</v>
      </c>
      <c r="C87" t="s">
        <v>422</v>
      </c>
      <c r="D87" s="39" t="s">
        <v>182</v>
      </c>
    </row>
    <row r="88" spans="1:5" x14ac:dyDescent="0.3">
      <c r="A88">
        <v>28575762</v>
      </c>
      <c r="B88" t="s">
        <v>201</v>
      </c>
      <c r="C88" t="s">
        <v>423</v>
      </c>
      <c r="D88" s="39" t="s">
        <v>182</v>
      </c>
    </row>
    <row r="89" spans="1:5" x14ac:dyDescent="0.3">
      <c r="A89">
        <v>28575760</v>
      </c>
      <c r="B89" t="s">
        <v>142</v>
      </c>
      <c r="C89" t="s">
        <v>424</v>
      </c>
      <c r="D89" s="39" t="s">
        <v>182</v>
      </c>
    </row>
    <row r="90" spans="1:5" x14ac:dyDescent="0.3">
      <c r="A90">
        <v>28576107</v>
      </c>
      <c r="B90" t="s">
        <v>142</v>
      </c>
      <c r="C90" t="s">
        <v>425</v>
      </c>
      <c r="D90" s="39" t="s">
        <v>182</v>
      </c>
    </row>
    <row r="91" spans="1:5" x14ac:dyDescent="0.3">
      <c r="A91">
        <v>28576095</v>
      </c>
      <c r="B91" t="s">
        <v>256</v>
      </c>
      <c r="C91" t="s">
        <v>426</v>
      </c>
      <c r="D91" s="39" t="s">
        <v>182</v>
      </c>
    </row>
    <row r="92" spans="1:5" x14ac:dyDescent="0.3">
      <c r="A92">
        <v>28576108</v>
      </c>
      <c r="B92" t="s">
        <v>162</v>
      </c>
      <c r="C92" t="s">
        <v>427</v>
      </c>
      <c r="D92" s="39" t="s">
        <v>182</v>
      </c>
    </row>
    <row r="93" spans="1:5" x14ac:dyDescent="0.3">
      <c r="A93">
        <v>28576070</v>
      </c>
      <c r="B93" t="s">
        <v>194</v>
      </c>
      <c r="C93" t="s">
        <v>428</v>
      </c>
      <c r="D93" s="39" t="s">
        <v>182</v>
      </c>
    </row>
    <row r="95" spans="1:5" x14ac:dyDescent="0.3">
      <c r="A95" t="s">
        <v>430</v>
      </c>
    </row>
    <row r="96" spans="1:5" x14ac:dyDescent="0.3">
      <c r="A96" s="1">
        <v>28573145</v>
      </c>
      <c r="B96" t="s">
        <v>366</v>
      </c>
      <c r="D96" t="s">
        <v>176</v>
      </c>
      <c r="E96" t="s">
        <v>437</v>
      </c>
    </row>
    <row r="97" spans="1:5" x14ac:dyDescent="0.3">
      <c r="A97" s="1">
        <v>28567404</v>
      </c>
      <c r="B97" t="s">
        <v>367</v>
      </c>
      <c r="D97" s="39" t="s">
        <v>176</v>
      </c>
      <c r="E97" t="s">
        <v>255</v>
      </c>
    </row>
    <row r="98" spans="1:5" x14ac:dyDescent="0.3">
      <c r="A98" s="1">
        <v>28575518</v>
      </c>
      <c r="B98" t="s">
        <v>431</v>
      </c>
      <c r="C98" t="s">
        <v>435</v>
      </c>
      <c r="D98" t="s">
        <v>218</v>
      </c>
    </row>
    <row r="99" spans="1:5" x14ac:dyDescent="0.3">
      <c r="A99" s="1">
        <v>28576035</v>
      </c>
      <c r="B99" t="s">
        <v>432</v>
      </c>
      <c r="C99" t="s">
        <v>440</v>
      </c>
      <c r="D99" s="39" t="s">
        <v>218</v>
      </c>
    </row>
    <row r="100" spans="1:5" x14ac:dyDescent="0.3">
      <c r="A100" s="1">
        <v>28576094</v>
      </c>
      <c r="B100" t="s">
        <v>368</v>
      </c>
      <c r="C100" t="s">
        <v>436</v>
      </c>
      <c r="D100" s="39" t="s">
        <v>218</v>
      </c>
    </row>
    <row r="102" spans="1:5" x14ac:dyDescent="0.3">
      <c r="A102" t="s">
        <v>441</v>
      </c>
    </row>
    <row r="103" spans="1:5" x14ac:dyDescent="0.3">
      <c r="A103">
        <v>28573133</v>
      </c>
      <c r="B103" t="s">
        <v>388</v>
      </c>
      <c r="D103" s="39" t="s">
        <v>176</v>
      </c>
      <c r="E103" s="39" t="s">
        <v>437</v>
      </c>
    </row>
    <row r="104" spans="1:5" x14ac:dyDescent="0.3">
      <c r="A104">
        <v>28573144</v>
      </c>
      <c r="B104" t="s">
        <v>397</v>
      </c>
      <c r="D104" s="39" t="s">
        <v>176</v>
      </c>
      <c r="E104" s="39" t="s">
        <v>437</v>
      </c>
    </row>
    <row r="105" spans="1:5" x14ac:dyDescent="0.3">
      <c r="A105">
        <v>28573135</v>
      </c>
      <c r="B105" t="s">
        <v>395</v>
      </c>
      <c r="D105" s="39" t="s">
        <v>176</v>
      </c>
      <c r="E105" s="39" t="s">
        <v>437</v>
      </c>
    </row>
    <row r="106" spans="1:5" x14ac:dyDescent="0.3">
      <c r="A106">
        <v>28575263</v>
      </c>
      <c r="B106" t="s">
        <v>394</v>
      </c>
      <c r="C106" t="s">
        <v>449</v>
      </c>
      <c r="D106" s="39" t="s">
        <v>218</v>
      </c>
    </row>
    <row r="107" spans="1:5" x14ac:dyDescent="0.3">
      <c r="A107">
        <v>28575264</v>
      </c>
      <c r="B107" t="s">
        <v>392</v>
      </c>
      <c r="C107" t="s">
        <v>450</v>
      </c>
      <c r="D107" s="39" t="s">
        <v>218</v>
      </c>
    </row>
    <row r="108" spans="1:5" x14ac:dyDescent="0.3">
      <c r="A108">
        <v>28575687</v>
      </c>
      <c r="B108" t="s">
        <v>442</v>
      </c>
      <c r="C108" t="s">
        <v>451</v>
      </c>
      <c r="D108" s="39" t="s">
        <v>218</v>
      </c>
    </row>
    <row r="109" spans="1:5" x14ac:dyDescent="0.3">
      <c r="A109">
        <v>28575686</v>
      </c>
      <c r="B109" t="s">
        <v>443</v>
      </c>
      <c r="C109" t="s">
        <v>452</v>
      </c>
      <c r="D109" s="39" t="s">
        <v>218</v>
      </c>
    </row>
    <row r="110" spans="1:5" x14ac:dyDescent="0.3">
      <c r="A110">
        <v>28576101</v>
      </c>
      <c r="B110" t="s">
        <v>395</v>
      </c>
      <c r="C110" t="s">
        <v>453</v>
      </c>
      <c r="D110" s="39" t="s">
        <v>218</v>
      </c>
    </row>
    <row r="111" spans="1:5" x14ac:dyDescent="0.3">
      <c r="A111">
        <v>28576109</v>
      </c>
      <c r="B111" t="s">
        <v>391</v>
      </c>
      <c r="C111" t="s">
        <v>454</v>
      </c>
      <c r="D111" s="39" t="s">
        <v>218</v>
      </c>
    </row>
    <row r="112" spans="1:5" x14ac:dyDescent="0.3">
      <c r="A112">
        <v>28575939</v>
      </c>
      <c r="B112" t="s">
        <v>444</v>
      </c>
      <c r="D112" s="39" t="s">
        <v>176</v>
      </c>
      <c r="E112" t="s">
        <v>295</v>
      </c>
    </row>
    <row r="113" spans="1:4" x14ac:dyDescent="0.3">
      <c r="A113">
        <v>28576096</v>
      </c>
      <c r="B113" t="s">
        <v>398</v>
      </c>
      <c r="C113" t="s">
        <v>455</v>
      </c>
      <c r="D113" t="s">
        <v>218</v>
      </c>
    </row>
    <row r="114" spans="1:4" x14ac:dyDescent="0.3">
      <c r="A114">
        <v>28576102</v>
      </c>
      <c r="B114" t="s">
        <v>395</v>
      </c>
      <c r="C114" t="s">
        <v>456</v>
      </c>
      <c r="D114" s="39" t="s">
        <v>218</v>
      </c>
    </row>
    <row r="116" spans="1:4" x14ac:dyDescent="0.3">
      <c r="A116" t="s">
        <v>429</v>
      </c>
    </row>
    <row r="117" spans="1:4" x14ac:dyDescent="0.3">
      <c r="A117">
        <v>28576625</v>
      </c>
      <c r="B117" t="s">
        <v>214</v>
      </c>
      <c r="C117" t="s">
        <v>457</v>
      </c>
      <c r="D117" t="s">
        <v>182</v>
      </c>
    </row>
    <row r="118" spans="1:4" x14ac:dyDescent="0.3">
      <c r="A118" t="s">
        <v>430</v>
      </c>
    </row>
    <row r="119" spans="1:4" x14ac:dyDescent="0.3">
      <c r="A119">
        <v>28577577</v>
      </c>
      <c r="B119" t="s">
        <v>458</v>
      </c>
      <c r="C119" t="s">
        <v>459</v>
      </c>
      <c r="D119" s="39" t="s">
        <v>182</v>
      </c>
    </row>
    <row r="120" spans="1:4" x14ac:dyDescent="0.3">
      <c r="A120" t="s">
        <v>441</v>
      </c>
    </row>
    <row r="121" spans="1:4" x14ac:dyDescent="0.3">
      <c r="A121">
        <v>28577520</v>
      </c>
      <c r="B121" t="s">
        <v>391</v>
      </c>
      <c r="C121" t="s">
        <v>461</v>
      </c>
      <c r="D121" s="39" t="s">
        <v>182</v>
      </c>
    </row>
    <row r="122" spans="1:4" x14ac:dyDescent="0.3">
      <c r="A122">
        <v>28577536</v>
      </c>
      <c r="B122" t="s">
        <v>460</v>
      </c>
      <c r="C122" t="s">
        <v>462</v>
      </c>
      <c r="D122" s="39" t="s">
        <v>182</v>
      </c>
    </row>
    <row r="123" spans="1:4" x14ac:dyDescent="0.3">
      <c r="A123">
        <v>28577251</v>
      </c>
      <c r="B123" t="s">
        <v>391</v>
      </c>
      <c r="C123" t="s">
        <v>463</v>
      </c>
      <c r="D123" s="39" t="s">
        <v>182</v>
      </c>
    </row>
    <row r="125" spans="1:4" x14ac:dyDescent="0.3">
      <c r="A125" t="s">
        <v>429</v>
      </c>
    </row>
    <row r="126" spans="1:4" x14ac:dyDescent="0.3">
      <c r="A126">
        <v>28577962</v>
      </c>
      <c r="B126" t="s">
        <v>282</v>
      </c>
      <c r="C126" t="s">
        <v>478</v>
      </c>
      <c r="D126" s="39" t="s">
        <v>182</v>
      </c>
    </row>
    <row r="127" spans="1:4" x14ac:dyDescent="0.3">
      <c r="A127">
        <v>28577996</v>
      </c>
      <c r="B127" t="s">
        <v>163</v>
      </c>
      <c r="C127" t="s">
        <v>479</v>
      </c>
      <c r="D127" s="39" t="s">
        <v>182</v>
      </c>
    </row>
    <row r="128" spans="1:4" x14ac:dyDescent="0.3">
      <c r="A128">
        <v>28578000</v>
      </c>
      <c r="B128" t="s">
        <v>296</v>
      </c>
      <c r="C128" t="s">
        <v>480</v>
      </c>
      <c r="D128" s="39" t="s">
        <v>182</v>
      </c>
    </row>
    <row r="129" spans="1:4" x14ac:dyDescent="0.3">
      <c r="A129">
        <v>28577998</v>
      </c>
      <c r="B129" t="s">
        <v>296</v>
      </c>
      <c r="C129" t="s">
        <v>481</v>
      </c>
      <c r="D129" s="39" t="s">
        <v>182</v>
      </c>
    </row>
    <row r="130" spans="1:4" x14ac:dyDescent="0.3">
      <c r="A130">
        <v>28578136</v>
      </c>
      <c r="B130" t="s">
        <v>469</v>
      </c>
      <c r="C130" t="s">
        <v>482</v>
      </c>
      <c r="D130" s="39" t="s">
        <v>182</v>
      </c>
    </row>
    <row r="131" spans="1:4" x14ac:dyDescent="0.3">
      <c r="A131">
        <v>28577958</v>
      </c>
      <c r="B131" t="s">
        <v>282</v>
      </c>
      <c r="C131" t="s">
        <v>483</v>
      </c>
      <c r="D131" s="39" t="s">
        <v>182</v>
      </c>
    </row>
    <row r="133" spans="1:4" x14ac:dyDescent="0.3">
      <c r="A133" t="s">
        <v>430</v>
      </c>
    </row>
    <row r="134" spans="1:4" x14ac:dyDescent="0.3">
      <c r="A134">
        <v>28578137</v>
      </c>
      <c r="B134" t="s">
        <v>431</v>
      </c>
      <c r="C134" t="s">
        <v>484</v>
      </c>
      <c r="D134" s="39" t="s">
        <v>182</v>
      </c>
    </row>
    <row r="136" spans="1:4" x14ac:dyDescent="0.3">
      <c r="A136" t="s">
        <v>429</v>
      </c>
    </row>
    <row r="137" spans="1:4" x14ac:dyDescent="0.3">
      <c r="A137">
        <v>28579031</v>
      </c>
      <c r="B137" t="s">
        <v>485</v>
      </c>
      <c r="C137" t="s">
        <v>490</v>
      </c>
      <c r="D137" s="39" t="s">
        <v>182</v>
      </c>
    </row>
    <row r="138" spans="1:4" x14ac:dyDescent="0.3">
      <c r="A138">
        <v>28579225</v>
      </c>
      <c r="B138" t="s">
        <v>219</v>
      </c>
      <c r="C138" t="s">
        <v>491</v>
      </c>
      <c r="D138" s="39" t="s">
        <v>182</v>
      </c>
    </row>
    <row r="140" spans="1:4" x14ac:dyDescent="0.3">
      <c r="A140" t="s">
        <v>430</v>
      </c>
    </row>
    <row r="141" spans="1:4" x14ac:dyDescent="0.3">
      <c r="A141">
        <v>28579034</v>
      </c>
      <c r="B141" t="s">
        <v>492</v>
      </c>
      <c r="C141" t="s">
        <v>493</v>
      </c>
      <c r="D141" s="39" t="s">
        <v>182</v>
      </c>
    </row>
    <row r="143" spans="1:4" x14ac:dyDescent="0.3">
      <c r="A143" t="s">
        <v>441</v>
      </c>
    </row>
    <row r="144" spans="1:4" x14ac:dyDescent="0.3">
      <c r="A144">
        <v>28579037</v>
      </c>
      <c r="B144" t="s">
        <v>442</v>
      </c>
      <c r="C144" t="s">
        <v>496</v>
      </c>
      <c r="D144" s="39" t="s">
        <v>182</v>
      </c>
    </row>
    <row r="145" spans="1:5" x14ac:dyDescent="0.3">
      <c r="A145">
        <v>28579002</v>
      </c>
      <c r="B145" t="s">
        <v>392</v>
      </c>
      <c r="C145" t="s">
        <v>497</v>
      </c>
      <c r="D145" s="39" t="s">
        <v>182</v>
      </c>
    </row>
    <row r="146" spans="1:5" x14ac:dyDescent="0.3">
      <c r="A146">
        <v>28579036</v>
      </c>
      <c r="B146" t="s">
        <v>495</v>
      </c>
      <c r="C146" t="s">
        <v>500</v>
      </c>
      <c r="D146" s="39" t="s">
        <v>182</v>
      </c>
    </row>
    <row r="148" spans="1:5" x14ac:dyDescent="0.3">
      <c r="A148" t="s">
        <v>430</v>
      </c>
    </row>
    <row r="149" spans="1:5" x14ac:dyDescent="0.3">
      <c r="A149">
        <v>28579950</v>
      </c>
      <c r="B149" t="s">
        <v>370</v>
      </c>
      <c r="C149" t="s">
        <v>501</v>
      </c>
      <c r="D149" s="39" t="s">
        <v>182</v>
      </c>
    </row>
    <row r="150" spans="1:5" x14ac:dyDescent="0.3">
      <c r="A150">
        <v>28579946</v>
      </c>
      <c r="B150" t="s">
        <v>369</v>
      </c>
      <c r="C150" t="s">
        <v>502</v>
      </c>
      <c r="D150" s="39" t="s">
        <v>182</v>
      </c>
    </row>
    <row r="152" spans="1:5" x14ac:dyDescent="0.3">
      <c r="A152" t="s">
        <v>441</v>
      </c>
    </row>
    <row r="153" spans="1:5" x14ac:dyDescent="0.3">
      <c r="A153">
        <v>28579948</v>
      </c>
      <c r="B153" t="s">
        <v>397</v>
      </c>
      <c r="C153" t="s">
        <v>504</v>
      </c>
      <c r="D153" s="39" t="s">
        <v>182</v>
      </c>
    </row>
    <row r="154" spans="1:5" x14ac:dyDescent="0.3">
      <c r="A154">
        <v>28579941</v>
      </c>
      <c r="B154" t="s">
        <v>503</v>
      </c>
      <c r="C154" t="s">
        <v>505</v>
      </c>
      <c r="D154" s="39" t="s">
        <v>182</v>
      </c>
    </row>
    <row r="155" spans="1:5" x14ac:dyDescent="0.3">
      <c r="A155">
        <v>28579951</v>
      </c>
      <c r="B155" t="s">
        <v>394</v>
      </c>
      <c r="C155" t="s">
        <v>506</v>
      </c>
      <c r="D155" s="39" t="s">
        <v>182</v>
      </c>
    </row>
    <row r="157" spans="1:5" x14ac:dyDescent="0.3">
      <c r="A157">
        <v>28580974</v>
      </c>
      <c r="B157" t="s">
        <v>508</v>
      </c>
      <c r="C157" t="s">
        <v>469</v>
      </c>
      <c r="D157" t="s">
        <v>550</v>
      </c>
      <c r="E157" s="39" t="s">
        <v>182</v>
      </c>
    </row>
    <row r="158" spans="1:5" x14ac:dyDescent="0.3">
      <c r="A158">
        <v>28581144</v>
      </c>
      <c r="B158" t="s">
        <v>508</v>
      </c>
      <c r="C158" t="s">
        <v>282</v>
      </c>
      <c r="D158" t="s">
        <v>551</v>
      </c>
      <c r="E158" s="39" t="s">
        <v>182</v>
      </c>
    </row>
    <row r="159" spans="1:5" x14ac:dyDescent="0.3">
      <c r="A159">
        <v>28581550</v>
      </c>
      <c r="B159" t="s">
        <v>508</v>
      </c>
      <c r="C159" t="s">
        <v>485</v>
      </c>
      <c r="D159" t="s">
        <v>552</v>
      </c>
      <c r="E159" s="39" t="s">
        <v>182</v>
      </c>
    </row>
    <row r="160" spans="1:5" x14ac:dyDescent="0.3">
      <c r="A160">
        <v>28581547</v>
      </c>
      <c r="B160" t="s">
        <v>508</v>
      </c>
      <c r="C160" t="s">
        <v>282</v>
      </c>
      <c r="D160" t="s">
        <v>553</v>
      </c>
      <c r="E160" s="39" t="s">
        <v>182</v>
      </c>
    </row>
    <row r="161" spans="1:5" x14ac:dyDescent="0.3">
      <c r="A161">
        <v>28581549</v>
      </c>
      <c r="B161" t="s">
        <v>508</v>
      </c>
      <c r="C161" t="s">
        <v>140</v>
      </c>
      <c r="D161" t="s">
        <v>554</v>
      </c>
      <c r="E161" s="39" t="s">
        <v>182</v>
      </c>
    </row>
    <row r="162" spans="1:5" x14ac:dyDescent="0.3">
      <c r="A162">
        <v>28581200</v>
      </c>
      <c r="B162" t="s">
        <v>508</v>
      </c>
      <c r="C162" t="s">
        <v>163</v>
      </c>
      <c r="D162" t="s">
        <v>568</v>
      </c>
      <c r="E162" s="39" t="s">
        <v>182</v>
      </c>
    </row>
    <row r="163" spans="1:5" x14ac:dyDescent="0.3">
      <c r="A163">
        <v>28581746</v>
      </c>
      <c r="B163" t="s">
        <v>508</v>
      </c>
      <c r="C163" t="s">
        <v>142</v>
      </c>
      <c r="D163" t="s">
        <v>569</v>
      </c>
      <c r="E163" s="39" t="s">
        <v>182</v>
      </c>
    </row>
    <row r="164" spans="1:5" x14ac:dyDescent="0.3">
      <c r="A164">
        <v>28582318</v>
      </c>
      <c r="B164" t="s">
        <v>508</v>
      </c>
      <c r="C164" t="s">
        <v>173</v>
      </c>
      <c r="D164" t="s">
        <v>570</v>
      </c>
      <c r="E164" s="39" t="s">
        <v>182</v>
      </c>
    </row>
    <row r="165" spans="1:5" x14ac:dyDescent="0.3">
      <c r="A165">
        <v>28580973</v>
      </c>
      <c r="B165" t="s">
        <v>430</v>
      </c>
      <c r="C165" t="s">
        <v>368</v>
      </c>
      <c r="D165" t="s">
        <v>571</v>
      </c>
      <c r="E165" s="39" t="s">
        <v>182</v>
      </c>
    </row>
    <row r="166" spans="1:5" x14ac:dyDescent="0.3">
      <c r="A166">
        <v>28580966</v>
      </c>
      <c r="B166" t="s">
        <v>430</v>
      </c>
      <c r="C166" t="s">
        <v>431</v>
      </c>
      <c r="D166" t="s">
        <v>572</v>
      </c>
      <c r="E166" s="39" t="s">
        <v>182</v>
      </c>
    </row>
    <row r="167" spans="1:5" x14ac:dyDescent="0.3">
      <c r="A167">
        <v>28580959</v>
      </c>
      <c r="B167" t="s">
        <v>441</v>
      </c>
      <c r="C167" t="s">
        <v>391</v>
      </c>
      <c r="D167" t="s">
        <v>573</v>
      </c>
      <c r="E167" s="39" t="s">
        <v>182</v>
      </c>
    </row>
    <row r="168" spans="1:5" x14ac:dyDescent="0.3">
      <c r="A168">
        <v>28581968</v>
      </c>
      <c r="B168" t="s">
        <v>441</v>
      </c>
      <c r="C168" t="s">
        <v>394</v>
      </c>
      <c r="D168" t="s">
        <v>574</v>
      </c>
      <c r="E168" s="39" t="s">
        <v>182</v>
      </c>
    </row>
    <row r="169" spans="1:5" x14ac:dyDescent="0.3">
      <c r="A169">
        <v>28582321</v>
      </c>
      <c r="B169" t="s">
        <v>441</v>
      </c>
      <c r="C169" t="s">
        <v>397</v>
      </c>
      <c r="D169" t="s">
        <v>575</v>
      </c>
      <c r="E169" s="39" t="s">
        <v>182</v>
      </c>
    </row>
    <row r="170" spans="1:5" x14ac:dyDescent="0.3">
      <c r="A170">
        <v>28581209</v>
      </c>
      <c r="B170" t="s">
        <v>508</v>
      </c>
      <c r="C170" t="s">
        <v>160</v>
      </c>
      <c r="D170" t="s">
        <v>579</v>
      </c>
      <c r="E170" s="39" t="s">
        <v>182</v>
      </c>
    </row>
    <row r="171" spans="1:5" x14ac:dyDescent="0.3">
      <c r="A171" s="1">
        <v>28576070</v>
      </c>
      <c r="B171" s="39" t="s">
        <v>508</v>
      </c>
      <c r="C171" s="1" t="s">
        <v>194</v>
      </c>
      <c r="E171" t="s">
        <v>255</v>
      </c>
    </row>
    <row r="172" spans="1:5" x14ac:dyDescent="0.3">
      <c r="A172" s="1">
        <v>28574239</v>
      </c>
      <c r="B172" s="39" t="s">
        <v>508</v>
      </c>
      <c r="C172" s="1" t="s">
        <v>141</v>
      </c>
      <c r="E172" s="39" t="s">
        <v>255</v>
      </c>
    </row>
    <row r="173" spans="1:5" x14ac:dyDescent="0.3">
      <c r="A173" s="1">
        <v>28582271</v>
      </c>
      <c r="B173" s="39" t="s">
        <v>508</v>
      </c>
      <c r="C173" s="1" t="s">
        <v>145</v>
      </c>
      <c r="E173" t="s">
        <v>581</v>
      </c>
    </row>
  </sheetData>
  <autoFilter ref="A1:D15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"/>
  <sheetViews>
    <sheetView workbookViewId="0">
      <selection activeCell="F22" sqref="F22"/>
    </sheetView>
  </sheetViews>
  <sheetFormatPr defaultRowHeight="14.4" x14ac:dyDescent="0.3"/>
  <sheetData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>
    <tabColor rgb="FF18FCFF"/>
  </sheetPr>
  <dimension ref="A1:L1"/>
  <sheetViews>
    <sheetView workbookViewId="0">
      <selection activeCell="C20" sqref="C20"/>
    </sheetView>
  </sheetViews>
  <sheetFormatPr defaultColWidth="9.109375" defaultRowHeight="14.4" x14ac:dyDescent="0.3"/>
  <cols>
    <col min="1" max="1" width="3.109375" style="34" bestFit="1" customWidth="1"/>
    <col min="2" max="2" width="9.109375" style="34"/>
    <col min="3" max="3" width="50.6640625" style="34" bestFit="1" customWidth="1"/>
    <col min="4" max="4" width="37.5546875" style="34" bestFit="1" customWidth="1"/>
    <col min="5" max="7" width="15.33203125" style="34" bestFit="1" customWidth="1"/>
    <col min="8" max="8" width="10.109375" style="34" bestFit="1" customWidth="1"/>
    <col min="9" max="11" width="9.109375" style="34"/>
    <col min="12" max="12" width="10.109375" style="34" bestFit="1" customWidth="1"/>
    <col min="13" max="16384" width="9.109375" style="34"/>
  </cols>
  <sheetData>
    <row r="1" spans="1:12" ht="29.25" customHeight="1" thickBot="1" x14ac:dyDescent="0.35">
      <c r="A1" s="35" t="s">
        <v>89</v>
      </c>
      <c r="B1" s="36" t="s">
        <v>90</v>
      </c>
      <c r="C1" s="36" t="s">
        <v>91</v>
      </c>
      <c r="D1" s="36" t="s">
        <v>4</v>
      </c>
      <c r="E1" s="36" t="s">
        <v>92</v>
      </c>
      <c r="F1" s="36" t="s">
        <v>50</v>
      </c>
      <c r="G1" s="36" t="s">
        <v>93</v>
      </c>
      <c r="H1" s="38">
        <f>COUNTA(B:B)-1</f>
        <v>0</v>
      </c>
      <c r="L1" s="37">
        <f ca="1">TODAY()</f>
        <v>43119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3" name="Button 2">
              <controlPr defaultSize="0" print="0" autoFill="0" autoPict="0" macro="[0]!CloseDefendIsue">
                <anchor moveWithCells="1" sizeWithCells="1">
                  <from>
                    <xdr:col>8</xdr:col>
                    <xdr:colOff>60960</xdr:colOff>
                    <xdr:row>0</xdr:row>
                    <xdr:rowOff>7620</xdr:rowOff>
                  </from>
                  <to>
                    <xdr:col>10</xdr:col>
                    <xdr:colOff>228600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D42"/>
  <sheetViews>
    <sheetView topLeftCell="A20" workbookViewId="0">
      <selection activeCell="H32" sqref="H32"/>
    </sheetView>
  </sheetViews>
  <sheetFormatPr defaultRowHeight="14.4" x14ac:dyDescent="0.3"/>
  <cols>
    <col min="2" max="2" width="14.5546875" bestFit="1" customWidth="1"/>
    <col min="4" max="4" width="24.44140625" bestFit="1" customWidth="1"/>
  </cols>
  <sheetData>
    <row r="1" spans="1:4" ht="15" thickBot="1" x14ac:dyDescent="0.35">
      <c r="A1" s="7">
        <f>COUNTA(A2:A94)</f>
        <v>9</v>
      </c>
      <c r="B1" s="9" t="s">
        <v>48</v>
      </c>
      <c r="C1" s="11">
        <f>COUNTA(C2:C94)</f>
        <v>41</v>
      </c>
      <c r="D1" s="10" t="s">
        <v>34</v>
      </c>
    </row>
    <row r="2" spans="1:4" x14ac:dyDescent="0.3">
      <c r="A2" s="5" t="s">
        <v>26</v>
      </c>
      <c r="B2" s="4"/>
      <c r="C2" t="s">
        <v>49</v>
      </c>
    </row>
    <row r="3" spans="1:4" x14ac:dyDescent="0.3">
      <c r="A3" s="5" t="s">
        <v>27</v>
      </c>
      <c r="B3" s="4"/>
      <c r="C3" t="s">
        <v>136</v>
      </c>
    </row>
    <row r="4" spans="1:4" x14ac:dyDescent="0.3">
      <c r="A4" s="5" t="s">
        <v>29</v>
      </c>
      <c r="B4" s="4"/>
      <c r="C4" t="s">
        <v>35</v>
      </c>
    </row>
    <row r="5" spans="1:4" x14ac:dyDescent="0.3">
      <c r="A5" s="6" t="s">
        <v>40</v>
      </c>
      <c r="B5" s="4"/>
      <c r="C5" t="s">
        <v>36</v>
      </c>
    </row>
    <row r="6" spans="1:4" x14ac:dyDescent="0.3">
      <c r="A6" s="6" t="s">
        <v>41</v>
      </c>
      <c r="B6" s="4"/>
      <c r="C6" t="s">
        <v>37</v>
      </c>
    </row>
    <row r="7" spans="1:4" x14ac:dyDescent="0.3">
      <c r="A7" t="s">
        <v>95</v>
      </c>
      <c r="B7" s="4"/>
      <c r="C7" t="s">
        <v>47</v>
      </c>
    </row>
    <row r="8" spans="1:4" x14ac:dyDescent="0.3">
      <c r="A8" t="s">
        <v>96</v>
      </c>
      <c r="B8" s="4"/>
      <c r="C8" s="5" t="s">
        <v>28</v>
      </c>
    </row>
    <row r="9" spans="1:4" x14ac:dyDescent="0.3">
      <c r="A9" t="s">
        <v>97</v>
      </c>
      <c r="B9" s="4"/>
      <c r="C9" t="s">
        <v>52</v>
      </c>
    </row>
    <row r="10" spans="1:4" x14ac:dyDescent="0.3">
      <c r="A10" t="s">
        <v>105</v>
      </c>
      <c r="B10" s="4"/>
      <c r="C10" t="s">
        <v>53</v>
      </c>
    </row>
    <row r="11" spans="1:4" x14ac:dyDescent="0.3">
      <c r="B11" s="4"/>
      <c r="C11" t="s">
        <v>55</v>
      </c>
    </row>
    <row r="12" spans="1:4" x14ac:dyDescent="0.3">
      <c r="B12" s="4"/>
      <c r="C12" t="s">
        <v>56</v>
      </c>
    </row>
    <row r="13" spans="1:4" x14ac:dyDescent="0.3">
      <c r="B13" s="4"/>
      <c r="C13" t="s">
        <v>83</v>
      </c>
    </row>
    <row r="14" spans="1:4" x14ac:dyDescent="0.3">
      <c r="B14" s="4"/>
      <c r="C14" t="s">
        <v>84</v>
      </c>
    </row>
    <row r="15" spans="1:4" x14ac:dyDescent="0.3">
      <c r="B15" s="4"/>
      <c r="C15" t="s">
        <v>85</v>
      </c>
    </row>
    <row r="16" spans="1:4" x14ac:dyDescent="0.3">
      <c r="B16" s="4"/>
      <c r="C16" t="s">
        <v>116</v>
      </c>
    </row>
    <row r="17" spans="2:3" x14ac:dyDescent="0.3">
      <c r="B17" s="4"/>
      <c r="C17" t="s">
        <v>98</v>
      </c>
    </row>
    <row r="18" spans="2:3" x14ac:dyDescent="0.3">
      <c r="C18" t="s">
        <v>95</v>
      </c>
    </row>
    <row r="19" spans="2:3" x14ac:dyDescent="0.3">
      <c r="C19" t="s">
        <v>99</v>
      </c>
    </row>
    <row r="20" spans="2:3" x14ac:dyDescent="0.3">
      <c r="C20" t="s">
        <v>100</v>
      </c>
    </row>
    <row r="21" spans="2:3" x14ac:dyDescent="0.3">
      <c r="C21" t="s">
        <v>101</v>
      </c>
    </row>
    <row r="22" spans="2:3" x14ac:dyDescent="0.3">
      <c r="C22" t="s">
        <v>102</v>
      </c>
    </row>
    <row r="23" spans="2:3" x14ac:dyDescent="0.3">
      <c r="C23" t="s">
        <v>37</v>
      </c>
    </row>
    <row r="24" spans="2:3" x14ac:dyDescent="0.3">
      <c r="C24" t="s">
        <v>106</v>
      </c>
    </row>
    <row r="25" spans="2:3" x14ac:dyDescent="0.3">
      <c r="C25" t="s">
        <v>107</v>
      </c>
    </row>
    <row r="26" spans="2:3" x14ac:dyDescent="0.3">
      <c r="C26" t="s">
        <v>137</v>
      </c>
    </row>
    <row r="27" spans="2:3" x14ac:dyDescent="0.3">
      <c r="C27" t="s">
        <v>138</v>
      </c>
    </row>
    <row r="28" spans="2:3" x14ac:dyDescent="0.3">
      <c r="C28" t="s">
        <v>139</v>
      </c>
    </row>
    <row r="29" spans="2:3" x14ac:dyDescent="0.3">
      <c r="C29" t="s">
        <v>151</v>
      </c>
    </row>
    <row r="30" spans="2:3" x14ac:dyDescent="0.3">
      <c r="C30" t="s">
        <v>152</v>
      </c>
    </row>
    <row r="31" spans="2:3" x14ac:dyDescent="0.3">
      <c r="C31" t="s">
        <v>153</v>
      </c>
    </row>
    <row r="32" spans="2:3" x14ac:dyDescent="0.3">
      <c r="C32" t="s">
        <v>178</v>
      </c>
    </row>
    <row r="33" spans="3:3" x14ac:dyDescent="0.3">
      <c r="C33" t="s">
        <v>179</v>
      </c>
    </row>
    <row r="34" spans="3:3" x14ac:dyDescent="0.3">
      <c r="C34" t="s">
        <v>180</v>
      </c>
    </row>
    <row r="35" spans="3:3" x14ac:dyDescent="0.3">
      <c r="C35" t="s">
        <v>216</v>
      </c>
    </row>
    <row r="36" spans="3:3" x14ac:dyDescent="0.3">
      <c r="C36" t="s">
        <v>265</v>
      </c>
    </row>
    <row r="37" spans="3:3" x14ac:dyDescent="0.3">
      <c r="C37" t="s">
        <v>266</v>
      </c>
    </row>
    <row r="38" spans="3:3" x14ac:dyDescent="0.3">
      <c r="C38" t="s">
        <v>289</v>
      </c>
    </row>
    <row r="39" spans="3:3" x14ac:dyDescent="0.3">
      <c r="C39" t="s">
        <v>413</v>
      </c>
    </row>
    <row r="40" spans="3:3" x14ac:dyDescent="0.3">
      <c r="C40" t="s">
        <v>576</v>
      </c>
    </row>
    <row r="41" spans="3:3" x14ac:dyDescent="0.3">
      <c r="C41" t="s">
        <v>577</v>
      </c>
    </row>
    <row r="42" spans="3:3" x14ac:dyDescent="0.3">
      <c r="C42" t="s">
        <v>578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C132"/>
  <sheetViews>
    <sheetView topLeftCell="A59" workbookViewId="0">
      <selection activeCell="C68" sqref="C68"/>
    </sheetView>
  </sheetViews>
  <sheetFormatPr defaultRowHeight="14.4" x14ac:dyDescent="0.3"/>
  <cols>
    <col min="1" max="1" width="5.5546875" customWidth="1"/>
    <col min="2" max="2" width="13.44140625" bestFit="1" customWidth="1"/>
    <col min="3" max="3" width="21.88671875" bestFit="1" customWidth="1"/>
  </cols>
  <sheetData>
    <row r="1" spans="1:3" x14ac:dyDescent="0.3">
      <c r="A1" s="28">
        <f>COUNTA(B:B)-1</f>
        <v>131</v>
      </c>
      <c r="B1" s="30" t="s">
        <v>57</v>
      </c>
      <c r="C1" s="29" t="s">
        <v>58</v>
      </c>
    </row>
    <row r="2" spans="1:3" x14ac:dyDescent="0.3">
      <c r="A2">
        <v>1</v>
      </c>
      <c r="B2" s="39" t="s">
        <v>116</v>
      </c>
      <c r="C2" s="39" t="s">
        <v>466</v>
      </c>
    </row>
    <row r="3" spans="1:3" s="39" customFormat="1" x14ac:dyDescent="0.3">
      <c r="A3" s="39">
        <v>2</v>
      </c>
      <c r="B3" s="39" t="s">
        <v>546</v>
      </c>
      <c r="C3" s="39" t="s">
        <v>547</v>
      </c>
    </row>
    <row r="4" spans="1:3" s="39" customFormat="1" x14ac:dyDescent="0.3">
      <c r="A4" s="39">
        <v>3</v>
      </c>
      <c r="B4" s="39" t="s">
        <v>542</v>
      </c>
      <c r="C4" s="39" t="s">
        <v>541</v>
      </c>
    </row>
    <row r="5" spans="1:3" s="39" customFormat="1" x14ac:dyDescent="0.3">
      <c r="A5" s="39">
        <v>4</v>
      </c>
      <c r="B5" s="39" t="s">
        <v>499</v>
      </c>
      <c r="C5" s="39" t="s">
        <v>498</v>
      </c>
    </row>
    <row r="6" spans="1:3" s="39" customFormat="1" x14ac:dyDescent="0.3">
      <c r="A6" s="39">
        <v>5</v>
      </c>
      <c r="B6" s="39" t="s">
        <v>470</v>
      </c>
      <c r="C6" s="39" t="s">
        <v>471</v>
      </c>
    </row>
    <row r="7" spans="1:3" x14ac:dyDescent="0.3">
      <c r="A7">
        <v>6</v>
      </c>
      <c r="B7" s="39" t="s">
        <v>291</v>
      </c>
      <c r="C7" s="39" t="s">
        <v>292</v>
      </c>
    </row>
    <row r="8" spans="1:3" x14ac:dyDescent="0.3">
      <c r="A8">
        <v>7</v>
      </c>
      <c r="B8" s="39" t="s">
        <v>59</v>
      </c>
      <c r="C8" s="39" t="s">
        <v>60</v>
      </c>
    </row>
    <row r="9" spans="1:3" x14ac:dyDescent="0.3">
      <c r="A9">
        <v>8</v>
      </c>
      <c r="B9" s="39" t="s">
        <v>61</v>
      </c>
      <c r="C9" s="39" t="s">
        <v>62</v>
      </c>
    </row>
    <row r="10" spans="1:3" x14ac:dyDescent="0.3">
      <c r="A10">
        <v>9</v>
      </c>
      <c r="B10" s="39" t="s">
        <v>63</v>
      </c>
      <c r="C10" s="39" t="s">
        <v>86</v>
      </c>
    </row>
    <row r="11" spans="1:3" x14ac:dyDescent="0.3">
      <c r="A11">
        <v>10</v>
      </c>
      <c r="B11" s="39" t="s">
        <v>108</v>
      </c>
      <c r="C11" s="39" t="s">
        <v>64</v>
      </c>
    </row>
    <row r="12" spans="1:3" s="39" customFormat="1" x14ac:dyDescent="0.3">
      <c r="A12" s="39">
        <v>11</v>
      </c>
      <c r="B12" s="39" t="s">
        <v>65</v>
      </c>
      <c r="C12" s="39" t="s">
        <v>66</v>
      </c>
    </row>
    <row r="13" spans="1:3" x14ac:dyDescent="0.3">
      <c r="A13">
        <v>12</v>
      </c>
      <c r="B13" s="39" t="s">
        <v>220</v>
      </c>
      <c r="C13" s="39" t="s">
        <v>221</v>
      </c>
    </row>
    <row r="14" spans="1:3" x14ac:dyDescent="0.3">
      <c r="A14">
        <v>13</v>
      </c>
      <c r="B14" s="39" t="s">
        <v>68</v>
      </c>
      <c r="C14" s="39" t="s">
        <v>69</v>
      </c>
    </row>
    <row r="15" spans="1:3" x14ac:dyDescent="0.3">
      <c r="A15">
        <v>14</v>
      </c>
      <c r="B15" s="39" t="s">
        <v>71</v>
      </c>
      <c r="C15" s="39" t="s">
        <v>72</v>
      </c>
    </row>
    <row r="16" spans="1:3" x14ac:dyDescent="0.3">
      <c r="A16">
        <v>15</v>
      </c>
      <c r="B16" s="39" t="s">
        <v>297</v>
      </c>
      <c r="C16" s="39" t="s">
        <v>298</v>
      </c>
    </row>
    <row r="17" spans="1:3" x14ac:dyDescent="0.3">
      <c r="A17">
        <v>16</v>
      </c>
      <c r="B17" s="39" t="s">
        <v>73</v>
      </c>
      <c r="C17" s="39" t="s">
        <v>74</v>
      </c>
    </row>
    <row r="18" spans="1:3" x14ac:dyDescent="0.3">
      <c r="A18">
        <v>17</v>
      </c>
      <c r="B18" s="39" t="s">
        <v>75</v>
      </c>
      <c r="C18" s="39" t="s">
        <v>467</v>
      </c>
    </row>
    <row r="19" spans="1:3" x14ac:dyDescent="0.3">
      <c r="A19">
        <v>18</v>
      </c>
      <c r="B19" s="39" t="s">
        <v>76</v>
      </c>
      <c r="C19" s="39" t="s">
        <v>299</v>
      </c>
    </row>
    <row r="20" spans="1:3" x14ac:dyDescent="0.3">
      <c r="A20">
        <v>19</v>
      </c>
      <c r="B20" s="39" t="s">
        <v>77</v>
      </c>
      <c r="C20" s="39" t="s">
        <v>78</v>
      </c>
    </row>
    <row r="21" spans="1:3" x14ac:dyDescent="0.3">
      <c r="A21">
        <v>20</v>
      </c>
      <c r="B21" s="39" t="s">
        <v>79</v>
      </c>
      <c r="C21" s="39" t="s">
        <v>80</v>
      </c>
    </row>
    <row r="22" spans="1:3" x14ac:dyDescent="0.3">
      <c r="A22">
        <v>21</v>
      </c>
      <c r="B22" s="39" t="s">
        <v>81</v>
      </c>
      <c r="C22" s="39" t="s">
        <v>82</v>
      </c>
    </row>
    <row r="23" spans="1:3" x14ac:dyDescent="0.3">
      <c r="A23">
        <v>22</v>
      </c>
      <c r="B23" s="39" t="s">
        <v>87</v>
      </c>
      <c r="C23" s="39" t="s">
        <v>88</v>
      </c>
    </row>
    <row r="24" spans="1:3" x14ac:dyDescent="0.3">
      <c r="A24">
        <v>23</v>
      </c>
      <c r="B24" s="39" t="s">
        <v>156</v>
      </c>
      <c r="C24" s="39" t="s">
        <v>157</v>
      </c>
    </row>
    <row r="25" spans="1:3" x14ac:dyDescent="0.3">
      <c r="A25">
        <v>24</v>
      </c>
      <c r="B25" s="39" t="s">
        <v>104</v>
      </c>
      <c r="C25" s="39" t="s">
        <v>103</v>
      </c>
    </row>
    <row r="26" spans="1:3" x14ac:dyDescent="0.3">
      <c r="A26">
        <v>25</v>
      </c>
      <c r="B26" s="39" t="s">
        <v>109</v>
      </c>
      <c r="C26" s="39" t="s">
        <v>110</v>
      </c>
    </row>
    <row r="27" spans="1:3" x14ac:dyDescent="0.3">
      <c r="A27">
        <v>26</v>
      </c>
      <c r="B27" s="39" t="s">
        <v>112</v>
      </c>
      <c r="C27" s="39" t="s">
        <v>111</v>
      </c>
    </row>
    <row r="28" spans="1:3" x14ac:dyDescent="0.3">
      <c r="A28">
        <v>27</v>
      </c>
      <c r="B28" s="39" t="s">
        <v>114</v>
      </c>
      <c r="C28" s="39" t="s">
        <v>115</v>
      </c>
    </row>
    <row r="29" spans="1:3" x14ac:dyDescent="0.3">
      <c r="A29">
        <v>28</v>
      </c>
      <c r="B29" s="39" t="s">
        <v>118</v>
      </c>
      <c r="C29" s="39" t="s">
        <v>119</v>
      </c>
    </row>
    <row r="30" spans="1:3" x14ac:dyDescent="0.3">
      <c r="A30">
        <v>29</v>
      </c>
      <c r="B30" s="39" t="s">
        <v>120</v>
      </c>
      <c r="C30" s="39" t="s">
        <v>121</v>
      </c>
    </row>
    <row r="31" spans="1:3" x14ac:dyDescent="0.3">
      <c r="A31">
        <v>30</v>
      </c>
      <c r="B31" s="39" t="s">
        <v>122</v>
      </c>
      <c r="C31" s="39" t="s">
        <v>123</v>
      </c>
    </row>
    <row r="32" spans="1:3" x14ac:dyDescent="0.3">
      <c r="A32">
        <v>31</v>
      </c>
      <c r="B32" s="39" t="s">
        <v>124</v>
      </c>
      <c r="C32" s="39" t="s">
        <v>125</v>
      </c>
    </row>
    <row r="33" spans="1:3" x14ac:dyDescent="0.3">
      <c r="A33">
        <v>32</v>
      </c>
      <c r="B33" s="39" t="s">
        <v>126</v>
      </c>
      <c r="C33" s="39" t="s">
        <v>127</v>
      </c>
    </row>
    <row r="34" spans="1:3" x14ac:dyDescent="0.3">
      <c r="A34">
        <v>33</v>
      </c>
      <c r="B34" s="39" t="s">
        <v>128</v>
      </c>
      <c r="C34" s="39" t="s">
        <v>129</v>
      </c>
    </row>
    <row r="35" spans="1:3" x14ac:dyDescent="0.3">
      <c r="A35">
        <v>34</v>
      </c>
      <c r="B35" s="39" t="s">
        <v>130</v>
      </c>
      <c r="C35" s="39" t="s">
        <v>131</v>
      </c>
    </row>
    <row r="36" spans="1:3" x14ac:dyDescent="0.3">
      <c r="A36">
        <v>35</v>
      </c>
      <c r="B36" s="39" t="s">
        <v>132</v>
      </c>
      <c r="C36" s="39" t="s">
        <v>133</v>
      </c>
    </row>
    <row r="37" spans="1:3" x14ac:dyDescent="0.3">
      <c r="A37">
        <v>36</v>
      </c>
      <c r="B37" s="39" t="s">
        <v>134</v>
      </c>
      <c r="C37" s="39" t="s">
        <v>135</v>
      </c>
    </row>
    <row r="38" spans="1:3" x14ac:dyDescent="0.3">
      <c r="A38">
        <v>37</v>
      </c>
      <c r="B38" s="39" t="s">
        <v>143</v>
      </c>
      <c r="C38" s="39" t="s">
        <v>144</v>
      </c>
    </row>
    <row r="39" spans="1:3" x14ac:dyDescent="0.3">
      <c r="A39">
        <v>38</v>
      </c>
      <c r="B39" s="39" t="s">
        <v>146</v>
      </c>
      <c r="C39" s="39" t="s">
        <v>147</v>
      </c>
    </row>
    <row r="40" spans="1:3" x14ac:dyDescent="0.3">
      <c r="A40">
        <v>39</v>
      </c>
      <c r="B40" s="39" t="s">
        <v>148</v>
      </c>
      <c r="C40" s="39" t="s">
        <v>149</v>
      </c>
    </row>
    <row r="41" spans="1:3" x14ac:dyDescent="0.3">
      <c r="A41">
        <v>40</v>
      </c>
      <c r="B41" s="39" t="s">
        <v>117</v>
      </c>
      <c r="C41" s="39" t="s">
        <v>94</v>
      </c>
    </row>
    <row r="42" spans="1:3" s="39" customFormat="1" x14ac:dyDescent="0.3">
      <c r="A42" s="39">
        <v>41</v>
      </c>
      <c r="B42" s="39" t="s">
        <v>359</v>
      </c>
      <c r="C42" s="39" t="s">
        <v>360</v>
      </c>
    </row>
    <row r="43" spans="1:3" x14ac:dyDescent="0.3">
      <c r="A43">
        <v>42</v>
      </c>
      <c r="B43" s="39" t="s">
        <v>158</v>
      </c>
      <c r="C43" s="39" t="s">
        <v>159</v>
      </c>
    </row>
    <row r="44" spans="1:3" x14ac:dyDescent="0.3">
      <c r="A44">
        <v>43</v>
      </c>
      <c r="B44" s="39" t="s">
        <v>165</v>
      </c>
      <c r="C44" s="39" t="s">
        <v>166</v>
      </c>
    </row>
    <row r="45" spans="1:3" x14ac:dyDescent="0.3">
      <c r="A45">
        <v>44</v>
      </c>
      <c r="B45" s="39" t="s">
        <v>167</v>
      </c>
      <c r="C45" s="39" t="s">
        <v>168</v>
      </c>
    </row>
    <row r="46" spans="1:3" x14ac:dyDescent="0.3">
      <c r="A46">
        <v>45</v>
      </c>
      <c r="B46" s="39" t="s">
        <v>170</v>
      </c>
      <c r="C46" s="39" t="s">
        <v>169</v>
      </c>
    </row>
    <row r="47" spans="1:3" x14ac:dyDescent="0.3">
      <c r="A47">
        <v>46</v>
      </c>
      <c r="B47" s="39" t="s">
        <v>174</v>
      </c>
      <c r="C47" s="39" t="s">
        <v>186</v>
      </c>
    </row>
    <row r="48" spans="1:3" x14ac:dyDescent="0.3">
      <c r="A48">
        <v>47</v>
      </c>
      <c r="B48" s="39" t="s">
        <v>191</v>
      </c>
      <c r="C48" s="39" t="s">
        <v>192</v>
      </c>
    </row>
    <row r="49" spans="1:3" x14ac:dyDescent="0.3">
      <c r="A49">
        <v>48</v>
      </c>
      <c r="B49" s="39" t="s">
        <v>195</v>
      </c>
      <c r="C49" s="39" t="s">
        <v>196</v>
      </c>
    </row>
    <row r="50" spans="1:3" x14ac:dyDescent="0.3">
      <c r="A50">
        <v>49</v>
      </c>
      <c r="B50" s="39" t="s">
        <v>199</v>
      </c>
      <c r="C50" s="39" t="s">
        <v>215</v>
      </c>
    </row>
    <row r="51" spans="1:3" x14ac:dyDescent="0.3">
      <c r="A51">
        <v>50</v>
      </c>
      <c r="B51" s="39" t="s">
        <v>204</v>
      </c>
      <c r="C51" s="39" t="s">
        <v>200</v>
      </c>
    </row>
    <row r="52" spans="1:3" x14ac:dyDescent="0.3">
      <c r="A52">
        <v>51</v>
      </c>
      <c r="B52" s="39" t="s">
        <v>202</v>
      </c>
      <c r="C52" s="39" t="s">
        <v>203</v>
      </c>
    </row>
    <row r="53" spans="1:3" x14ac:dyDescent="0.3">
      <c r="A53">
        <v>52</v>
      </c>
      <c r="B53" s="39" t="s">
        <v>209</v>
      </c>
      <c r="C53" s="39" t="s">
        <v>210</v>
      </c>
    </row>
    <row r="54" spans="1:3" x14ac:dyDescent="0.3">
      <c r="A54">
        <v>53</v>
      </c>
      <c r="B54" s="39" t="s">
        <v>223</v>
      </c>
      <c r="C54" s="39" t="s">
        <v>224</v>
      </c>
    </row>
    <row r="55" spans="1:3" x14ac:dyDescent="0.3">
      <c r="A55">
        <v>54</v>
      </c>
      <c r="B55" s="39" t="s">
        <v>225</v>
      </c>
      <c r="C55" s="39" t="s">
        <v>226</v>
      </c>
    </row>
    <row r="56" spans="1:3" x14ac:dyDescent="0.3">
      <c r="A56">
        <v>55</v>
      </c>
      <c r="B56" s="39" t="s">
        <v>227</v>
      </c>
      <c r="C56" s="39" t="s">
        <v>228</v>
      </c>
    </row>
    <row r="57" spans="1:3" x14ac:dyDescent="0.3">
      <c r="A57">
        <v>56</v>
      </c>
      <c r="B57" s="39" t="s">
        <v>229</v>
      </c>
      <c r="C57" s="39" t="s">
        <v>230</v>
      </c>
    </row>
    <row r="58" spans="1:3" x14ac:dyDescent="0.3">
      <c r="A58">
        <v>57</v>
      </c>
      <c r="B58" s="39" t="s">
        <v>231</v>
      </c>
      <c r="C58" s="39" t="s">
        <v>232</v>
      </c>
    </row>
    <row r="59" spans="1:3" x14ac:dyDescent="0.3">
      <c r="A59">
        <v>58</v>
      </c>
      <c r="B59" s="39" t="s">
        <v>233</v>
      </c>
      <c r="C59" s="39" t="s">
        <v>234</v>
      </c>
    </row>
    <row r="60" spans="1:3" x14ac:dyDescent="0.3">
      <c r="A60">
        <v>59</v>
      </c>
      <c r="B60" s="39" t="s">
        <v>235</v>
      </c>
      <c r="C60" s="39" t="s">
        <v>236</v>
      </c>
    </row>
    <row r="61" spans="1:3" x14ac:dyDescent="0.3">
      <c r="A61">
        <v>60</v>
      </c>
      <c r="B61" s="39" t="s">
        <v>49</v>
      </c>
      <c r="C61" s="39" t="s">
        <v>237</v>
      </c>
    </row>
    <row r="62" spans="1:3" x14ac:dyDescent="0.3">
      <c r="A62">
        <v>61</v>
      </c>
      <c r="B62" s="39" t="s">
        <v>238</v>
      </c>
      <c r="C62" s="39" t="s">
        <v>239</v>
      </c>
    </row>
    <row r="63" spans="1:3" x14ac:dyDescent="0.3">
      <c r="A63">
        <v>62</v>
      </c>
      <c r="B63" s="39" t="s">
        <v>240</v>
      </c>
      <c r="C63" s="39" t="s">
        <v>241</v>
      </c>
    </row>
    <row r="64" spans="1:3" x14ac:dyDescent="0.3">
      <c r="A64">
        <v>63</v>
      </c>
      <c r="B64" s="39" t="s">
        <v>242</v>
      </c>
      <c r="C64" s="39" t="s">
        <v>243</v>
      </c>
    </row>
    <row r="65" spans="1:3" x14ac:dyDescent="0.3">
      <c r="A65">
        <v>64</v>
      </c>
      <c r="B65" s="39" t="s">
        <v>244</v>
      </c>
      <c r="C65" s="39" t="s">
        <v>245</v>
      </c>
    </row>
    <row r="66" spans="1:3" x14ac:dyDescent="0.3">
      <c r="A66">
        <v>65</v>
      </c>
      <c r="B66" s="39" t="s">
        <v>246</v>
      </c>
      <c r="C66" s="39" t="s">
        <v>247</v>
      </c>
    </row>
    <row r="67" spans="1:3" x14ac:dyDescent="0.3">
      <c r="A67">
        <v>66</v>
      </c>
      <c r="B67" s="39" t="s">
        <v>248</v>
      </c>
      <c r="C67" s="39" t="s">
        <v>249</v>
      </c>
    </row>
    <row r="68" spans="1:3" x14ac:dyDescent="0.3">
      <c r="A68">
        <v>67</v>
      </c>
      <c r="B68" s="39" t="s">
        <v>250</v>
      </c>
      <c r="C68" s="39" t="s">
        <v>251</v>
      </c>
    </row>
    <row r="69" spans="1:3" x14ac:dyDescent="0.3">
      <c r="A69">
        <v>68</v>
      </c>
      <c r="B69" s="39" t="s">
        <v>252</v>
      </c>
      <c r="C69" s="39" t="s">
        <v>253</v>
      </c>
    </row>
    <row r="70" spans="1:3" x14ac:dyDescent="0.3">
      <c r="A70">
        <v>69</v>
      </c>
      <c r="B70" s="39" t="s">
        <v>262</v>
      </c>
      <c r="C70" s="39" t="s">
        <v>263</v>
      </c>
    </row>
    <row r="71" spans="1:3" x14ac:dyDescent="0.3">
      <c r="A71">
        <v>70</v>
      </c>
      <c r="B71" s="39" t="s">
        <v>264</v>
      </c>
      <c r="C71" s="39" t="s">
        <v>300</v>
      </c>
    </row>
    <row r="72" spans="1:3" x14ac:dyDescent="0.3">
      <c r="A72">
        <v>71</v>
      </c>
      <c r="B72" s="39" t="s">
        <v>257</v>
      </c>
      <c r="C72" s="39" t="s">
        <v>258</v>
      </c>
    </row>
    <row r="73" spans="1:3" x14ac:dyDescent="0.3">
      <c r="A73">
        <v>72</v>
      </c>
      <c r="B73" s="39" t="s">
        <v>267</v>
      </c>
      <c r="C73" s="39" t="s">
        <v>268</v>
      </c>
    </row>
    <row r="74" spans="1:3" x14ac:dyDescent="0.3">
      <c r="A74">
        <v>73</v>
      </c>
      <c r="B74" s="39" t="s">
        <v>269</v>
      </c>
      <c r="C74" s="39" t="s">
        <v>270</v>
      </c>
    </row>
    <row r="75" spans="1:3" x14ac:dyDescent="0.3">
      <c r="A75">
        <v>74</v>
      </c>
      <c r="B75" s="39" t="s">
        <v>271</v>
      </c>
      <c r="C75" s="39" t="s">
        <v>272</v>
      </c>
    </row>
    <row r="76" spans="1:3" x14ac:dyDescent="0.3">
      <c r="A76">
        <v>75</v>
      </c>
      <c r="B76" s="39" t="s">
        <v>273</v>
      </c>
      <c r="C76" s="39" t="s">
        <v>274</v>
      </c>
    </row>
    <row r="77" spans="1:3" x14ac:dyDescent="0.3">
      <c r="A77">
        <v>76</v>
      </c>
      <c r="B77" s="39" t="s">
        <v>275</v>
      </c>
      <c r="C77" s="39" t="s">
        <v>157</v>
      </c>
    </row>
    <row r="78" spans="1:3" x14ac:dyDescent="0.3">
      <c r="A78">
        <v>77</v>
      </c>
      <c r="B78" s="39" t="s">
        <v>276</v>
      </c>
      <c r="C78" s="39" t="s">
        <v>277</v>
      </c>
    </row>
    <row r="79" spans="1:3" x14ac:dyDescent="0.3">
      <c r="A79">
        <v>78</v>
      </c>
      <c r="B79" s="39" t="s">
        <v>278</v>
      </c>
      <c r="C79" s="39" t="s">
        <v>279</v>
      </c>
    </row>
    <row r="80" spans="1:3" x14ac:dyDescent="0.3">
      <c r="A80">
        <v>79</v>
      </c>
      <c r="B80" t="s">
        <v>280</v>
      </c>
      <c r="C80" t="s">
        <v>281</v>
      </c>
    </row>
    <row r="81" spans="1:3" x14ac:dyDescent="0.3">
      <c r="A81">
        <v>80</v>
      </c>
      <c r="B81" t="s">
        <v>301</v>
      </c>
      <c r="C81" t="s">
        <v>302</v>
      </c>
    </row>
    <row r="82" spans="1:3" x14ac:dyDescent="0.3">
      <c r="A82">
        <v>81</v>
      </c>
      <c r="B82" t="s">
        <v>303</v>
      </c>
      <c r="C82" t="s">
        <v>304</v>
      </c>
    </row>
    <row r="83" spans="1:3" x14ac:dyDescent="0.3">
      <c r="A83">
        <v>82</v>
      </c>
      <c r="B83" t="s">
        <v>305</v>
      </c>
      <c r="C83" t="s">
        <v>306</v>
      </c>
    </row>
    <row r="84" spans="1:3" x14ac:dyDescent="0.3">
      <c r="A84">
        <v>83</v>
      </c>
      <c r="B84" t="s">
        <v>307</v>
      </c>
      <c r="C84" t="s">
        <v>308</v>
      </c>
    </row>
    <row r="85" spans="1:3" x14ac:dyDescent="0.3">
      <c r="A85">
        <v>84</v>
      </c>
      <c r="B85" t="s">
        <v>309</v>
      </c>
      <c r="C85" t="s">
        <v>310</v>
      </c>
    </row>
    <row r="86" spans="1:3" x14ac:dyDescent="0.3">
      <c r="A86">
        <v>85</v>
      </c>
      <c r="B86" t="s">
        <v>311</v>
      </c>
      <c r="C86" t="s">
        <v>312</v>
      </c>
    </row>
    <row r="87" spans="1:3" x14ac:dyDescent="0.3">
      <c r="A87">
        <v>86</v>
      </c>
      <c r="B87" t="s">
        <v>313</v>
      </c>
      <c r="C87" t="s">
        <v>314</v>
      </c>
    </row>
    <row r="88" spans="1:3" x14ac:dyDescent="0.3">
      <c r="A88">
        <v>87</v>
      </c>
      <c r="B88" t="s">
        <v>315</v>
      </c>
      <c r="C88" t="s">
        <v>316</v>
      </c>
    </row>
    <row r="89" spans="1:3" x14ac:dyDescent="0.3">
      <c r="A89">
        <v>88</v>
      </c>
      <c r="B89" t="s">
        <v>464</v>
      </c>
      <c r="C89" t="s">
        <v>465</v>
      </c>
    </row>
    <row r="90" spans="1:3" x14ac:dyDescent="0.3">
      <c r="A90">
        <v>89</v>
      </c>
      <c r="B90" t="s">
        <v>317</v>
      </c>
      <c r="C90" t="s">
        <v>318</v>
      </c>
    </row>
    <row r="91" spans="1:3" x14ac:dyDescent="0.3">
      <c r="A91">
        <v>90</v>
      </c>
      <c r="B91" t="s">
        <v>319</v>
      </c>
      <c r="C91" t="s">
        <v>320</v>
      </c>
    </row>
    <row r="92" spans="1:3" x14ac:dyDescent="0.3">
      <c r="A92">
        <v>91</v>
      </c>
      <c r="B92" t="s">
        <v>321</v>
      </c>
      <c r="C92" t="s">
        <v>322</v>
      </c>
    </row>
    <row r="93" spans="1:3" x14ac:dyDescent="0.3">
      <c r="A93">
        <v>92</v>
      </c>
      <c r="B93" t="s">
        <v>323</v>
      </c>
      <c r="C93" t="s">
        <v>324</v>
      </c>
    </row>
    <row r="94" spans="1:3" x14ac:dyDescent="0.3">
      <c r="A94">
        <v>93</v>
      </c>
      <c r="B94" t="s">
        <v>325</v>
      </c>
      <c r="C94" t="s">
        <v>149</v>
      </c>
    </row>
    <row r="95" spans="1:3" x14ac:dyDescent="0.3">
      <c r="A95">
        <v>94</v>
      </c>
      <c r="B95" t="s">
        <v>326</v>
      </c>
      <c r="C95" t="s">
        <v>327</v>
      </c>
    </row>
    <row r="96" spans="1:3" x14ac:dyDescent="0.3">
      <c r="A96">
        <v>95</v>
      </c>
      <c r="B96" t="s">
        <v>328</v>
      </c>
      <c r="C96" t="s">
        <v>329</v>
      </c>
    </row>
    <row r="97" spans="1:3" x14ac:dyDescent="0.3">
      <c r="A97">
        <v>96</v>
      </c>
      <c r="B97" t="s">
        <v>330</v>
      </c>
      <c r="C97" t="s">
        <v>331</v>
      </c>
    </row>
    <row r="98" spans="1:3" x14ac:dyDescent="0.3">
      <c r="A98">
        <v>97</v>
      </c>
      <c r="B98" t="s">
        <v>332</v>
      </c>
      <c r="C98" t="s">
        <v>333</v>
      </c>
    </row>
    <row r="99" spans="1:3" x14ac:dyDescent="0.3">
      <c r="A99">
        <v>98</v>
      </c>
      <c r="B99" t="s">
        <v>334</v>
      </c>
      <c r="C99" t="s">
        <v>335</v>
      </c>
    </row>
    <row r="100" spans="1:3" x14ac:dyDescent="0.3">
      <c r="A100">
        <v>99</v>
      </c>
      <c r="B100" t="s">
        <v>336</v>
      </c>
      <c r="C100" t="s">
        <v>337</v>
      </c>
    </row>
    <row r="101" spans="1:3" x14ac:dyDescent="0.3">
      <c r="A101">
        <v>100</v>
      </c>
      <c r="B101" t="s">
        <v>338</v>
      </c>
      <c r="C101" t="s">
        <v>339</v>
      </c>
    </row>
    <row r="102" spans="1:3" x14ac:dyDescent="0.3">
      <c r="A102">
        <v>101</v>
      </c>
      <c r="B102" t="s">
        <v>340</v>
      </c>
      <c r="C102" t="s">
        <v>341</v>
      </c>
    </row>
    <row r="103" spans="1:3" x14ac:dyDescent="0.3">
      <c r="A103">
        <v>102</v>
      </c>
      <c r="B103" t="s">
        <v>342</v>
      </c>
      <c r="C103" t="s">
        <v>343</v>
      </c>
    </row>
    <row r="104" spans="1:3" x14ac:dyDescent="0.3">
      <c r="A104">
        <v>103</v>
      </c>
      <c r="B104" t="s">
        <v>344</v>
      </c>
      <c r="C104" t="s">
        <v>345</v>
      </c>
    </row>
    <row r="105" spans="1:3" x14ac:dyDescent="0.3">
      <c r="A105">
        <v>104</v>
      </c>
      <c r="B105" t="s">
        <v>346</v>
      </c>
      <c r="C105" t="s">
        <v>347</v>
      </c>
    </row>
    <row r="106" spans="1:3" x14ac:dyDescent="0.3">
      <c r="A106">
        <v>105</v>
      </c>
      <c r="B106" t="s">
        <v>348</v>
      </c>
      <c r="C106" t="s">
        <v>349</v>
      </c>
    </row>
    <row r="107" spans="1:3" x14ac:dyDescent="0.3">
      <c r="A107">
        <v>106</v>
      </c>
      <c r="B107" t="s">
        <v>350</v>
      </c>
      <c r="C107" t="s">
        <v>351</v>
      </c>
    </row>
    <row r="108" spans="1:3" x14ac:dyDescent="0.3">
      <c r="A108">
        <v>107</v>
      </c>
      <c r="B108" t="s">
        <v>352</v>
      </c>
      <c r="C108" t="s">
        <v>353</v>
      </c>
    </row>
    <row r="109" spans="1:3" x14ac:dyDescent="0.3">
      <c r="A109">
        <v>108</v>
      </c>
      <c r="B109" t="s">
        <v>354</v>
      </c>
      <c r="C109" t="s">
        <v>355</v>
      </c>
    </row>
    <row r="110" spans="1:3" x14ac:dyDescent="0.3">
      <c r="A110">
        <v>109</v>
      </c>
      <c r="B110" t="s">
        <v>356</v>
      </c>
      <c r="C110" t="s">
        <v>357</v>
      </c>
    </row>
    <row r="111" spans="1:3" x14ac:dyDescent="0.3">
      <c r="A111">
        <v>110</v>
      </c>
      <c r="B111" t="s">
        <v>358</v>
      </c>
      <c r="C111" t="s">
        <v>363</v>
      </c>
    </row>
    <row r="112" spans="1:3" x14ac:dyDescent="0.3">
      <c r="A112">
        <v>111</v>
      </c>
      <c r="B112" t="s">
        <v>371</v>
      </c>
      <c r="C112" t="s">
        <v>372</v>
      </c>
    </row>
    <row r="113" spans="1:3" x14ac:dyDescent="0.3">
      <c r="A113">
        <v>112</v>
      </c>
      <c r="B113" t="s">
        <v>373</v>
      </c>
      <c r="C113" t="s">
        <v>374</v>
      </c>
    </row>
    <row r="114" spans="1:3" x14ac:dyDescent="0.3">
      <c r="A114">
        <v>113</v>
      </c>
      <c r="B114" t="s">
        <v>375</v>
      </c>
      <c r="C114" t="s">
        <v>376</v>
      </c>
    </row>
    <row r="115" spans="1:3" x14ac:dyDescent="0.3">
      <c r="A115">
        <v>114</v>
      </c>
      <c r="B115" t="s">
        <v>377</v>
      </c>
      <c r="C115" t="s">
        <v>379</v>
      </c>
    </row>
    <row r="116" spans="1:3" x14ac:dyDescent="0.3">
      <c r="A116">
        <v>115</v>
      </c>
      <c r="B116" t="s">
        <v>400</v>
      </c>
      <c r="C116" t="s">
        <v>401</v>
      </c>
    </row>
    <row r="117" spans="1:3" x14ac:dyDescent="0.3">
      <c r="A117">
        <v>116</v>
      </c>
      <c r="B117" t="s">
        <v>402</v>
      </c>
      <c r="C117" t="s">
        <v>403</v>
      </c>
    </row>
    <row r="118" spans="1:3" x14ac:dyDescent="0.3">
      <c r="A118">
        <v>117</v>
      </c>
      <c r="B118" t="s">
        <v>378</v>
      </c>
      <c r="C118" t="s">
        <v>379</v>
      </c>
    </row>
    <row r="119" spans="1:3" x14ac:dyDescent="0.3">
      <c r="A119">
        <v>118</v>
      </c>
      <c r="B119" t="s">
        <v>417</v>
      </c>
      <c r="C119" t="s">
        <v>418</v>
      </c>
    </row>
    <row r="120" spans="1:3" x14ac:dyDescent="0.3">
      <c r="A120">
        <v>119</v>
      </c>
      <c r="B120" t="s">
        <v>420</v>
      </c>
      <c r="C120" t="s">
        <v>419</v>
      </c>
    </row>
    <row r="121" spans="1:3" x14ac:dyDescent="0.3">
      <c r="A121">
        <v>120</v>
      </c>
      <c r="B121" t="s">
        <v>421</v>
      </c>
      <c r="C121" t="s">
        <v>115</v>
      </c>
    </row>
    <row r="122" spans="1:3" x14ac:dyDescent="0.3">
      <c r="A122">
        <v>121</v>
      </c>
      <c r="B122" t="s">
        <v>433</v>
      </c>
      <c r="C122" t="s">
        <v>434</v>
      </c>
    </row>
    <row r="123" spans="1:3" x14ac:dyDescent="0.3">
      <c r="A123">
        <v>122</v>
      </c>
      <c r="B123" t="s">
        <v>438</v>
      </c>
      <c r="C123" t="s">
        <v>439</v>
      </c>
    </row>
    <row r="124" spans="1:3" x14ac:dyDescent="0.3">
      <c r="A124">
        <v>123</v>
      </c>
      <c r="B124" t="s">
        <v>445</v>
      </c>
      <c r="C124" t="s">
        <v>446</v>
      </c>
    </row>
    <row r="125" spans="1:3" x14ac:dyDescent="0.3">
      <c r="A125">
        <v>124</v>
      </c>
      <c r="B125" t="s">
        <v>447</v>
      </c>
      <c r="C125" t="s">
        <v>448</v>
      </c>
    </row>
    <row r="126" spans="1:3" x14ac:dyDescent="0.3">
      <c r="A126">
        <v>125</v>
      </c>
      <c r="B126" t="s">
        <v>472</v>
      </c>
      <c r="C126" t="s">
        <v>473</v>
      </c>
    </row>
    <row r="127" spans="1:3" x14ac:dyDescent="0.3">
      <c r="A127">
        <v>126</v>
      </c>
      <c r="B127" t="s">
        <v>474</v>
      </c>
      <c r="C127" t="s">
        <v>475</v>
      </c>
    </row>
    <row r="128" spans="1:3" x14ac:dyDescent="0.3">
      <c r="A128">
        <v>127</v>
      </c>
      <c r="B128" t="s">
        <v>476</v>
      </c>
      <c r="C128" t="s">
        <v>477</v>
      </c>
    </row>
    <row r="129" spans="1:3" x14ac:dyDescent="0.3">
      <c r="A129">
        <v>128</v>
      </c>
      <c r="B129" t="s">
        <v>486</v>
      </c>
      <c r="C129" t="s">
        <v>487</v>
      </c>
    </row>
    <row r="130" spans="1:3" x14ac:dyDescent="0.3">
      <c r="A130">
        <v>129</v>
      </c>
      <c r="B130" t="s">
        <v>488</v>
      </c>
      <c r="C130" t="s">
        <v>489</v>
      </c>
    </row>
    <row r="131" spans="1:3" x14ac:dyDescent="0.3">
      <c r="A131">
        <v>130</v>
      </c>
      <c r="B131" t="s">
        <v>543</v>
      </c>
      <c r="C131" t="s">
        <v>548</v>
      </c>
    </row>
    <row r="132" spans="1:3" x14ac:dyDescent="0.3">
      <c r="A132">
        <v>131</v>
      </c>
      <c r="B132" t="s">
        <v>544</v>
      </c>
      <c r="C132" t="s">
        <v>545</v>
      </c>
    </row>
  </sheetData>
  <autoFilter ref="A1:C132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5D3FEA9-3AB3-4950-AAAA-D3DFF0F2DCA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7</vt:i4>
      </vt:variant>
    </vt:vector>
  </HeadingPairs>
  <TitlesOfParts>
    <vt:vector size="7" baseType="lpstr">
      <vt:lpstr>Ротапост</vt:lpstr>
      <vt:lpstr>Прод</vt:lpstr>
      <vt:lpstr>Лист1</vt:lpstr>
      <vt:lpstr>BufferList</vt:lpstr>
      <vt:lpstr>Отложенные</vt:lpstr>
      <vt:lpstr>Исключения</vt:lpstr>
      <vt:lpstr>Ключи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Черняхівський Віталій Анатолійович</dc:creator>
  <cp:lastModifiedBy>Черняхівський Віталій Анатолійович</cp:lastModifiedBy>
  <dcterms:created xsi:type="dcterms:W3CDTF">2017-07-26T09:37:38Z</dcterms:created>
  <dcterms:modified xsi:type="dcterms:W3CDTF">2018-01-19T14:01:16Z</dcterms:modified>
</cp:coreProperties>
</file>