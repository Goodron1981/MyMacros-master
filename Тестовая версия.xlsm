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Виталик\Documents\GitHub\MyMacros-master\"/>
    </mc:Choice>
  </mc:AlternateContent>
  <bookViews>
    <workbookView xWindow="0" yWindow="0" windowWidth="10380" windowHeight="5790" activeTab="1"/>
  </bookViews>
  <sheets>
    <sheet name="Ротапост" sheetId="3" r:id="rId1"/>
    <sheet name="Прод" sheetId="6" r:id="rId2"/>
    <sheet name="Лист1" sheetId="12" r:id="rId3"/>
    <sheet name="BufferList" sheetId="11" state="hidden" r:id="rId4"/>
    <sheet name="Отложенные" sheetId="10" r:id="rId5"/>
    <sheet name="Исключения" sheetId="8" r:id="rId6"/>
    <sheet name="Ключи" sheetId="9" r:id="rId7"/>
  </sheets>
  <functionGroups builtInGroupCount="18"/>
  <definedNames>
    <definedName name="_xlnm._FilterDatabase" localSheetId="5" hidden="1">Исключения!$C$1:$C$25</definedName>
    <definedName name="_xlnm._FilterDatabase" localSheetId="2" hidden="1">Лист1!$A$1:$D$15</definedName>
    <definedName name="_xlnm._FilterDatabase" localSheetId="1" hidden="1">Прод!$A$1:$A$53</definedName>
    <definedName name="_xlnm._FilterDatabase" localSheetId="0" hidden="1">Ротапост!$A$25:$D$25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3" l="1"/>
  <c r="H1" i="10" l="1"/>
  <c r="L1" i="10" l="1"/>
  <c r="A1" i="9" l="1"/>
  <c r="C1" i="8" l="1"/>
  <c r="A1" i="8" l="1"/>
  <c r="C2" i="6" l="1"/>
</calcChain>
</file>

<file path=xl/connections.xml><?xml version="1.0" encoding="utf-8"?>
<connections xmlns="http://schemas.openxmlformats.org/spreadsheetml/2006/main">
  <connection id="1" name="Подключение" type="4" refreshedVersion="0" background="1">
    <webPr sourceData="1" parsePre="1" consecutive="1" url="https://api.rotapost.ru/Task/Webmaster?Status=ToDo&amp;ApiKey=37237948-fe41-4bb5-8757-f2b00326e524" htmlFormat="all"/>
  </connection>
</connections>
</file>

<file path=xl/sharedStrings.xml><?xml version="1.0" encoding="utf-8"?>
<sst xmlns="http://schemas.openxmlformats.org/spreadsheetml/2006/main" count="292" uniqueCount="238">
  <si>
    <t>Ссылка</t>
  </si>
  <si>
    <t>Ключевое слово</t>
  </si>
  <si>
    <t>Перевод</t>
  </si>
  <si>
    <t>Уникальность</t>
  </si>
  <si>
    <t>Success</t>
  </si>
  <si>
    <t>ApiKey</t>
  </si>
  <si>
    <t>Id</t>
  </si>
  <si>
    <t>Type</t>
  </si>
  <si>
    <t>Text</t>
  </si>
  <si>
    <t>Comment</t>
  </si>
  <si>
    <t>Site</t>
  </si>
  <si>
    <t>CheckUrl</t>
  </si>
  <si>
    <t>Price</t>
  </si>
  <si>
    <t>CreateDate</t>
  </si>
  <si>
    <t>TakenDate</t>
  </si>
  <si>
    <t>CompletedDate</t>
  </si>
  <si>
    <t>ApprovedDate</t>
  </si>
  <si>
    <t>RejectedDate</t>
  </si>
  <si>
    <t>ReturnCount</t>
  </si>
  <si>
    <t>ModificationPrice</t>
  </si>
  <si>
    <t>AutoActionTime</t>
  </si>
  <si>
    <t>NofollowRequired</t>
  </si>
  <si>
    <t>Error</t>
  </si>
  <si>
    <t>Обрезка</t>
  </si>
  <si>
    <t>Начинка</t>
  </si>
  <si>
    <t>Блоки</t>
  </si>
  <si>
    <t>Обрез2</t>
  </si>
  <si>
    <t>русский</t>
  </si>
  <si>
    <t>українська</t>
  </si>
  <si>
    <t>пожалуйста зарегистрируйтесь</t>
  </si>
  <si>
    <t>только зарегистрированные пользователи</t>
  </si>
  <si>
    <t>Анкор</t>
  </si>
  <si>
    <t>Тема</t>
  </si>
  <si>
    <t>Линк</t>
  </si>
  <si>
    <t>Proxy</t>
  </si>
  <si>
    <t>Отбор по предложениям</t>
  </si>
  <si>
    <t>мы предлогаем</t>
  </si>
  <si>
    <t>у нас в офисе</t>
  </si>
  <si>
    <t>мы работаем</t>
  </si>
  <si>
    <t>Закрытие</t>
  </si>
  <si>
    <t>Кол. Строк</t>
  </si>
  <si>
    <t>live</t>
  </si>
  <si>
    <t>о телеканале</t>
  </si>
  <si>
    <t>Картинка</t>
  </si>
  <si>
    <t>Пользователь</t>
  </si>
  <si>
    <t>Конечный текст</t>
  </si>
  <si>
    <t>Дата соз. Заявки</t>
  </si>
  <si>
    <t>Площадка</t>
  </si>
  <si>
    <t>интеренет-магазин</t>
  </si>
  <si>
    <t>Отбор по сайту</t>
  </si>
  <si>
    <t>компан</t>
  </si>
  <si>
    <t>Статус</t>
  </si>
  <si>
    <t>Статус заявки</t>
  </si>
  <si>
    <t>реклама</t>
  </si>
  <si>
    <t>спонсор</t>
  </si>
  <si>
    <t>Статус выгружаемых заявок</t>
  </si>
  <si>
    <t>рассказывают</t>
  </si>
  <si>
    <t>оставьте пожалуйста</t>
  </si>
  <si>
    <t>Корень слова</t>
  </si>
  <si>
    <t>Фраза</t>
  </si>
  <si>
    <t>Как выбрать квартиру.</t>
  </si>
  <si>
    <t>сковород</t>
  </si>
  <si>
    <t>Как выбрать сковороду.</t>
  </si>
  <si>
    <t>недвижимост</t>
  </si>
  <si>
    <t>Как правильно выбирать недвижимость.</t>
  </si>
  <si>
    <t>здоровье</t>
  </si>
  <si>
    <t>Как орендовать недвижимость.</t>
  </si>
  <si>
    <t>алергия</t>
  </si>
  <si>
    <t>Какие причины аллергии.</t>
  </si>
  <si>
    <t>Title</t>
  </si>
  <si>
    <t>мебел</t>
  </si>
  <si>
    <t>Как выбрать мебель для дома.</t>
  </si>
  <si>
    <t>Закрыть сейчас</t>
  </si>
  <si>
    <t>виагра</t>
  </si>
  <si>
    <t>Как улучшить сексуальные отношения.</t>
  </si>
  <si>
    <t>потенци</t>
  </si>
  <si>
    <t>Как возобновить интимные отношения.</t>
  </si>
  <si>
    <t>семян</t>
  </si>
  <si>
    <t>грузо</t>
  </si>
  <si>
    <t>Как выполняется перевозка грузов.</t>
  </si>
  <si>
    <t>Как правильно отбирать семена.</t>
  </si>
  <si>
    <t>квартир</t>
  </si>
  <si>
    <t>Как правильно купить квартиру.</t>
  </si>
  <si>
    <t>двер</t>
  </si>
  <si>
    <t>Как выбрать двери для дома.</t>
  </si>
  <si>
    <t>гипсокартон</t>
  </si>
  <si>
    <t>Как начать ремонт квартиры.</t>
  </si>
  <si>
    <t>Small Text</t>
  </si>
  <si>
    <t>нас просили</t>
  </si>
  <si>
    <t>видео</t>
  </si>
  <si>
    <t>предыдущей статье</t>
  </si>
  <si>
    <t>Как правильно следить за своим здоровьем.</t>
  </si>
  <si>
    <t>алкоголизм</t>
  </si>
  <si>
    <t>Как победить алкоголизм.</t>
  </si>
  <si>
    <t>№</t>
  </si>
  <si>
    <t>ID</t>
  </si>
  <si>
    <t>URL</t>
  </si>
  <si>
    <t>Дата создания</t>
  </si>
  <si>
    <t>Дата закрытия</t>
  </si>
  <si>
    <t>Как выбрать шины для автомобиля.</t>
  </si>
  <si>
    <t>многолетний опыт</t>
  </si>
  <si>
    <t>президент</t>
  </si>
  <si>
    <t>врачи клиники</t>
  </si>
  <si>
    <t>киев</t>
  </si>
  <si>
    <t>главный редактор</t>
  </si>
  <si>
    <t xml:space="preserve">шеф-редактор </t>
  </si>
  <si>
    <t>комментарии</t>
  </si>
  <si>
    <t>украин</t>
  </si>
  <si>
    <t>ExpiresAt</t>
  </si>
  <si>
    <t>Как выбрать хорошие цветы.</t>
  </si>
  <si>
    <t>цветы</t>
  </si>
  <si>
    <t>форум</t>
  </si>
  <si>
    <t>росси</t>
  </si>
  <si>
    <t>республик</t>
  </si>
  <si>
    <t>оренд</t>
  </si>
  <si>
    <t>золот</t>
  </si>
  <si>
    <t>Как выбрать украшения из золота.</t>
  </si>
  <si>
    <t>Выбираем детские игрушки.</t>
  </si>
  <si>
    <t>игрушк</t>
  </si>
  <si>
    <t>Keywords с сайта.</t>
  </si>
  <si>
    <t>английск</t>
  </si>
  <si>
    <t>Как быстро выучить английский.</t>
  </si>
  <si>
    <t>жк</t>
  </si>
  <si>
    <t>шин</t>
  </si>
  <si>
    <t>Postovoi</t>
  </si>
  <si>
    <t>одежд</t>
  </si>
  <si>
    <t>Как выбрать модную одежду.</t>
  </si>
  <si>
    <t>ноутбук</t>
  </si>
  <si>
    <t>Как правильно выбрать ноутбук.</t>
  </si>
  <si>
    <t>моноколесо</t>
  </si>
  <si>
    <t>Как пользоваться моноколесом.</t>
  </si>
  <si>
    <t>зерн</t>
  </si>
  <si>
    <t>Правильное хранение зерновых культур.</t>
  </si>
  <si>
    <t>флаг</t>
  </si>
  <si>
    <t>Где устанавливается флагшток.</t>
  </si>
  <si>
    <t>кита</t>
  </si>
  <si>
    <t>Как забрать посылку из Китая.</t>
  </si>
  <si>
    <t>раскрутка</t>
  </si>
  <si>
    <t>Как правильно раскуртить свой сайт.</t>
  </si>
  <si>
    <t>конвейер</t>
  </si>
  <si>
    <t>Где используются конвейеры.</t>
  </si>
  <si>
    <t>новострой</t>
  </si>
  <si>
    <t>Как выбрать квартиру в новостройке.</t>
  </si>
  <si>
    <t>ErrorPublic</t>
  </si>
  <si>
    <t>наш</t>
  </si>
  <si>
    <t>рекомендует</t>
  </si>
  <si>
    <t>специализируюсь</t>
  </si>
  <si>
    <t>создаю</t>
  </si>
  <si>
    <t>Заявки в работе</t>
  </si>
  <si>
    <t>В работе</t>
  </si>
  <si>
    <t>adonaidenver.org</t>
  </si>
  <si>
    <t>nanoplast.com.ua</t>
  </si>
  <si>
    <t>ve4e.com.ua</t>
  </si>
  <si>
    <t>иннов</t>
  </si>
  <si>
    <t>Как рождаются инновационные идеи.</t>
  </si>
  <si>
    <t>seooptimus.ru</t>
  </si>
  <si>
    <t>рыбалк</t>
  </si>
  <si>
    <t>Что нужно для рыбалки.</t>
  </si>
  <si>
    <t>кино</t>
  </si>
  <si>
    <t>Любимые жанры в кино.</t>
  </si>
  <si>
    <t>http://adonaidenver.org/yak-zabrati-posilku-z-kitayu/</t>
  </si>
  <si>
    <t>приватбанк</t>
  </si>
  <si>
    <t>dom.ria</t>
  </si>
  <si>
    <t>укрпочт</t>
  </si>
  <si>
    <t>ID заявки</t>
  </si>
  <si>
    <t>Публикация</t>
  </si>
  <si>
    <t>прическ</t>
  </si>
  <si>
    <t>Модные прически этого сезона.</t>
  </si>
  <si>
    <t>сайт</t>
  </si>
  <si>
    <t>Как создается сайт.</t>
  </si>
  <si>
    <t>Максим</t>
  </si>
  <si>
    <t>d5cc2917-2128-4f9d-a58d-b5d761b71b57</t>
  </si>
  <si>
    <t>Post</t>
  </si>
  <si>
    <t>&lt;a href="http://reklama-lime.ru/"&gt;свадебный пресс волл&lt;/a&gt;
                  -Ссылки должны выглядеть как ссылки, то есть визуально выделяться среди остального текста публикации.
                  -Размещаемый материал должен появиться на сайте в "свежей" публикации.
                  -Материал на сайте должен появиться одновременно с ссылками.
                  -Категорически запрещено копировать размещаемый материал с сайта, указанного в задании.
                  -Объем публикуемого материала должен быть не меньше 2000 символов.
                  -Указывайте на странице с публикацией дату публикации материала на сайте/блоге.
        -Допустимо склонение заявки. Это означает, что вы можете изменять падеж,
        число, склонение текста ссылки, указанного в задании. Но при этом не можете изменять
        смысл ссылки, менять слова местами, вставлять другие слова или предлоги,
        заменять слова синонимами.
-----------------------------</t>
  </si>
  <si>
    <t>Заявка должна удовлетворять требованиям: &lt;a href="http://help.sape.ru/pr/faq/1123" target="_blank" title="Правила размещения заявок PR Sape"&gt;http://help.sape.ru/pr/faq/1123&lt;/a&gt;</t>
  </si>
  <si>
    <t>2017-12-07T13:00:47</t>
  </si>
  <si>
    <t>2017-12-07T13:29:56</t>
  </si>
  <si>
    <t>2017-12-17T13:00:47</t>
  </si>
  <si>
    <t>No href!</t>
  </si>
  <si>
    <t>amidi.com.ua</t>
  </si>
  <si>
    <t>&lt;a href="https://open-tender.com.ua/" title="open-tender.com.ua"&gt;open-tender.com.ua&lt;/a&gt;</t>
  </si>
  <si>
    <t>Только одна ссылка в статье (не допускаются ссылки на другие ресурсы).
Ссылка не должна находится в футере или в нижней части статьи. Желательно в середине или в начале статьи.
Статья должна быть новой, уникальной и тематической от 1600 символов.
Ссылка размещается навсегда - удаление не допустимо.</t>
  </si>
  <si>
    <t>2017-12-11T13:50:45</t>
  </si>
  <si>
    <t>2017-12-11T14:06:38</t>
  </si>
  <si>
    <t>2017-12-18T14:06:38</t>
  </si>
  <si>
    <t>https://open-tender.com.ua/</t>
  </si>
  <si>
    <t>linq.kiev.ua</t>
  </si>
  <si>
    <t>upu.org.ua</t>
  </si>
  <si>
    <t>&lt;a href="http://www.tvinti.com/blog/kak-vyglyadyat-zvyozdy-gollivuda-upotreblyayushchiye-narkotiky/" title="звёзды и наркотики"&gt;звёзды и наркотики&lt;/a&gt;</t>
  </si>
  <si>
    <t>Постовой должен быть окружен тематическим текстом
Только один постовой на страницу
Постовой должен быть в новой статье
Постовой должен быть в русскоязычной статье
Постовой должен быть в статье, размером не меньше 2000 символов</t>
  </si>
  <si>
    <t>hdtv.net.ua</t>
  </si>
  <si>
    <t>2017-12-11T15:56:25</t>
  </si>
  <si>
    <t>2017-12-11T22:41:00</t>
  </si>
  <si>
    <t>2017-12-18T22:41:00</t>
  </si>
  <si>
    <t>http://www.tvinti.com/blog/kak-vyglyadyat-zvyozdy-gollivuda-upotreblyayushchiye-narkotiky/</t>
  </si>
  <si>
    <t>nutscn.com</t>
  </si>
  <si>
    <t>No img!</t>
  </si>
  <si>
    <t>NoK</t>
  </si>
  <si>
    <t>No keyword!</t>
  </si>
  <si>
    <t>Not found</t>
  </si>
  <si>
    <t>звёзды и наркотики. как выглядят звёзды - наркоманы</t>
  </si>
  <si>
    <t>упаковк</t>
  </si>
  <si>
    <t>Праздничная упаковка подарка.</t>
  </si>
  <si>
    <t>наркотик</t>
  </si>
  <si>
    <t>Как наркотики разрушают жизнь.</t>
  </si>
  <si>
    <t>Как генетика улучшает нашу жизнь.</t>
  </si>
  <si>
    <t>генети</t>
  </si>
  <si>
    <t>Тайтл и h1 должны содержать такие слова  &amp;quot;Раскрутка сайтов от компании Гудвеб &amp;quot;  &amp;quot; как то так
В новой уникальной статье, и разместить в максимально подходящем разделе сайта!!
Проверяется наличие ссылки: https://goodweb.com.ua/
с текстом (анкором): https://goodweb.com.ua/
Длина поста: до 1 500</t>
  </si>
  <si>
    <t>infoweb.org.ua</t>
  </si>
  <si>
    <t>2017-12-13T16:54:57</t>
  </si>
  <si>
    <t>2017-12-13T16:55:59</t>
  </si>
  <si>
    <t>2017-12-17T16:55:59</t>
  </si>
  <si>
    <t>NO</t>
  </si>
  <si>
    <t>www.topcatalog.com.ua</t>
  </si>
  <si>
    <t>druzhba-lux.com.ua</t>
  </si>
  <si>
    <t>метал</t>
  </si>
  <si>
    <t>Error keyword!</t>
  </si>
  <si>
    <t>NeOK</t>
  </si>
  <si>
    <t>http://upu.org.ua/svyatkova-upakovka-podarunka/</t>
  </si>
  <si>
    <t>https://www.kp.by/daily/26559.7/3574726/</t>
  </si>
  <si>
    <t>http://konyshevka.bolnica46.ru/documents/konyshevka/%D0%BE %D0%B2%D1%80%D0%B5%D0%B4%D0%B5 %D0%BD%D0%B0%D1%80%D0%BA%D0%BE%D1%82%D0%B8%D0%BA%D0%BE%D0%B2.pdf</t>
  </si>
  <si>
    <t>http://kp.md/daily/26559.7/3574726/</t>
  </si>
  <si>
    <t>Не обработано</t>
  </si>
  <si>
    <t>https://amidi.com.ua/modni-zachiski-tsogo-sezonu/</t>
  </si>
  <si>
    <t>полтав</t>
  </si>
  <si>
    <t xml:space="preserve">я </t>
  </si>
  <si>
    <t>мною</t>
  </si>
  <si>
    <t>http://linq.kiev.ua/yak-stvority-sayt/</t>
  </si>
  <si>
    <t>Обработано.</t>
  </si>
  <si>
    <t>Не настроена публикация для wordpress</t>
  </si>
  <si>
    <t>Причина</t>
  </si>
  <si>
    <t>Нужна статья</t>
  </si>
  <si>
    <t>Какие изделия изготавливают из металла.</t>
  </si>
  <si>
    <t>http://druzhba-lux.com.ua/yaki-vyroby-vygotovlyayut-z-metalu/</t>
  </si>
  <si>
    <t>Нет ключей.</t>
  </si>
  <si>
    <t>Возращен.</t>
  </si>
  <si>
    <t>http://krabov.net/uploads/posts/2011-11/1321541400_03.jpg</t>
  </si>
  <si>
    <t>http://www.narkotiki.ru/5_183.htm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</si>
</sst>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i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4"/>
      <color rgb="FF00000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1"/>
      <color theme="1"/>
      <name val="Bodoni MT"/>
      <family val="1"/>
    </font>
    <font>
      <sz val="11"/>
      <color theme="1"/>
      <name val="Calibri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0" xfId="0" applyAlignment="1">
      <alignment horizontal="left"/>
    </xf>
    <xf numFmtId="0" fontId="3" fillId="0" borderId="0" xfId="0" applyFont="1"/>
    <xf numFmtId="0" fontId="0" fillId="0" borderId="0" xfId="0" applyFont="1"/>
    <xf numFmtId="0" fontId="0" fillId="0" borderId="6" xfId="0" applyBorder="1"/>
    <xf numFmtId="0" fontId="0" fillId="0" borderId="0" xfId="0" applyBorder="1"/>
    <xf numFmtId="0" fontId="0" fillId="0" borderId="0" xfId="0" applyFill="1" applyBorder="1"/>
    <xf numFmtId="0" fontId="0" fillId="0" borderId="4" xfId="0" applyBorder="1" applyAlignment="1">
      <alignment horizontal="center"/>
    </xf>
    <xf numFmtId="0" fontId="2" fillId="6" borderId="3" xfId="0" applyFont="1" applyFill="1" applyBorder="1" applyAlignment="1">
      <alignment horizontal="center" vertical="center" wrapText="1"/>
    </xf>
    <xf numFmtId="0" fontId="0" fillId="14" borderId="7" xfId="0" applyFill="1" applyBorder="1"/>
    <xf numFmtId="0" fontId="0" fillId="6" borderId="5" xfId="0" applyFill="1" applyBorder="1"/>
    <xf numFmtId="0" fontId="0" fillId="0" borderId="8" xfId="0" applyBorder="1" applyAlignment="1">
      <alignment horizontal="center"/>
    </xf>
    <xf numFmtId="0" fontId="2" fillId="13" borderId="3" xfId="0" applyFont="1" applyFill="1" applyBorder="1" applyAlignment="1">
      <alignment horizontal="center" vertical="center"/>
    </xf>
    <xf numFmtId="0" fontId="0" fillId="7" borderId="0" xfId="0" applyFill="1" applyAlignment="1">
      <alignment vertical="center"/>
    </xf>
    <xf numFmtId="0" fontId="2" fillId="3" borderId="3" xfId="0" applyFont="1" applyFill="1" applyBorder="1" applyAlignment="1">
      <alignment vertical="center"/>
    </xf>
    <xf numFmtId="0" fontId="0" fillId="6" borderId="0" xfId="0" applyFill="1" applyAlignment="1">
      <alignment vertical="center"/>
    </xf>
    <xf numFmtId="0" fontId="0" fillId="10" borderId="0" xfId="0" applyFill="1" applyAlignment="1">
      <alignment vertical="center"/>
    </xf>
    <xf numFmtId="0" fontId="0" fillId="0" borderId="0" xfId="0" applyAlignment="1">
      <alignment vertical="center"/>
    </xf>
    <xf numFmtId="0" fontId="0" fillId="8" borderId="0" xfId="0" applyFill="1" applyAlignment="1">
      <alignment vertical="center"/>
    </xf>
    <xf numFmtId="0" fontId="0" fillId="11" borderId="0" xfId="0" applyFill="1" applyAlignment="1">
      <alignment vertical="center"/>
    </xf>
    <xf numFmtId="0" fontId="0" fillId="9" borderId="0" xfId="0" applyFill="1" applyBorder="1" applyAlignment="1">
      <alignment vertical="center"/>
    </xf>
    <xf numFmtId="0" fontId="2" fillId="15" borderId="3" xfId="0" applyFont="1" applyFill="1" applyBorder="1" applyAlignment="1">
      <alignment vertical="center"/>
    </xf>
    <xf numFmtId="0" fontId="5" fillId="4" borderId="1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12" borderId="3" xfId="0" applyFont="1" applyFill="1" applyBorder="1" applyAlignment="1">
      <alignment vertical="center"/>
    </xf>
    <xf numFmtId="22" fontId="0" fillId="0" borderId="0" xfId="0" applyNumberFormat="1"/>
    <xf numFmtId="0" fontId="3" fillId="0" borderId="0" xfId="0" applyFont="1" applyAlignment="1">
      <alignment wrapText="1"/>
    </xf>
    <xf numFmtId="0" fontId="0" fillId="2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0" fillId="5" borderId="1" xfId="0" applyFont="1" applyFill="1" applyBorder="1"/>
    <xf numFmtId="0" fontId="0" fillId="0" borderId="0" xfId="0" applyFont="1" applyFill="1" applyBorder="1"/>
    <xf numFmtId="0" fontId="0" fillId="17" borderId="3" xfId="0" applyFill="1" applyBorder="1" applyAlignment="1">
      <alignment horizontal="center" vertical="center" wrapText="1"/>
    </xf>
    <xf numFmtId="0" fontId="0" fillId="0" borderId="0" xfId="0" applyFill="1"/>
    <xf numFmtId="0" fontId="9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4" fontId="0" fillId="7" borderId="5" xfId="0" applyNumberForma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/>
    <xf numFmtId="14" fontId="3" fillId="0" borderId="0" xfId="0" applyNumberFormat="1" applyFont="1"/>
    <xf numFmtId="22" fontId="3" fillId="0" borderId="0" xfId="0" applyNumberFormat="1" applyFont="1"/>
    <xf numFmtId="0" fontId="0" fillId="7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3" fillId="5" borderId="10" xfId="0" applyFont="1" applyFill="1" applyBorder="1"/>
    <xf numFmtId="0" fontId="3" fillId="5" borderId="13" xfId="0" applyFont="1" applyFill="1" applyBorder="1"/>
    <xf numFmtId="0" fontId="8" fillId="0" borderId="12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22" fontId="8" fillId="0" borderId="15" xfId="0" applyNumberFormat="1" applyFont="1" applyBorder="1" applyAlignment="1">
      <alignment horizontal="center" vertical="center"/>
    </xf>
    <xf numFmtId="0" fontId="2" fillId="0" borderId="1" xfId="0" applyFont="1" applyBorder="1"/>
    <xf numFmtId="0" fontId="0" fillId="0" borderId="1" xfId="0" applyBorder="1"/>
    <xf numFmtId="0" fontId="3" fillId="2" borderId="2" xfId="0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16" xfId="0" applyFill="1" applyBorder="1"/>
    <xf numFmtId="0" fontId="3" fillId="0" borderId="0" xfId="0" applyFont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esult">
        <xsd:complexType>
          <xsd:sequence minOccurs="0">
            <xsd:element minOccurs="0" nillable="true" type="xsd:boolean" name="Success" form="unqualified"/>
            <xsd:element minOccurs="0" nillable="true" name="Tasks" form="unqualified">
              <xsd:complexType>
                <xsd:sequence minOccurs="0">
                  <xsd:element minOccurs="0" maxOccurs="unbounded" nillable="true" name="Task" form="unqualified">
                    <xsd:complexType>
                      <xsd:sequence minOccurs="0">
                        <xsd:element minOccurs="0" nillable="true" type="xsd:integer" name="Id" form="unqualified"/>
                        <xsd:element minOccurs="0" nillable="true" type="xsd:string" name="Type" form="unqualified"/>
                        <xsd:element minOccurs="0" nillable="true" type="xsd:string" name="Text" form="unqualified"/>
                        <xsd:element minOccurs="0" nillable="true" type="xsd:string" name="Comment" form="unqualified"/>
                        <xsd:element minOccurs="0" nillable="true" type="xsd:string" name="Site" form="unqualified"/>
                        <xsd:element minOccurs="0" nillable="true" type="xsd:string" name="CheckUrl" form="unqualified"/>
                        <xsd:element minOccurs="0" nillable="true" type="xsd:double" name="Price" form="unqualified"/>
                        <xsd:element minOccurs="0" nillable="true" type="xsd:dateTime" name="CreateDate" form="unqualified"/>
                        <xsd:element minOccurs="0" nillable="true" type="xsd:dateTime" name="TakenDate" form="unqualified"/>
                        <xsd:element minOccurs="0" nillable="true" type="xsd:string" name="CompletedDate" form="unqualified"/>
                        <xsd:element minOccurs="0" nillable="true" type="xsd:string" name="ApprovedDate" form="unqualified"/>
                        <xsd:element minOccurs="0" nillable="true" type="xsd:string" name="RejectedDate" form="unqualified"/>
                        <xsd:element minOccurs="0" nillable="true" type="xsd:integer" name="ReturnCount" form="unqualified"/>
                        <xsd:element minOccurs="0" nillable="true" type="xsd:integer" name="ModificationPrice" form="unqualified"/>
                        <xsd:element minOccurs="0" nillable="true" type="xsd:dateTime" name="AutoActionTime" form="unqualified"/>
                        <xsd:element minOccurs="0" nillable="true" type="xsd:boolean" name="NofollowRequired" form="unqualified"/>
                        <xsd:element minOccurs="0" nillable="true" type="xsd:string" name="Error" form="un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Result_карта" RootElement="Resul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xmlMaps" Target="xmlMap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0</xdr:row>
          <xdr:rowOff>47625</xdr:rowOff>
        </xdr:from>
        <xdr:to>
          <xdr:col>3</xdr:col>
          <xdr:colOff>295275</xdr:colOff>
          <xdr:row>2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Авторизация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2</xdr:row>
          <xdr:rowOff>152400</xdr:rowOff>
        </xdr:from>
        <xdr:to>
          <xdr:col>3</xdr:col>
          <xdr:colOff>333375</xdr:colOff>
          <xdr:row>4</xdr:row>
          <xdr:rowOff>142875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xmlns="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Выгрузить заявки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4</xdr:row>
          <xdr:rowOff>38100</xdr:rowOff>
        </xdr:from>
        <xdr:to>
          <xdr:col>1</xdr:col>
          <xdr:colOff>2419350</xdr:colOff>
          <xdr:row>5</xdr:row>
          <xdr:rowOff>152400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xmlns="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форму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0</xdr:rowOff>
        </xdr:from>
        <xdr:to>
          <xdr:col>7</xdr:col>
          <xdr:colOff>76200</xdr:colOff>
          <xdr:row>0</xdr:row>
          <xdr:rowOff>342900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xmlns="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Найти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123825</xdr:colOff>
          <xdr:row>0</xdr:row>
          <xdr:rowOff>0</xdr:rowOff>
        </xdr:from>
        <xdr:to>
          <xdr:col>15</xdr:col>
          <xdr:colOff>714375</xdr:colOff>
          <xdr:row>0</xdr:row>
          <xdr:rowOff>342900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xmlns="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9525</xdr:rowOff>
        </xdr:from>
        <xdr:to>
          <xdr:col>10</xdr:col>
          <xdr:colOff>228600</xdr:colOff>
          <xdr:row>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I36"/>
  <sheetViews>
    <sheetView topLeftCell="D4" zoomScale="80" zoomScaleNormal="80" workbookViewId="0">
      <selection activeCell="G13" sqref="G13"/>
    </sheetView>
  </sheetViews>
  <sheetFormatPr defaultColWidth="40.7109375" defaultRowHeight="15" x14ac:dyDescent="0.25"/>
  <cols>
    <col min="1" max="1" width="17.7109375" style="2" bestFit="1" customWidth="1"/>
    <col min="2" max="18" width="38.85546875" style="2" customWidth="1"/>
    <col min="19" max="16384" width="40.7109375" style="2"/>
  </cols>
  <sheetData>
    <row r="1" spans="1:9" ht="16.5" customHeight="1" thickBot="1" x14ac:dyDescent="0.3">
      <c r="A1" s="53" t="str">
        <f xml:space="preserve"> "Авторизация: " &amp; $F$2</f>
        <v>Авторизация: Максим</v>
      </c>
      <c r="B1" s="54"/>
      <c r="C1" s="41"/>
      <c r="D1" s="41"/>
      <c r="E1" s="44" t="s">
        <v>55</v>
      </c>
      <c r="F1" s="44" t="s">
        <v>44</v>
      </c>
    </row>
    <row r="2" spans="1:9" ht="15.75" x14ac:dyDescent="0.25">
      <c r="A2" s="46" t="s">
        <v>4</v>
      </c>
      <c r="B2" s="48" t="b">
        <v>1</v>
      </c>
      <c r="C2" s="41"/>
      <c r="D2" s="41"/>
      <c r="E2" s="51" t="s">
        <v>148</v>
      </c>
      <c r="F2" s="45" t="s">
        <v>170</v>
      </c>
    </row>
    <row r="3" spans="1:9" x14ac:dyDescent="0.25">
      <c r="A3" s="46" t="s">
        <v>5</v>
      </c>
      <c r="B3" s="49" t="s">
        <v>171</v>
      </c>
      <c r="C3" s="41"/>
      <c r="D3" s="41"/>
      <c r="E3" s="41"/>
      <c r="F3" s="41"/>
    </row>
    <row r="4" spans="1:9" ht="15.75" thickBot="1" x14ac:dyDescent="0.3">
      <c r="A4" s="47" t="s">
        <v>108</v>
      </c>
      <c r="B4" s="50">
        <v>43090.021527777775</v>
      </c>
      <c r="C4" s="42"/>
      <c r="D4" s="41"/>
      <c r="E4" s="41"/>
      <c r="F4" s="41"/>
    </row>
    <row r="5" spans="1:9" x14ac:dyDescent="0.25">
      <c r="A5" s="41"/>
      <c r="B5" s="41"/>
      <c r="C5" s="43"/>
      <c r="D5" s="41"/>
      <c r="E5" s="41"/>
      <c r="F5" s="41"/>
    </row>
    <row r="6" spans="1:9" x14ac:dyDescent="0.25">
      <c r="E6" s="41"/>
    </row>
    <row r="7" spans="1:9" x14ac:dyDescent="0.25">
      <c r="A7" s="2" t="s">
        <v>6</v>
      </c>
      <c r="B7" s="1">
        <v>28542234</v>
      </c>
      <c r="C7" s="1">
        <v>28549279</v>
      </c>
      <c r="D7" s="1">
        <v>28546343</v>
      </c>
      <c r="E7" s="1">
        <v>28546504</v>
      </c>
      <c r="F7" s="1"/>
      <c r="G7" s="58"/>
      <c r="H7" s="58"/>
      <c r="I7" s="58"/>
    </row>
    <row r="8" spans="1:9" x14ac:dyDescent="0.25">
      <c r="A8" s="2" t="s">
        <v>7</v>
      </c>
      <c r="B8" s="1" t="s">
        <v>172</v>
      </c>
      <c r="C8" s="1" t="s">
        <v>172</v>
      </c>
      <c r="D8" s="1" t="s">
        <v>124</v>
      </c>
      <c r="E8" s="1" t="s">
        <v>124</v>
      </c>
      <c r="F8" s="1"/>
      <c r="G8" s="58"/>
      <c r="H8" s="58"/>
      <c r="I8" s="58"/>
    </row>
    <row r="9" spans="1:9" x14ac:dyDescent="0.25">
      <c r="A9" s="2" t="s">
        <v>8</v>
      </c>
      <c r="B9" s="1" t="s">
        <v>173</v>
      </c>
      <c r="C9" s="1" t="s">
        <v>207</v>
      </c>
      <c r="D9" s="1" t="s">
        <v>180</v>
      </c>
      <c r="E9" s="1" t="s">
        <v>188</v>
      </c>
      <c r="F9" s="1"/>
      <c r="G9" s="58"/>
      <c r="H9" s="58"/>
      <c r="I9" s="58"/>
    </row>
    <row r="10" spans="1:9" x14ac:dyDescent="0.25">
      <c r="A10" s="2" t="s">
        <v>9</v>
      </c>
      <c r="B10" s="1" t="s">
        <v>174</v>
      </c>
      <c r="C10" s="1"/>
      <c r="D10" s="1" t="s">
        <v>181</v>
      </c>
      <c r="E10" s="1" t="s">
        <v>189</v>
      </c>
      <c r="F10" s="1"/>
      <c r="G10" s="58"/>
      <c r="H10" s="58"/>
      <c r="I10" s="58"/>
    </row>
    <row r="11" spans="1:9" x14ac:dyDescent="0.25">
      <c r="A11" s="2" t="s">
        <v>10</v>
      </c>
      <c r="B11" s="1" t="s">
        <v>155</v>
      </c>
      <c r="C11" s="1" t="s">
        <v>208</v>
      </c>
      <c r="D11" s="1" t="s">
        <v>152</v>
      </c>
      <c r="E11" s="1" t="s">
        <v>190</v>
      </c>
      <c r="F11" s="1"/>
      <c r="G11" s="58"/>
      <c r="H11" s="58"/>
      <c r="I11" s="58"/>
    </row>
    <row r="12" spans="1:9" x14ac:dyDescent="0.25">
      <c r="A12" s="2" t="s">
        <v>11</v>
      </c>
      <c r="B12" s="1"/>
      <c r="C12" s="1"/>
      <c r="D12" s="1"/>
      <c r="E12" s="1"/>
      <c r="F12" s="1"/>
      <c r="G12" s="58"/>
      <c r="H12" s="58"/>
      <c r="I12" s="58"/>
    </row>
    <row r="13" spans="1:9" x14ac:dyDescent="0.25">
      <c r="A13" s="2" t="s">
        <v>12</v>
      </c>
      <c r="B13" s="1">
        <v>249</v>
      </c>
      <c r="C13" s="1">
        <v>239</v>
      </c>
      <c r="D13" s="1">
        <v>100</v>
      </c>
      <c r="E13" s="1">
        <v>100</v>
      </c>
      <c r="F13" s="1"/>
      <c r="G13" s="58"/>
      <c r="H13" s="58"/>
      <c r="I13" s="58"/>
    </row>
    <row r="14" spans="1:9" x14ac:dyDescent="0.25">
      <c r="A14" s="2" t="s">
        <v>13</v>
      </c>
      <c r="B14" s="1" t="s">
        <v>175</v>
      </c>
      <c r="C14" s="1" t="s">
        <v>209</v>
      </c>
      <c r="D14" s="1" t="s">
        <v>182</v>
      </c>
      <c r="E14" s="1" t="s">
        <v>191</v>
      </c>
      <c r="F14" s="1"/>
      <c r="G14" s="58"/>
      <c r="H14" s="58"/>
      <c r="I14" s="58"/>
    </row>
    <row r="15" spans="1:9" x14ac:dyDescent="0.25">
      <c r="A15" s="2" t="s">
        <v>14</v>
      </c>
      <c r="B15" s="1" t="s">
        <v>176</v>
      </c>
      <c r="C15" s="1" t="s">
        <v>210</v>
      </c>
      <c r="D15" s="1" t="s">
        <v>183</v>
      </c>
      <c r="E15" s="1" t="s">
        <v>192</v>
      </c>
      <c r="F15" s="1"/>
      <c r="G15" s="58"/>
      <c r="H15" s="58"/>
      <c r="I15" s="58"/>
    </row>
    <row r="16" spans="1:9" x14ac:dyDescent="0.25">
      <c r="A16" s="2" t="s">
        <v>15</v>
      </c>
      <c r="B16" s="1"/>
      <c r="C16" s="1"/>
      <c r="D16" s="1"/>
      <c r="E16" s="1"/>
      <c r="F16" s="1"/>
      <c r="G16" s="58"/>
      <c r="H16" s="58"/>
      <c r="I16" s="58"/>
    </row>
    <row r="17" spans="1:9" x14ac:dyDescent="0.25">
      <c r="A17" s="2" t="s">
        <v>16</v>
      </c>
      <c r="B17" s="1"/>
      <c r="C17" s="1"/>
      <c r="D17" s="1"/>
      <c r="E17" s="1"/>
      <c r="F17" s="1"/>
      <c r="G17" s="58"/>
      <c r="H17" s="58"/>
      <c r="I17" s="58"/>
    </row>
    <row r="18" spans="1:9" x14ac:dyDescent="0.25">
      <c r="A18" s="2" t="s">
        <v>17</v>
      </c>
      <c r="B18" s="1"/>
      <c r="C18" s="1"/>
      <c r="D18" s="1"/>
      <c r="E18" s="1"/>
      <c r="F18" s="1"/>
      <c r="G18" s="58"/>
      <c r="H18" s="58"/>
      <c r="I18" s="58"/>
    </row>
    <row r="19" spans="1:9" x14ac:dyDescent="0.25">
      <c r="A19" s="2" t="s">
        <v>18</v>
      </c>
      <c r="B19" s="1">
        <v>0</v>
      </c>
      <c r="C19" s="1">
        <v>0</v>
      </c>
      <c r="D19" s="1">
        <v>0</v>
      </c>
      <c r="E19" s="1">
        <v>0</v>
      </c>
      <c r="F19" s="1"/>
      <c r="G19" s="58"/>
      <c r="H19" s="58"/>
      <c r="I19" s="58"/>
    </row>
    <row r="20" spans="1:9" x14ac:dyDescent="0.25">
      <c r="A20" s="2" t="s">
        <v>19</v>
      </c>
      <c r="B20" s="1">
        <v>0</v>
      </c>
      <c r="C20" s="1">
        <v>0</v>
      </c>
      <c r="D20" s="1">
        <v>0</v>
      </c>
      <c r="E20" s="1">
        <v>0</v>
      </c>
      <c r="F20" s="1"/>
      <c r="G20" s="58"/>
      <c r="H20" s="58"/>
      <c r="I20" s="58"/>
    </row>
    <row r="21" spans="1:9" x14ac:dyDescent="0.25">
      <c r="A21" s="2" t="s">
        <v>20</v>
      </c>
      <c r="B21" s="1" t="s">
        <v>177</v>
      </c>
      <c r="C21" s="1" t="s">
        <v>211</v>
      </c>
      <c r="D21" s="1" t="s">
        <v>184</v>
      </c>
      <c r="E21" s="1" t="s">
        <v>193</v>
      </c>
      <c r="F21" s="1"/>
      <c r="G21" s="58"/>
      <c r="H21" s="58"/>
      <c r="I21" s="58"/>
    </row>
    <row r="22" spans="1:9" x14ac:dyDescent="0.25">
      <c r="A22" s="2" t="s">
        <v>21</v>
      </c>
      <c r="B22" s="1" t="b">
        <v>0</v>
      </c>
      <c r="C22" s="1" t="b">
        <v>0</v>
      </c>
      <c r="D22" s="1" t="b">
        <v>0</v>
      </c>
      <c r="E22" s="1" t="b">
        <v>0</v>
      </c>
      <c r="F22" s="1"/>
      <c r="G22" s="58"/>
      <c r="H22" s="58"/>
      <c r="I22" s="58"/>
    </row>
    <row r="23" spans="1:9" x14ac:dyDescent="0.25">
      <c r="A23" s="2" t="s">
        <v>22</v>
      </c>
      <c r="B23" s="1"/>
      <c r="C23" s="1"/>
      <c r="D23" s="1"/>
      <c r="E23" s="1"/>
      <c r="F23" s="1"/>
      <c r="G23" s="58"/>
      <c r="H23" s="58"/>
      <c r="I23" s="58"/>
    </row>
    <row r="24" spans="1:9" x14ac:dyDescent="0.25">
      <c r="A24" s="2" t="s">
        <v>0</v>
      </c>
      <c r="B24" s="1" t="s">
        <v>178</v>
      </c>
      <c r="C24" s="1" t="s">
        <v>178</v>
      </c>
      <c r="D24" s="1" t="s">
        <v>185</v>
      </c>
      <c r="E24" s="1" t="s">
        <v>194</v>
      </c>
      <c r="F24" s="1"/>
      <c r="G24" s="58"/>
      <c r="H24" s="58"/>
      <c r="I24" s="58"/>
    </row>
    <row r="25" spans="1:9" x14ac:dyDescent="0.25">
      <c r="A25" s="33" t="s">
        <v>1</v>
      </c>
      <c r="B25" t="s">
        <v>198</v>
      </c>
      <c r="C25" t="s">
        <v>198</v>
      </c>
      <c r="D25" t="s">
        <v>198</v>
      </c>
      <c r="E25" t="s">
        <v>204</v>
      </c>
      <c r="F25"/>
    </row>
    <row r="26" spans="1:9" x14ac:dyDescent="0.25">
      <c r="A26" s="3" t="s">
        <v>31</v>
      </c>
      <c r="B26" t="s">
        <v>199</v>
      </c>
      <c r="C26" t="s">
        <v>199</v>
      </c>
      <c r="D26" t="s">
        <v>180</v>
      </c>
      <c r="E26" t="s">
        <v>188</v>
      </c>
      <c r="F26"/>
    </row>
    <row r="27" spans="1:9" x14ac:dyDescent="0.25">
      <c r="A27" s="3" t="s">
        <v>43</v>
      </c>
      <c r="B27" s="1" t="s">
        <v>196</v>
      </c>
      <c r="C27" s="1" t="s">
        <v>196</v>
      </c>
      <c r="D27" s="1" t="s">
        <v>196</v>
      </c>
      <c r="E27" s="1" t="s">
        <v>236</v>
      </c>
      <c r="F27" s="1"/>
      <c r="G27" s="58"/>
      <c r="H27" s="58"/>
      <c r="I27" s="58"/>
    </row>
    <row r="28" spans="1:9" x14ac:dyDescent="0.25">
      <c r="A28" s="3" t="s">
        <v>51</v>
      </c>
      <c r="B28" t="s">
        <v>149</v>
      </c>
      <c r="C28" t="s">
        <v>149</v>
      </c>
      <c r="D28" t="s">
        <v>149</v>
      </c>
      <c r="E28" t="s">
        <v>149</v>
      </c>
      <c r="F28"/>
    </row>
    <row r="29" spans="1:9" x14ac:dyDescent="0.25">
      <c r="A29" s="34" t="s">
        <v>69</v>
      </c>
      <c r="B29"/>
      <c r="C29"/>
      <c r="D29"/>
      <c r="E29" t="s">
        <v>200</v>
      </c>
      <c r="F29"/>
    </row>
    <row r="30" spans="1:9" x14ac:dyDescent="0.25">
      <c r="A30" s="34" t="s">
        <v>119</v>
      </c>
      <c r="B30" t="s">
        <v>197</v>
      </c>
      <c r="C30" t="s">
        <v>197</v>
      </c>
      <c r="D30" t="s">
        <v>197</v>
      </c>
      <c r="E30" t="s">
        <v>197</v>
      </c>
      <c r="F30"/>
    </row>
    <row r="31" spans="1:9" x14ac:dyDescent="0.25">
      <c r="B31" s="29"/>
      <c r="E31" s="29"/>
    </row>
    <row r="34" spans="2:2" x14ac:dyDescent="0.25">
      <c r="B34" s="3"/>
    </row>
    <row r="36" spans="2:2" x14ac:dyDescent="0.25">
      <c r="B36" s="29"/>
    </row>
  </sheetData>
  <mergeCells count="1">
    <mergeCell ref="A1:B1"/>
  </mergeCells>
  <dataValidations count="2">
    <dataValidation type="list" allowBlank="1" showInputMessage="1" showErrorMessage="1" sqref="F2">
      <formula1>"Антон, Максим"</formula1>
    </dataValidation>
    <dataValidation type="list" allowBlank="1" showInputMessage="1" showErrorMessage="1" sqref="E2">
      <formula1>"Новые заявки, Заявки в работе"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tRotaAuto">
                <anchor moveWithCells="1" sizeWithCells="1">
                  <from>
                    <xdr:col>2</xdr:col>
                    <xdr:colOff>114300</xdr:colOff>
                    <xdr:row>0</xdr:row>
                    <xdr:rowOff>47625</xdr:rowOff>
                  </from>
                  <to>
                    <xdr:col>3</xdr:col>
                    <xdr:colOff>295275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GetRotaIsue">
                <anchor moveWithCells="1" sizeWithCells="1">
                  <from>
                    <xdr:col>2</xdr:col>
                    <xdr:colOff>85725</xdr:colOff>
                    <xdr:row>2</xdr:row>
                    <xdr:rowOff>152400</xdr:rowOff>
                  </from>
                  <to>
                    <xdr:col>3</xdr:col>
                    <xdr:colOff>333375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lerform">
                <anchor moveWithCells="1" sizeWithCells="1">
                  <from>
                    <xdr:col>1</xdr:col>
                    <xdr:colOff>19050</xdr:colOff>
                    <xdr:row>4</xdr:row>
                    <xdr:rowOff>38100</xdr:rowOff>
                  </from>
                  <to>
                    <xdr:col>1</xdr:col>
                    <xdr:colOff>2419350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W29"/>
  <sheetViews>
    <sheetView tabSelected="1" zoomScale="70" zoomScaleNormal="70" workbookViewId="0">
      <selection activeCell="J11" sqref="J11"/>
    </sheetView>
  </sheetViews>
  <sheetFormatPr defaultRowHeight="15" x14ac:dyDescent="0.25"/>
  <cols>
    <col min="1" max="1" width="11.5703125" customWidth="1"/>
    <col min="3" max="3" width="15.5703125" bestFit="1" customWidth="1"/>
    <col min="4" max="4" width="22.28515625" bestFit="1" customWidth="1"/>
    <col min="5" max="5" width="16.42578125" bestFit="1" customWidth="1"/>
    <col min="7" max="7" width="16.42578125" bestFit="1" customWidth="1"/>
    <col min="9" max="9" width="13.28515625" bestFit="1" customWidth="1"/>
    <col min="12" max="12" width="10.42578125" customWidth="1"/>
    <col min="16" max="16" width="13.7109375" bestFit="1" customWidth="1"/>
    <col min="21" max="21" width="9.5703125" customWidth="1"/>
  </cols>
  <sheetData>
    <row r="1" spans="1:23" ht="32.25" customHeight="1" thickBot="1" x14ac:dyDescent="0.3">
      <c r="A1" s="56" t="s">
        <v>34</v>
      </c>
      <c r="B1" s="56"/>
      <c r="C1" s="22" t="s">
        <v>40</v>
      </c>
      <c r="D1" s="23"/>
      <c r="L1" s="8" t="s">
        <v>45</v>
      </c>
    </row>
    <row r="2" spans="1:23" s="17" customFormat="1" ht="31.5" customHeight="1" thickBot="1" x14ac:dyDescent="0.3">
      <c r="A2" s="55" t="s">
        <v>212</v>
      </c>
      <c r="B2" s="55"/>
      <c r="C2" s="24">
        <f>COUNTA(A:A)-2</f>
        <v>8</v>
      </c>
      <c r="D2" s="25"/>
      <c r="E2" s="12" t="s">
        <v>47</v>
      </c>
      <c r="F2" s="13" t="s">
        <v>24</v>
      </c>
      <c r="G2" s="14" t="s">
        <v>46</v>
      </c>
      <c r="H2" s="15" t="s">
        <v>25</v>
      </c>
      <c r="I2" s="21" t="s">
        <v>52</v>
      </c>
      <c r="J2" s="16" t="s">
        <v>23</v>
      </c>
      <c r="L2" s="20" t="s">
        <v>2</v>
      </c>
      <c r="N2" s="18" t="s">
        <v>26</v>
      </c>
      <c r="P2" s="19" t="s">
        <v>3</v>
      </c>
      <c r="R2" s="26" t="s">
        <v>32</v>
      </c>
      <c r="T2" s="12" t="s">
        <v>33</v>
      </c>
      <c r="U2" s="35" t="s">
        <v>72</v>
      </c>
      <c r="V2" s="27" t="s">
        <v>39</v>
      </c>
    </row>
    <row r="3" spans="1:23" x14ac:dyDescent="0.25">
      <c r="A3">
        <v>28542234</v>
      </c>
      <c r="E3" t="s">
        <v>155</v>
      </c>
      <c r="G3" s="28">
        <v>43076.541666666664</v>
      </c>
      <c r="I3" t="s">
        <v>149</v>
      </c>
      <c r="L3" s="1" t="s">
        <v>216</v>
      </c>
      <c r="T3" t="s">
        <v>143</v>
      </c>
      <c r="U3" t="s">
        <v>217</v>
      </c>
      <c r="W3" s="5"/>
    </row>
    <row r="4" spans="1:23" x14ac:dyDescent="0.25">
      <c r="A4">
        <v>28549279</v>
      </c>
      <c r="E4" t="s">
        <v>208</v>
      </c>
      <c r="G4" s="28">
        <v>43082.70416666667</v>
      </c>
      <c r="I4" t="s">
        <v>149</v>
      </c>
      <c r="L4" s="1" t="s">
        <v>216</v>
      </c>
      <c r="T4" t="s">
        <v>143</v>
      </c>
      <c r="U4" t="s">
        <v>217</v>
      </c>
      <c r="W4" s="5"/>
    </row>
    <row r="5" spans="1:23" x14ac:dyDescent="0.25">
      <c r="A5">
        <v>28546343</v>
      </c>
      <c r="E5" t="s">
        <v>152</v>
      </c>
      <c r="G5" s="28">
        <v>43080.576388888891</v>
      </c>
      <c r="I5" t="s">
        <v>149</v>
      </c>
      <c r="L5" s="1" t="s">
        <v>216</v>
      </c>
      <c r="T5" t="s">
        <v>143</v>
      </c>
      <c r="U5" t="s">
        <v>217</v>
      </c>
      <c r="W5" s="5"/>
    </row>
    <row r="6" spans="1:23" x14ac:dyDescent="0.25">
      <c r="A6">
        <v>28546504</v>
      </c>
      <c r="E6" t="s">
        <v>190</v>
      </c>
      <c r="G6" s="28">
        <v>43080.663888888892</v>
      </c>
      <c r="I6" t="s">
        <v>149</v>
      </c>
      <c r="W6" s="5"/>
    </row>
    <row r="7" spans="1:23" x14ac:dyDescent="0.25">
      <c r="A7" t="s">
        <v>219</v>
      </c>
      <c r="F7" s="1" t="s">
        <v>87</v>
      </c>
      <c r="W7" s="5"/>
    </row>
    <row r="8" spans="1:23" x14ac:dyDescent="0.25">
      <c r="A8" t="s">
        <v>237</v>
      </c>
      <c r="F8" s="1" t="s">
        <v>87</v>
      </c>
      <c r="W8" s="5"/>
    </row>
    <row r="9" spans="1:23" x14ac:dyDescent="0.25">
      <c r="A9" t="s">
        <v>220</v>
      </c>
      <c r="F9" s="1" t="s">
        <v>87</v>
      </c>
      <c r="W9" s="5"/>
    </row>
    <row r="10" spans="1:23" x14ac:dyDescent="0.25">
      <c r="A10" t="s">
        <v>221</v>
      </c>
      <c r="W10" s="5"/>
    </row>
    <row r="11" spans="1:23" x14ac:dyDescent="0.25">
      <c r="W11" s="5"/>
    </row>
    <row r="12" spans="1:23" x14ac:dyDescent="0.25">
      <c r="W12" s="5"/>
    </row>
    <row r="13" spans="1:23" x14ac:dyDescent="0.25">
      <c r="W13" s="5"/>
    </row>
    <row r="14" spans="1:23" x14ac:dyDescent="0.25">
      <c r="W14" s="5"/>
    </row>
    <row r="15" spans="1:23" x14ac:dyDescent="0.25">
      <c r="W15" s="5"/>
    </row>
    <row r="16" spans="1:23" x14ac:dyDescent="0.25">
      <c r="W16" s="5"/>
    </row>
    <row r="17" spans="23:23" x14ac:dyDescent="0.25">
      <c r="W17" s="5"/>
    </row>
    <row r="18" spans="23:23" x14ac:dyDescent="0.25">
      <c r="W18" s="5"/>
    </row>
    <row r="19" spans="23:23" x14ac:dyDescent="0.25">
      <c r="W19" s="5"/>
    </row>
    <row r="20" spans="23:23" x14ac:dyDescent="0.25">
      <c r="W20" s="5"/>
    </row>
    <row r="21" spans="23:23" x14ac:dyDescent="0.25">
      <c r="W21" s="5"/>
    </row>
    <row r="22" spans="23:23" x14ac:dyDescent="0.25">
      <c r="W22" s="5"/>
    </row>
    <row r="23" spans="23:23" x14ac:dyDescent="0.25">
      <c r="W23" s="5"/>
    </row>
    <row r="24" spans="23:23" x14ac:dyDescent="0.25">
      <c r="W24" s="5"/>
    </row>
    <row r="25" spans="23:23" x14ac:dyDescent="0.25">
      <c r="W25" s="5"/>
    </row>
    <row r="26" spans="23:23" x14ac:dyDescent="0.25">
      <c r="W26" s="5"/>
    </row>
    <row r="27" spans="23:23" x14ac:dyDescent="0.25">
      <c r="W27" s="5"/>
    </row>
    <row r="28" spans="23:23" x14ac:dyDescent="0.25">
      <c r="W28" s="5"/>
    </row>
    <row r="29" spans="23:23" x14ac:dyDescent="0.25">
      <c r="W29" s="5"/>
    </row>
  </sheetData>
  <mergeCells count="2">
    <mergeCell ref="A2:B2"/>
    <mergeCell ref="A1:B1"/>
  </mergeCells>
  <dataValidations count="4">
    <dataValidation type="list" allowBlank="1" showInputMessage="1" showErrorMessage="1" sqref="A2:B2">
      <formula1>"YES,NO"</formula1>
    </dataValidation>
    <dataValidation type="list" allowBlank="1" showInputMessage="1" showErrorMessage="1" sqref="U3">
      <formula1>"OK,NeOK,Отложить"</formula1>
    </dataValidation>
    <dataValidation type="list" allowBlank="1" showInputMessage="1" showErrorMessage="1" sqref="U4">
      <formula1>"OK,NeOK,Отложить"</formula1>
    </dataValidation>
    <dataValidation type="list" allowBlank="1" showInputMessage="1" showErrorMessage="1" sqref="U5">
      <formula1>"OK,NeOK,Отложить"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forloadlinks">
                <anchor moveWithCells="1" sizeWithCells="1">
                  <from>
                    <xdr:col>4</xdr:col>
                    <xdr:colOff>9525</xdr:colOff>
                    <xdr:row>0</xdr:row>
                    <xdr:rowOff>0</xdr:rowOff>
                  </from>
                  <to>
                    <xdr:col>7</xdr:col>
                    <xdr:colOff>76200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CloseIsue">
                <anchor moveWithCells="1" sizeWithCells="1">
                  <from>
                    <xdr:col>13</xdr:col>
                    <xdr:colOff>123825</xdr:colOff>
                    <xdr:row>0</xdr:row>
                    <xdr:rowOff>0</xdr:rowOff>
                  </from>
                  <to>
                    <xdr:col>15</xdr:col>
                    <xdr:colOff>714375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14"/>
  <sheetViews>
    <sheetView workbookViewId="0">
      <selection activeCell="E14" sqref="E14"/>
    </sheetView>
  </sheetViews>
  <sheetFormatPr defaultRowHeight="15" x14ac:dyDescent="0.25"/>
  <sheetData>
    <row r="1" spans="1:5" x14ac:dyDescent="0.25">
      <c r="A1" s="52" t="s">
        <v>164</v>
      </c>
      <c r="B1" s="52" t="s">
        <v>47</v>
      </c>
      <c r="C1" s="52" t="s">
        <v>165</v>
      </c>
      <c r="D1" s="52" t="s">
        <v>52</v>
      </c>
      <c r="E1" s="57" t="s">
        <v>230</v>
      </c>
    </row>
    <row r="2" spans="1:5" x14ac:dyDescent="0.25">
      <c r="A2" s="52">
        <v>28542234</v>
      </c>
      <c r="B2" s="52" t="s">
        <v>155</v>
      </c>
      <c r="C2" s="52"/>
      <c r="D2" s="52" t="s">
        <v>222</v>
      </c>
      <c r="E2" s="41" t="s">
        <v>231</v>
      </c>
    </row>
    <row r="3" spans="1:5" x14ac:dyDescent="0.25">
      <c r="A3" s="52">
        <v>28549279</v>
      </c>
      <c r="B3" s="52" t="s">
        <v>208</v>
      </c>
      <c r="C3" s="52"/>
      <c r="D3" s="52" t="s">
        <v>222</v>
      </c>
      <c r="E3" s="41" t="s">
        <v>231</v>
      </c>
    </row>
    <row r="4" spans="1:5" x14ac:dyDescent="0.25">
      <c r="A4">
        <v>28546343</v>
      </c>
      <c r="B4" t="s">
        <v>152</v>
      </c>
      <c r="D4" s="52" t="s">
        <v>222</v>
      </c>
      <c r="E4" s="6" t="s">
        <v>234</v>
      </c>
    </row>
    <row r="5" spans="1:5" x14ac:dyDescent="0.25">
      <c r="A5" s="52">
        <v>28544868</v>
      </c>
      <c r="B5" s="52" t="s">
        <v>179</v>
      </c>
      <c r="C5" s="52" t="s">
        <v>223</v>
      </c>
      <c r="D5" s="52" t="s">
        <v>228</v>
      </c>
    </row>
    <row r="6" spans="1:5" x14ac:dyDescent="0.25">
      <c r="A6" s="52">
        <v>28546435</v>
      </c>
      <c r="B6" s="52" t="s">
        <v>186</v>
      </c>
      <c r="C6" s="52" t="s">
        <v>227</v>
      </c>
      <c r="D6" s="52" t="s">
        <v>228</v>
      </c>
    </row>
    <row r="7" spans="1:5" x14ac:dyDescent="0.25">
      <c r="A7" s="52">
        <v>28546613</v>
      </c>
      <c r="B7" s="52" t="s">
        <v>187</v>
      </c>
      <c r="C7" s="52" t="s">
        <v>218</v>
      </c>
      <c r="D7" s="52" t="s">
        <v>228</v>
      </c>
    </row>
    <row r="8" spans="1:5" x14ac:dyDescent="0.25">
      <c r="A8">
        <v>28547795</v>
      </c>
      <c r="B8" t="s">
        <v>195</v>
      </c>
      <c r="D8" s="57" t="s">
        <v>222</v>
      </c>
      <c r="E8" t="s">
        <v>229</v>
      </c>
    </row>
    <row r="9" spans="1:5" x14ac:dyDescent="0.25">
      <c r="A9" s="52">
        <v>28549107</v>
      </c>
      <c r="B9" s="52" t="s">
        <v>151</v>
      </c>
      <c r="C9" s="52"/>
      <c r="D9" s="52" t="s">
        <v>222</v>
      </c>
      <c r="E9" t="s">
        <v>231</v>
      </c>
    </row>
    <row r="10" spans="1:5" x14ac:dyDescent="0.25">
      <c r="A10" s="52">
        <v>28549521</v>
      </c>
      <c r="B10" s="52" t="s">
        <v>213</v>
      </c>
      <c r="C10" s="52"/>
      <c r="D10" s="52" t="s">
        <v>222</v>
      </c>
      <c r="E10" s="41" t="s">
        <v>231</v>
      </c>
    </row>
    <row r="11" spans="1:5" x14ac:dyDescent="0.25">
      <c r="A11" s="52">
        <v>28549420</v>
      </c>
      <c r="B11" s="52" t="s">
        <v>214</v>
      </c>
      <c r="C11" s="52" t="s">
        <v>233</v>
      </c>
      <c r="D11" s="52" t="s">
        <v>228</v>
      </c>
    </row>
    <row r="12" spans="1:5" x14ac:dyDescent="0.25">
      <c r="A12" s="52">
        <v>28539436</v>
      </c>
      <c r="B12" s="52" t="s">
        <v>150</v>
      </c>
      <c r="C12" s="52" t="s">
        <v>160</v>
      </c>
      <c r="D12" s="52" t="s">
        <v>235</v>
      </c>
    </row>
    <row r="13" spans="1:5" x14ac:dyDescent="0.25">
      <c r="A13" s="52"/>
      <c r="B13" s="52"/>
      <c r="C13" s="52"/>
      <c r="D13" s="52"/>
    </row>
    <row r="14" spans="1:5" x14ac:dyDescent="0.25">
      <c r="A14" s="52"/>
      <c r="B14" s="52"/>
      <c r="C14" s="52"/>
      <c r="D14" s="52"/>
    </row>
  </sheetData>
  <autoFilter ref="A1:D15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>
      <selection activeCell="F13" sqref="F13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rgb="FF18FCFF"/>
  </sheetPr>
  <dimension ref="A1:L1"/>
  <sheetViews>
    <sheetView workbookViewId="0">
      <selection activeCell="C18" sqref="C18"/>
    </sheetView>
  </sheetViews>
  <sheetFormatPr defaultColWidth="9.140625" defaultRowHeight="15" x14ac:dyDescent="0.25"/>
  <cols>
    <col min="1" max="1" width="3.140625" style="36" bestFit="1" customWidth="1"/>
    <col min="2" max="2" width="9.140625" style="36"/>
    <col min="3" max="3" width="50.7109375" style="36" bestFit="1" customWidth="1"/>
    <col min="4" max="4" width="37.5703125" style="36" bestFit="1" customWidth="1"/>
    <col min="5" max="7" width="15.28515625" style="36" bestFit="1" customWidth="1"/>
    <col min="8" max="8" width="10.140625" style="36" bestFit="1" customWidth="1"/>
    <col min="9" max="11" width="9.140625" style="36"/>
    <col min="12" max="12" width="10.140625" style="36" bestFit="1" customWidth="1"/>
    <col min="13" max="16384" width="9.140625" style="36"/>
  </cols>
  <sheetData>
    <row r="1" spans="1:12" ht="29.25" customHeight="1" thickBot="1" x14ac:dyDescent="0.3">
      <c r="A1" s="37" t="s">
        <v>94</v>
      </c>
      <c r="B1" s="38" t="s">
        <v>95</v>
      </c>
      <c r="C1" s="38" t="s">
        <v>96</v>
      </c>
      <c r="D1" s="38" t="s">
        <v>5</v>
      </c>
      <c r="E1" s="38" t="s">
        <v>97</v>
      </c>
      <c r="F1" s="38" t="s">
        <v>51</v>
      </c>
      <c r="G1" s="38" t="s">
        <v>98</v>
      </c>
      <c r="H1" s="40">
        <f>COUNTA(B:B)-1</f>
        <v>0</v>
      </c>
      <c r="L1" s="39">
        <f ca="1">TODAY()</f>
        <v>43083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CloseDefendIsue">
                <anchor moveWithCells="1" sizeWithCells="1">
                  <from>
                    <xdr:col>8</xdr:col>
                    <xdr:colOff>57150</xdr:colOff>
                    <xdr:row>0</xdr:row>
                    <xdr:rowOff>9525</xdr:rowOff>
                  </from>
                  <to>
                    <xdr:col>10</xdr:col>
                    <xdr:colOff>228600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D34"/>
  <sheetViews>
    <sheetView workbookViewId="0">
      <selection activeCell="C35" sqref="C35"/>
    </sheetView>
  </sheetViews>
  <sheetFormatPr defaultRowHeight="15" x14ac:dyDescent="0.25"/>
  <cols>
    <col min="2" max="2" width="14.5703125" bestFit="1" customWidth="1"/>
    <col min="4" max="4" width="24.42578125" bestFit="1" customWidth="1"/>
  </cols>
  <sheetData>
    <row r="1" spans="1:4" ht="15.75" thickBot="1" x14ac:dyDescent="0.3">
      <c r="A1" s="7">
        <f>COUNTA(A2:A94)</f>
        <v>9</v>
      </c>
      <c r="B1" s="9" t="s">
        <v>49</v>
      </c>
      <c r="C1" s="11">
        <f>COUNTA(C2:C94)</f>
        <v>33</v>
      </c>
      <c r="D1" s="10" t="s">
        <v>35</v>
      </c>
    </row>
    <row r="2" spans="1:4" x14ac:dyDescent="0.25">
      <c r="A2" s="5" t="s">
        <v>27</v>
      </c>
      <c r="B2" s="4"/>
      <c r="C2" t="s">
        <v>50</v>
      </c>
    </row>
    <row r="3" spans="1:4" x14ac:dyDescent="0.25">
      <c r="A3" s="5" t="s">
        <v>28</v>
      </c>
      <c r="B3" s="4"/>
      <c r="C3" t="s">
        <v>144</v>
      </c>
    </row>
    <row r="4" spans="1:4" x14ac:dyDescent="0.25">
      <c r="A4" s="5" t="s">
        <v>30</v>
      </c>
      <c r="B4" s="4"/>
      <c r="C4" t="s">
        <v>36</v>
      </c>
    </row>
    <row r="5" spans="1:4" x14ac:dyDescent="0.25">
      <c r="A5" s="6" t="s">
        <v>41</v>
      </c>
      <c r="B5" s="4"/>
      <c r="C5" t="s">
        <v>37</v>
      </c>
    </row>
    <row r="6" spans="1:4" x14ac:dyDescent="0.25">
      <c r="A6" s="6" t="s">
        <v>42</v>
      </c>
      <c r="B6" s="4"/>
      <c r="C6" t="s">
        <v>38</v>
      </c>
    </row>
    <row r="7" spans="1:4" x14ac:dyDescent="0.25">
      <c r="A7" t="s">
        <v>100</v>
      </c>
      <c r="B7" s="4"/>
      <c r="C7" t="s">
        <v>48</v>
      </c>
    </row>
    <row r="8" spans="1:4" x14ac:dyDescent="0.25">
      <c r="A8" t="s">
        <v>101</v>
      </c>
      <c r="B8" s="4"/>
      <c r="C8" s="5" t="s">
        <v>29</v>
      </c>
    </row>
    <row r="9" spans="1:4" x14ac:dyDescent="0.25">
      <c r="A9" t="s">
        <v>102</v>
      </c>
      <c r="B9" s="4"/>
      <c r="C9" t="s">
        <v>53</v>
      </c>
    </row>
    <row r="10" spans="1:4" x14ac:dyDescent="0.25">
      <c r="A10" t="s">
        <v>111</v>
      </c>
      <c r="B10" s="4"/>
      <c r="C10" t="s">
        <v>54</v>
      </c>
    </row>
    <row r="11" spans="1:4" x14ac:dyDescent="0.25">
      <c r="B11" s="4"/>
      <c r="C11" t="s">
        <v>56</v>
      </c>
    </row>
    <row r="12" spans="1:4" x14ac:dyDescent="0.25">
      <c r="B12" s="4"/>
      <c r="C12" t="s">
        <v>57</v>
      </c>
    </row>
    <row r="13" spans="1:4" x14ac:dyDescent="0.25">
      <c r="B13" s="4"/>
      <c r="C13" t="s">
        <v>88</v>
      </c>
    </row>
    <row r="14" spans="1:4" x14ac:dyDescent="0.25">
      <c r="B14" s="4"/>
      <c r="C14" t="s">
        <v>89</v>
      </c>
    </row>
    <row r="15" spans="1:4" x14ac:dyDescent="0.25">
      <c r="B15" s="4"/>
      <c r="C15" t="s">
        <v>90</v>
      </c>
    </row>
    <row r="16" spans="1:4" x14ac:dyDescent="0.25">
      <c r="B16" s="4"/>
      <c r="C16" t="s">
        <v>122</v>
      </c>
    </row>
    <row r="17" spans="2:3" x14ac:dyDescent="0.25">
      <c r="B17" s="4"/>
      <c r="C17" t="s">
        <v>103</v>
      </c>
    </row>
    <row r="18" spans="2:3" x14ac:dyDescent="0.25">
      <c r="C18" t="s">
        <v>100</v>
      </c>
    </row>
    <row r="19" spans="2:3" x14ac:dyDescent="0.25">
      <c r="C19" t="s">
        <v>104</v>
      </c>
    </row>
    <row r="20" spans="2:3" x14ac:dyDescent="0.25">
      <c r="C20" t="s">
        <v>105</v>
      </c>
    </row>
    <row r="21" spans="2:3" x14ac:dyDescent="0.25">
      <c r="C21" t="s">
        <v>106</v>
      </c>
    </row>
    <row r="22" spans="2:3" x14ac:dyDescent="0.25">
      <c r="C22" t="s">
        <v>107</v>
      </c>
    </row>
    <row r="23" spans="2:3" x14ac:dyDescent="0.25">
      <c r="C23" t="s">
        <v>38</v>
      </c>
    </row>
    <row r="24" spans="2:3" x14ac:dyDescent="0.25">
      <c r="C24" t="s">
        <v>112</v>
      </c>
    </row>
    <row r="25" spans="2:3" x14ac:dyDescent="0.25">
      <c r="C25" t="s">
        <v>113</v>
      </c>
    </row>
    <row r="26" spans="2:3" x14ac:dyDescent="0.25">
      <c r="C26" t="s">
        <v>145</v>
      </c>
    </row>
    <row r="27" spans="2:3" x14ac:dyDescent="0.25">
      <c r="C27" t="s">
        <v>146</v>
      </c>
    </row>
    <row r="28" spans="2:3" x14ac:dyDescent="0.25">
      <c r="C28" t="s">
        <v>147</v>
      </c>
    </row>
    <row r="29" spans="2:3" x14ac:dyDescent="0.25">
      <c r="C29" t="s">
        <v>161</v>
      </c>
    </row>
    <row r="30" spans="2:3" x14ac:dyDescent="0.25">
      <c r="C30" t="s">
        <v>162</v>
      </c>
    </row>
    <row r="31" spans="2:3" x14ac:dyDescent="0.25">
      <c r="C31" t="s">
        <v>163</v>
      </c>
    </row>
    <row r="32" spans="2:3" x14ac:dyDescent="0.25">
      <c r="C32" t="s">
        <v>224</v>
      </c>
    </row>
    <row r="33" spans="3:3" x14ac:dyDescent="0.25">
      <c r="C33" t="s">
        <v>225</v>
      </c>
    </row>
    <row r="34" spans="3:3" x14ac:dyDescent="0.25">
      <c r="C34" t="s">
        <v>226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39"/>
  <sheetViews>
    <sheetView topLeftCell="A19" workbookViewId="0">
      <selection activeCell="H33" sqref="H33"/>
    </sheetView>
  </sheetViews>
  <sheetFormatPr defaultRowHeight="15" x14ac:dyDescent="0.25"/>
  <cols>
    <col min="1" max="1" width="5.5703125" customWidth="1"/>
    <col min="2" max="2" width="13.42578125" bestFit="1" customWidth="1"/>
    <col min="3" max="3" width="21.85546875" bestFit="1" customWidth="1"/>
  </cols>
  <sheetData>
    <row r="1" spans="1:3" x14ac:dyDescent="0.25">
      <c r="A1" s="30">
        <f>COUNTA(B:B)-1</f>
        <v>38</v>
      </c>
      <c r="B1" s="32" t="s">
        <v>58</v>
      </c>
      <c r="C1" s="31" t="s">
        <v>59</v>
      </c>
    </row>
    <row r="2" spans="1:3" x14ac:dyDescent="0.25">
      <c r="A2">
        <v>1</v>
      </c>
      <c r="B2" t="s">
        <v>122</v>
      </c>
      <c r="C2" t="s">
        <v>60</v>
      </c>
    </row>
    <row r="3" spans="1:3" x14ac:dyDescent="0.25">
      <c r="A3">
        <v>2</v>
      </c>
      <c r="B3" t="s">
        <v>61</v>
      </c>
      <c r="C3" t="s">
        <v>62</v>
      </c>
    </row>
    <row r="4" spans="1:3" x14ac:dyDescent="0.25">
      <c r="A4">
        <v>3</v>
      </c>
      <c r="B4" t="s">
        <v>63</v>
      </c>
      <c r="C4" t="s">
        <v>64</v>
      </c>
    </row>
    <row r="5" spans="1:3" x14ac:dyDescent="0.25">
      <c r="A5">
        <v>4</v>
      </c>
      <c r="B5" t="s">
        <v>65</v>
      </c>
      <c r="C5" t="s">
        <v>91</v>
      </c>
    </row>
    <row r="6" spans="1:3" x14ac:dyDescent="0.25">
      <c r="A6">
        <v>5</v>
      </c>
      <c r="B6" t="s">
        <v>114</v>
      </c>
      <c r="C6" t="s">
        <v>66</v>
      </c>
    </row>
    <row r="7" spans="1:3" x14ac:dyDescent="0.25">
      <c r="A7">
        <v>6</v>
      </c>
      <c r="B7" t="s">
        <v>67</v>
      </c>
      <c r="C7" t="s">
        <v>68</v>
      </c>
    </row>
    <row r="8" spans="1:3" x14ac:dyDescent="0.25">
      <c r="A8">
        <v>7</v>
      </c>
      <c r="B8" t="s">
        <v>70</v>
      </c>
      <c r="C8" t="s">
        <v>71</v>
      </c>
    </row>
    <row r="9" spans="1:3" x14ac:dyDescent="0.25">
      <c r="A9">
        <v>8</v>
      </c>
      <c r="B9" t="s">
        <v>73</v>
      </c>
      <c r="C9" t="s">
        <v>74</v>
      </c>
    </row>
    <row r="10" spans="1:3" x14ac:dyDescent="0.25">
      <c r="A10">
        <v>9</v>
      </c>
      <c r="B10" t="s">
        <v>75</v>
      </c>
      <c r="C10" t="s">
        <v>76</v>
      </c>
    </row>
    <row r="11" spans="1:3" x14ac:dyDescent="0.25">
      <c r="A11">
        <v>10</v>
      </c>
      <c r="B11" t="s">
        <v>77</v>
      </c>
      <c r="C11" t="s">
        <v>80</v>
      </c>
    </row>
    <row r="12" spans="1:3" x14ac:dyDescent="0.25">
      <c r="A12">
        <v>11</v>
      </c>
      <c r="B12" t="s">
        <v>78</v>
      </c>
      <c r="C12" t="s">
        <v>79</v>
      </c>
    </row>
    <row r="13" spans="1:3" x14ac:dyDescent="0.25">
      <c r="A13">
        <v>12</v>
      </c>
      <c r="B13" t="s">
        <v>81</v>
      </c>
      <c r="C13" t="s">
        <v>82</v>
      </c>
    </row>
    <row r="14" spans="1:3" x14ac:dyDescent="0.25">
      <c r="A14">
        <v>13</v>
      </c>
      <c r="B14" t="s">
        <v>83</v>
      </c>
      <c r="C14" t="s">
        <v>84</v>
      </c>
    </row>
    <row r="15" spans="1:3" x14ac:dyDescent="0.25">
      <c r="A15">
        <v>14</v>
      </c>
      <c r="B15" t="s">
        <v>85</v>
      </c>
      <c r="C15" t="s">
        <v>86</v>
      </c>
    </row>
    <row r="16" spans="1:3" x14ac:dyDescent="0.25">
      <c r="A16">
        <v>15</v>
      </c>
      <c r="B16" t="s">
        <v>92</v>
      </c>
      <c r="C16" t="s">
        <v>93</v>
      </c>
    </row>
    <row r="17" spans="1:3" x14ac:dyDescent="0.25">
      <c r="A17">
        <v>16</v>
      </c>
      <c r="B17" s="41" t="s">
        <v>166</v>
      </c>
      <c r="C17" s="41" t="s">
        <v>167</v>
      </c>
    </row>
    <row r="18" spans="1:3" x14ac:dyDescent="0.25">
      <c r="A18">
        <v>17</v>
      </c>
      <c r="B18" t="s">
        <v>110</v>
      </c>
      <c r="C18" t="s">
        <v>109</v>
      </c>
    </row>
    <row r="19" spans="1:3" x14ac:dyDescent="0.25">
      <c r="A19">
        <v>18</v>
      </c>
      <c r="B19" t="s">
        <v>115</v>
      </c>
      <c r="C19" t="s">
        <v>116</v>
      </c>
    </row>
    <row r="20" spans="1:3" x14ac:dyDescent="0.25">
      <c r="A20">
        <v>19</v>
      </c>
      <c r="B20" t="s">
        <v>118</v>
      </c>
      <c r="C20" t="s">
        <v>117</v>
      </c>
    </row>
    <row r="21" spans="1:3" x14ac:dyDescent="0.25">
      <c r="A21">
        <v>20</v>
      </c>
      <c r="B21" t="s">
        <v>120</v>
      </c>
      <c r="C21" t="s">
        <v>121</v>
      </c>
    </row>
    <row r="22" spans="1:3" x14ac:dyDescent="0.25">
      <c r="A22">
        <v>21</v>
      </c>
      <c r="B22" t="s">
        <v>125</v>
      </c>
      <c r="C22" t="s">
        <v>126</v>
      </c>
    </row>
    <row r="23" spans="1:3" x14ac:dyDescent="0.25">
      <c r="A23">
        <v>22</v>
      </c>
      <c r="B23" t="s">
        <v>127</v>
      </c>
      <c r="C23" t="s">
        <v>128</v>
      </c>
    </row>
    <row r="24" spans="1:3" x14ac:dyDescent="0.25">
      <c r="A24">
        <v>23</v>
      </c>
      <c r="B24" t="s">
        <v>129</v>
      </c>
      <c r="C24" t="s">
        <v>130</v>
      </c>
    </row>
    <row r="25" spans="1:3" x14ac:dyDescent="0.25">
      <c r="A25">
        <v>24</v>
      </c>
      <c r="B25" t="s">
        <v>131</v>
      </c>
      <c r="C25" t="s">
        <v>132</v>
      </c>
    </row>
    <row r="26" spans="1:3" x14ac:dyDescent="0.25">
      <c r="A26">
        <v>25</v>
      </c>
      <c r="B26" t="s">
        <v>133</v>
      </c>
      <c r="C26" t="s">
        <v>134</v>
      </c>
    </row>
    <row r="27" spans="1:3" x14ac:dyDescent="0.25">
      <c r="A27">
        <v>26</v>
      </c>
      <c r="B27" t="s">
        <v>135</v>
      </c>
      <c r="C27" t="s">
        <v>136</v>
      </c>
    </row>
    <row r="28" spans="1:3" x14ac:dyDescent="0.25">
      <c r="A28">
        <v>27</v>
      </c>
      <c r="B28" t="s">
        <v>137</v>
      </c>
      <c r="C28" t="s">
        <v>138</v>
      </c>
    </row>
    <row r="29" spans="1:3" x14ac:dyDescent="0.25">
      <c r="A29">
        <v>28</v>
      </c>
      <c r="B29" t="s">
        <v>139</v>
      </c>
      <c r="C29" t="s">
        <v>140</v>
      </c>
    </row>
    <row r="30" spans="1:3" x14ac:dyDescent="0.25">
      <c r="A30">
        <v>29</v>
      </c>
      <c r="B30" t="s">
        <v>141</v>
      </c>
      <c r="C30" t="s">
        <v>142</v>
      </c>
    </row>
    <row r="31" spans="1:3" x14ac:dyDescent="0.25">
      <c r="A31">
        <v>30</v>
      </c>
      <c r="B31" t="s">
        <v>153</v>
      </c>
      <c r="C31" t="s">
        <v>154</v>
      </c>
    </row>
    <row r="32" spans="1:3" x14ac:dyDescent="0.25">
      <c r="A32">
        <v>31</v>
      </c>
      <c r="B32" t="s">
        <v>156</v>
      </c>
      <c r="C32" t="s">
        <v>157</v>
      </c>
    </row>
    <row r="33" spans="1:3" x14ac:dyDescent="0.25">
      <c r="A33">
        <v>32</v>
      </c>
      <c r="B33" t="s">
        <v>158</v>
      </c>
      <c r="C33" t="s">
        <v>159</v>
      </c>
    </row>
    <row r="34" spans="1:3" x14ac:dyDescent="0.25">
      <c r="A34">
        <v>33</v>
      </c>
      <c r="B34" s="41" t="s">
        <v>123</v>
      </c>
      <c r="C34" s="41" t="s">
        <v>99</v>
      </c>
    </row>
    <row r="35" spans="1:3" x14ac:dyDescent="0.25">
      <c r="A35">
        <v>34</v>
      </c>
      <c r="B35" t="s">
        <v>168</v>
      </c>
      <c r="C35" t="s">
        <v>169</v>
      </c>
    </row>
    <row r="36" spans="1:3" x14ac:dyDescent="0.25">
      <c r="A36">
        <v>35</v>
      </c>
      <c r="B36" t="s">
        <v>201</v>
      </c>
      <c r="C36" t="s">
        <v>202</v>
      </c>
    </row>
    <row r="37" spans="1:3" x14ac:dyDescent="0.25">
      <c r="A37">
        <v>36</v>
      </c>
      <c r="B37" t="s">
        <v>203</v>
      </c>
      <c r="C37" t="s">
        <v>204</v>
      </c>
    </row>
    <row r="38" spans="1:3" x14ac:dyDescent="0.25">
      <c r="A38">
        <v>37</v>
      </c>
      <c r="B38" t="s">
        <v>206</v>
      </c>
      <c r="C38" t="s">
        <v>205</v>
      </c>
    </row>
    <row r="39" spans="1:3" x14ac:dyDescent="0.25">
      <c r="A39">
        <v>38</v>
      </c>
      <c r="B39" t="s">
        <v>215</v>
      </c>
      <c r="C39" t="s">
        <v>232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5D3FEA9-3AB3-4950-AAAA-D3DFF0F2DC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Ротапост</vt:lpstr>
      <vt:lpstr>Прод</vt:lpstr>
      <vt:lpstr>Лист1</vt:lpstr>
      <vt:lpstr>BufferList</vt:lpstr>
      <vt:lpstr>Отложенные</vt:lpstr>
      <vt:lpstr>Исключения</vt:lpstr>
      <vt:lpstr>Ключи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Черняхівський Віталій Анатолійович</dc:creator>
  <cp:lastModifiedBy>Виталик</cp:lastModifiedBy>
  <dcterms:created xsi:type="dcterms:W3CDTF">2017-07-26T09:37:38Z</dcterms:created>
  <dcterms:modified xsi:type="dcterms:W3CDTF">2017-12-13T22:50:22Z</dcterms:modified>
</cp:coreProperties>
</file>