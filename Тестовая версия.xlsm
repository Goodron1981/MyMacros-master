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Отложенные" sheetId="10" r:id="rId5"/>
    <sheet name="Исключения" sheetId="8" r:id="rId6"/>
    <sheet name="Ключи" sheetId="9" r:id="rId7"/>
  </sheets>
  <functionGroups builtInGroupCount="18"/>
  <definedNames>
    <definedName name="_xlnm._FilterDatabase" localSheetId="5" hidden="1">Исключения!$C$1:$C$25</definedName>
    <definedName name="_xlnm._FilterDatabase" localSheetId="2" hidden="1">Лист1!$A$1:$D$15</definedName>
    <definedName name="_xlnm._FilterDatabase" localSheetId="1" hidden="1">Прод!$A$1:$A$53</definedName>
    <definedName name="_xlnm._FilterDatabase" localSheetId="0" hidden="1">Ротапост!$A$25:$A$25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<sst xmlns="http://schemas.openxmlformats.org/spreadsheetml/2006/main" count="346" uniqueCount="279">
  <si>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</si>
  <si>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</si>
  <si>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</si>
  <si>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</si>
  <si>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</si>
  <si>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</si>
  <si>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</si>
  <si>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</si>
  <si>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</si>
  <si>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</si>
  <si>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</si>
  <si>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</si>
  <si>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</si>
  <si>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</si>
  <si>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</si>
  <si>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</si>
  <si>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</si>
  <si>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</si>
  <si>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</si>
  <si>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</si>
  <si>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</si>
  <si>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</si>
  <si>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</si>
  <si>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</si>
  <si>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</si>
  <si>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</si>
  <si>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</si>
  <si>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</si>
  <si>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</si>
  <si>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</si>
  <si>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</si>
  <si>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</si>
  <si>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</si>
  <si>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</si>
  <si>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</si>
  <si>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</si>
  <si>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</si>
  <si>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</si>
  <si>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</si>
  <si>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</si>
  <si>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</si>
  <si>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</si>
  <si>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</si>
  <si>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</si>
  <si>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</si>
  <si>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</si>
  <si>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</si>
  <si>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</si>
  <si>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</si>
  <si>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</si>
  <si>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</si>
  <si>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</si>
  <si>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</si>
  <si>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</si>
  <si>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</si>
  <si>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</si>
  <si>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</si>
  <si>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</si>
  <si>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</si>
  <si>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</si>
  <si>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</si>
  <si>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</si>
  <si>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</si>
  <si>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</si>
  <si>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</si>
  <si>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</si>
  <si>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</si>
  <si>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</si>
  <si>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</si>
  <si>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</si>
  <si>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</si>
  <si>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</si>
  <si>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</si>
  <si>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</si>
  <si>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</si>
  <si>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</si>
  <si>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</si>
  <si>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</si>
  <si>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</si>
  <si>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</si>
  <si>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</si>
  <si>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</si>
  <si>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</si>
  <si>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</si>
  <si>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</si>
  <si>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</si>
  <si>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</si>
  <si>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</si>
  <si>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</si>
  <si>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</si>
  <si>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</si>
  <si>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</si>
  <si>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</si>
  <si>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</si>
  <si>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</si>
  <si>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</si>
  <si>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</si>
  <si>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</si>
  <si>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</si>
  <si>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</si>
  <si>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</si>
  <si>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</si>
  <si>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</si>
  <si>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</si>
  <si>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</si>
  <si>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</si>
  <si>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</si>
  <si>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</si>
  <si>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</si>
  <si>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</si>
  <si>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</si>
  <si>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</si>
  <si>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</si>
  <si>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</si>
  <si>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</si>
  <si>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</si>
  <si>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</si>
  <si>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</si>
  <si>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</si>
  <si>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</si>
  <si>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</si>
  <si>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</si>
  <si>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</si>
  <si>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</si>
  <si>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</si>
  <si>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</si>
  <si>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</si>
  <si>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</si>
  <si>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</si>
  <si>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</si>
  <si>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</si>
  <si>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</si>
  <si>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</si>
  <si>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</si>
  <si>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</si>
  <si>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</si>
  <si>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</si>
  <si>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</si>
  <si>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</si>
  <si>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</si>
  <si>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</si>
  <si>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</si>
  <si>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</si>
  <si>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</si>
  <si>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</si>
  <si>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</si>
  <si>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В работе</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</si>
  <si>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</si>
  <si>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</si>
  <si>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</si>
  <si>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</si>
  <si>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</si>
  <si>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</si>
  <si>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</si>
  <si>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</si>
  <si>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</si>
  <si>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</si>
  <si>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</si>
  <si>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</si>
  <si>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</si>
  <si>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</si>
  <si>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</si>
  <si>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</si>
  <si>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</si>
  <si>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</si>
  <si>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сайт</t>
  </si>
  <si>
    <t>Как создается сайт.</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</si>
  <si>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</si>
  <si>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</si>
  <si>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</si>
  <si>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</si>
  <si>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</si>
  <si>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</si>
  <si>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</si>
  <si>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</si>
  <si>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</si>
  <si>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</si>
  <si>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</si>
  <si>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</si>
  <si>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</si>
  <si>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</si>
  <si>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</si>
  <si>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</si>
  <si>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</si>
  <si>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</si>
  <si>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</si>
  <si>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</si>
  <si>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</si>
  <si>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</si>
  <si>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</si>
  <si>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</si>
  <si>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</si>
  <si>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</si>
  <si>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</si>
  <si>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</si>
  <si>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</si>
  <si>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</si>
  <si>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</si>
  <si>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Postovoi</t>
  </si>
  <si>
    <t>краска</t>
  </si>
  <si>
    <t>Как правильно выбрать краску.</t>
  </si>
  <si>
    <t>Максим</t>
  </si>
  <si>
    <t>d5cc2917-2128-4f9d-a58d-b5d761b71b57</t>
  </si>
  <si>
    <t>smartx.kiev.ua</t>
  </si>
  <si>
    <t>elit-a-a.com.ua</t>
  </si>
  <si>
    <t>NoK</t>
  </si>
  <si>
    <t>тиковое масло</t>
  </si>
  <si>
    <t>Виды защиты древесины.</t>
  </si>
  <si>
    <t>http://smartx.kiev.ua/yak-pravilno-vibrati-farbu-dlya-poverhon/</t>
  </si>
  <si>
    <t>http://elit-a-a.com.ua/vidi-zahistu-derevini-2/</t>
  </si>
  <si>
    <t>генератор</t>
  </si>
  <si>
    <t>Где применяются генераторы.</t>
  </si>
  <si>
    <t>Как выбрать конструктор для ребенка.</t>
  </si>
  <si>
    <t>Заявки в работе</t>
  </si>
  <si>
    <t>dril.com.ua</t>
  </si>
  <si>
    <t>кондиционер</t>
  </si>
  <si>
    <t>Как подобрать кондиционер.</t>
  </si>
  <si>
    <t>конструктор</t>
  </si>
  <si>
    <t>YES</t>
  </si>
  <si>
    <t>http://dril.com.ua/yak-pidibrati-konditsioner/</t>
  </si>
  <si>
    <t>http://upu.org.ua/yak-vibrati-konstruktor-dlya-ditini/</t>
  </si>
  <si>
    <t>ErrorPublic</t>
  </si>
  <si>
    <t>NeOK</t>
  </si>
  <si>
    <t>&lt;a href="https://www.promobud.ua/dizel_nie-generatori-elektrostantcii-a3614.htm" title="promobud.ua"&gt;promobud.ua&lt;/a&gt;</t>
  </si>
  <si>
    <t>Только одна ссылка в статье (не допускаются ссылки на другие ресурсы).
Ссылка не должна находится в футере или в нижней части статьи. Желательно в середине или в начале статьи.
Статья должна быть новой, уникальной и тематической от 1600 символов.
Ссылка размещается навсегда - удаление не допустимо.</t>
  </si>
  <si>
    <t>2017-12-15T18:27:49</t>
  </si>
  <si>
    <t>2017-12-15T19:05:17</t>
  </si>
  <si>
    <t>2017-12-22T19:05:17</t>
  </si>
  <si>
    <t>https://www.promobud.ua/dizel_nie-generatori-elektrostantcii-a3614.htm</t>
  </si>
  <si>
    <t>&lt;a href="http://www.tvinti.com/blog/kak-vyglyadyat-zvyozdy-gollivuda-upotreblyayushchiye-narkotiky/" title="звёзды и наркотики"&gt;звёзды и наркотики&lt;/a&gt;</t>
  </si>
  <si>
    <t>Постовой должен быть окружен тематическим текстом
Только один постовой на страницу
Постовой должен быть в новой статье
Постовой должен быть в русскоязычной статье
Постовой должен быть в статье, размером не меньше 2000 символов</t>
  </si>
  <si>
    <t>2017-12-11T15:56:25</t>
  </si>
  <si>
    <t>2017-12-11T22:41:00</t>
  </si>
  <si>
    <t>2017-12-26T11:55:24</t>
  </si>
  <si>
    <t>http://www.tvinti.com/blog/kak-vyglyadyat-zvyozdy-gollivuda-upotreblyayushchiye-narkotiky/</t>
  </si>
  <si>
    <t>На проверке</t>
  </si>
  <si>
    <t>PressRelease</t>
  </si>
  <si>
    <t>Янковский Игорь Николаевич
Текст и смысл берем по ссылке, анкор можно менять на любой (подробнее, источник и тд) 
Важно: наличие ключевого слова: Янковский Игорь Николаевич
Проверяется наличие ссылки: https://yankovsky.com.ua/wikipedia-yankovskij-igor-nikolaevich/
с текстом (анкором): Янковский Игорь Николаевич
Проверяется наличие текста: Янковский Игорь Николаевич</t>
  </si>
  <si>
    <t>Пресс-релиз должен быть опубликован через главную страницу и RSS</t>
  </si>
  <si>
    <t>kpln.com.ua</t>
  </si>
  <si>
    <t>2017-12-20T14:13:42</t>
  </si>
  <si>
    <t>2017-12-20T14:54:41</t>
  </si>
  <si>
    <t>2017-12-27T14:54:41</t>
  </si>
  <si>
    <t>No href!</t>
  </si>
  <si>
    <t>Игорь Николаевич Янковский
Текст и смысл берем по ссылке, анкор любой (подробнее, источник и тд) 
Важно: наличие ключевых слов Игорь Янковский и Украина (желательно в h1-h2-h3-h4)
Проверяется наличие ссылки: https://www.048.ua/news/817529
с текстом (анкором): Игорь Николаевич Янковский
Проверяется наличие текста: Игорь Николаевич Янковский</t>
  </si>
  <si>
    <t>2017-12-20T14:09:33</t>
  </si>
  <si>
    <t>2017-12-20T15:22:42</t>
  </si>
  <si>
    <t>2017-12-27T15:22:42</t>
  </si>
  <si>
    <t>&lt;a href="https://www.klondayk.com.ua/ru/products/perforatory/index.html" title="https://www.klondayk.com.ua/"&gt;https://www.klondayk.com.ua/&lt;/a&gt;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</si>
  <si>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</si>
  <si>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interline.net.ua</t>
  </si>
  <si>
    <t>2017-12-20T17:03:20</t>
  </si>
  <si>
    <t>2017-12-20T17:16:21</t>
  </si>
  <si>
    <t>2017-12-27T17:16:21</t>
  </si>
  <si>
    <t>https://www.klondayk.com.ua/ru/products/perforatory/index.html</t>
  </si>
  <si>
    <t>дизельные генераторы «dalgakiran» для промышленных целей</t>
  </si>
  <si>
    <t>звёзды и наркотики. как выглядят звёзды - наркоманы</t>
  </si>
  <si>
    <t>No img!</t>
  </si>
  <si>
    <t>No keyword!</t>
  </si>
  <si>
    <t>Not found</t>
  </si>
  <si>
    <t>перфораторы - купить перфоратор в украине - цена на перфоратор в киеве - klondayk</t>
  </si>
  <si>
    <t>перфораторы, перфоратор, купить перфоратор, перфораторы купить, перфоратор купить, купить перфоратор в киеве, купить перфоратор в украине, перфоратор цена, украина, киев, харьков, одесса, днепропетровск</t>
  </si>
  <si>
    <t>перфоратор</t>
  </si>
  <si>
    <t>Как выбрать дрель для дома.</t>
  </si>
  <si>
    <t>http://specialist.co.ua/articles,special,1,11.htm</t>
  </si>
  <si>
    <t>http://bouw.ru/article/kak-pravilyno-vibraty-drely-dlya-doma</t>
  </si>
  <si>
    <t>http://instrument-tehnika.ru/kak-vybrat-drel/</t>
  </si>
  <si>
    <t xml:space="preserve">Перейти к контенту _x000D_
Инструмент и техника_x000D_
Статьи об электроинструменте, садовой технике и строительном оборудовании_x000D_
Электроинструмент_x000D_
Садовая техника_x000D_
Силовая техника_x000D_
Строительная техника_x000D_
Измерительная техника_x000D_
Тепловая техника_x000D_
Все статьи сайта_x000D_
Как выбрать дрель для дома и работы?_x000D_
Рубрика: Дрели _x000D_
Всем привет! Из этой статьи вы узнаете, как выбрать дрель для тех или иных работ в бытовой либо профессиональной эксплуатации. При правильном выборе вы обеспечите себя подходящим и надежным инструментом. В противном же случае можно купить либо недолговечную, либо не подходящую под ваши нужды дрель._x000D_
Сразу отмечу, что здесь речь пойдет о сетевых аппаратах. Я не буду в этом тексте писать об аккумуляторных моделях. О том, как выбрать аккумуляторную или сетевую дрель-шуруповерт, у меня есть отдельная статья _x000D_
. Некоторые еще и путают дрель с перфоратором, который является другим инструментом. О том, как выбрать его, вы тоже можете прочитать на моем сайте._x000D_
Содержание:_x000D_
Введение_x000D_
Как и какую выбрать электродрель для дома_x000D_
Как выбрать профессиональную дрель_x000D_
Дополнительные моменты по выбору дрели_x000D_
Ошибки при эксплуатации дрелей_x000D_
Заключение_x000D_
Введение_x000D_
Дрель – очень полезная в быту вещь. Самая важная ее функция  – это сверление отверстий, чтобы, к примеру, можно было повесить шкаф или протянуть через стену кабель. Кроме того, с ее помощью можно куда-нибудь и саморез завернуть, использовав ее как сетевой шуруповерт._x000D_
В общем, как ни крути, но у домашнего мастера, а уж тем более у профессионального монтажника или другого подобного специалиста, под рукой обязательно должна быть электродрель, чтобы с легкостью можно было выполнить указанные выше операции. Но на что обратить внимание при выборе?_x000D_
Как и какую выбрать электродрель для дома_x000D_
Для дома подойдет самый распространенный вид – это ударная дрель с мощностью двигателя 500-800 Вт, имеющая регулировку оборотов и реверсивное вращение._x000D_
Ударный механизм поможет просверлить кирпич._x000D_
Регулировка оборотов будет полезна при заворачивании саморезов, а также при сверлении некоторых материалов, где требуются определенная скорость вращения, например, при сверлении стали._x000D_
Реверсивное вращение нужно, чтоб можно было выкрутить саморез, а также вытащить сверло из материала, если его в нем «закусило»._x000D_
Таким образом, если купить аппарат с наличием всех этих функций, то это придаст дрели универсальность, и освободит вас от необходимости иметь несколько инструментов, вместо одного. То есть это самое идеальное сочетание, если нужно выбрать сетевую дрель для дома._x000D_
Среди хороших производителей ударных моделей для домашнего использования являются, к примеру, Ryobi, Skil, Black-and-Decker, Maktec. Это фирмы по изготовлению надежного бытового электроинструмента. Среди брендов китайского инструмента, которые в любом случае будут ниже качеством, чем указанные выше, неплохо себя зарекомендовали Зубр, Elitech, Omax и Ставр._x000D_
Немного уступают им Калибр, Kolner, Вихрь и еще целая куча других брендов по аналогичной цене. Хотя, если вы цените высокое качество, то можете обратить внимание на профессиональную линейку брендов, о которой пойдет речь чуть ниже._x000D_
Таким образом, самым оптимальным вариантом для дома будет ударная электродрель с реверсом и регулировкой оборотов с мощностью 500-800 Вт от таких фирм, как Ryobi, Skil, Black-and-Decker или Maktec._x000D_
А покупку лучше всего совершать здесь. Это магазин Всеинструменты. Электроинструмент у данного магазина всегда по самым низким ценам, есть огромный выбор, при этом доставка до пункта выдачи товара в вашем городе бесплатна и занимает совсем немного времени._x000D_
Как выбрать профессиональную дрель_x000D_
Сразу перечислю производителей. Профессиональный электроинструмент, и электродрели в том числе, выпускают Bosch (синего цвета), Makita, Hitachi, Dewalt, Kress, Metabo, AEG. Это наиболее популярные фирмы._x000D_
Также есть «очень-очень профессиональный» инструмент, еще его называют промышленным. Это такие бренды, как, например, Dussa, Festool, Hilty, Milwakee и некоторые другие. Цены, правда, на них для большинства неподъемные, но и надежность в них закладывается такая, что аппараты этого класса можно смело назвать неубиваемыми._x000D_
Дрель для профессиональной работы можно выбрать такую же универсальную, как и для дома. Однако обратная сторона такой универсальности – это уменьшение надежности, поскольку каждая функция – это отдельный механизм. А когда механизмов много, вероятность того, что какой-то из них сломается, возрастает._x000D_
Именно поэтому многие профессионалы, деятельность которых сосредоточена, к примеру, в использовании только функции сверления без удара, предпочитают выбрать безударную машинку. Для кого-то и регулировка оборотов может быть лишней, и поэтому отдается предпочтение в сторону дрели без такой регулировки._x000D_
При этом нельзя говорить, какая дрель лучше — ударная или безударная, с регулировкой или без. Тут все зависит от рода деятельности. Главное, чтобы она была от одного из «профессиональных» производителей. Но, если, к примеру, вы только сверлите металл, то зачем вам нужен ударный аппарат? Здесь лучше выбрать безударную электродрель — прослужит дольше._x000D_
Также нужно знать, что есть модели, у которых имеются две скорости – пониженная и повышенная. Для этого установлен дополнительный редуктор. Пониженная скорость поможет, когда требуется создать максимальное усилие за счет снижения оборотов._x000D_
Двухскоростная дрель _x000D_
Часто такие агрегаты используют для приготовления различных густых строительных растворов, применяя для этого насадку-миксер. Но тут опять используется принцип универсальности – эту же электродрель используют и для других целей, так как она может иметь и удар, и реверс, и регулировку оборотов._x000D_
Если же электродрель нужна исключительно для замешивания растворов или сверления отверстий большого диаметра, то нужно выбрать специальную модель для этих целей (ее еще называют «тихоход»), у которой большая мощность и максимальные обороты – 600-700 в минуту (для сравнения – у обычных дрелей 2800-3000 об/мин)._x000D_
Дрель-тихоход _x000D_
Таким образом, выбор дрели для профессиональной деятельности будет зависеть от рода этой деятельности. Если работа сводится к одной специфической функции, то и аппарат лучше купить именно для этой работы без других лишних механизмов. Ну и она должна быть от одной из фирм, выпускающих профессиональный электроинструмент._x000D_
Дополнительные моменты по выбору дрели_x000D_
Размер и тип используемого патрона. Патроны бывают быстрозажимные либо используемые с ключом. Патрон с ключом позволяет крепче зажать сверло или насадку по сравнению с быстрозажимным патроном. Если же сверла или насадки приходится во время работы часто менять – то лучше купить дрель с быстрозажимным патроном. Патроны делятся по максимальному диаметру раскрытия – то есть какой максимальный диаметр хвостовика сверла или насадки можно будет зажать в нем. На маломощных дрелях (до 500 Вт) используют, как правило, патрон с посадочным диаметром 10 мм. На дрелях средней мощности (500-1000Вт) – 13 мм. На высокомощных (более 1000 Вт), как правило, ставится патрон на 16 мм. Поэтому нужно выбрать дрель с таким патроном, чтоб в него помещались нужные вам сверла или насадки._x000D_
Обратите внимание на наличие на кнопке пуска у машинок с регулировкой оборотов специального вращателя-ограничителя, необходимого для выставления максимально возможной скорости вращения. Хоть его использование может и показаться нецелесообразным, но в некоторых случаях он пригождается, поэтому желательно, чтобы он был._x000D_
Еще один момент, пусть и не самый важный, на который следует обратить внимание при выборе, это то, каким образом осуществляется переключение на реверс. Бывает электронное переключение в виде флажка над кнопкой пуска. А бывает еще и механическое, располагающееся либо сверху сзади на корпусе, либо сзади по бокам на месте вентиляционных отверстий. В этом случае при переключении происходит перемещение коллекторных щеток. Считается, что механическое переключение надежнее электронного. Правда, применяется оно в основном на профессиональных дрелях. По возможности предпочтительно все же выбрать аппарат с механическим переключением._x000D_
Ошибки при эксплуатации дрелей_x000D_
Первое, на что хотелось бы обратить внимание — никогда не нужно применять дрель, пусть и с ударным механизмом, для сверления бетона. И хотя в инструкциях, каталогах или описаниях интернет-магазинов может быть указано, что она способна сверлить бетон (обычно пишут так: «максимальный диаметр сверления в бетоне – столько-то мм), все-таки не рекомендуется пробовать совершить эту операцию таким инструментом. Кирпич – пожалуйста, бетон – нет. При сверлении с ударом от оператора не должно требоваться какого-то большого усилия для нажатия на дрель. Она способна сверлить сама, а пользователь просто задает направление. Но бетон плохо сверлится, даже если навалиться на нее всем своим весом. И всё же, если вам удастся просверлить отверстие в бетоне таким образом, вы тем самым нанесете серьезный урон дрели, и ударный механизм у нее достаточно быстро выйдет из строя. Поэтому удивляют недовольства некоторых людей, вызванное тем, что у той или иной модели очень быстро сломался ударный механизм после сверления бетона. Купите для этих целей перфоратор и не будете жаловаться._x000D_
Следующая ошибка – слишком частое использование дрели в качестве шуруповерта. Такая функция для нее является вспомогательной и используется только, когда нет под рукой настоящего шуруповерта, ну или, если что-то нужно изредка закрутить. Все дело в том, что у настоящего шуруповерта во время заворачивания основная нагрузка приходится на специально созданный для этого редуктор. У дрели же нагрузка почти напрямую приходится на двигатель, и поэтому частое ее использование в качестве шуруповерта приводит к поломке последнего. Отсюда вывод: много крутите саморезов и шурупов – лучше выбрать аккумуляторный или сетевой шуруповерт._x000D_
Заключение_x000D_
Итак, в этой статье мы рассмотрели, на что нужно обратить внимание при выборе дрели. Если хотите, чтобы у вас просто был дома универсальный инструмент для сверления, перемешивания и заворачивания – лучше иметь аппарат с большим набором функций. В домашнем использовании это наиболее выгодный вариант._x000D_
Если же вам нужен агрегат для выполнения какой-то определенной операции, лучше взять дрель, заточенную именно под нее — прослужит дольше._x000D_
Это вся необходимая для правильного выбора информация. Удачной покупки!_x000D_
_x000D_
_x000D_
_x000D_
_x000D_
_x000D_
Читайте также:_x000D_
Как обычной дрелью просверлить бетонную стену_x000D_
Как сделать вибратор для бетона своими руками из дрели_x000D_
Отличие дрели от ударной дрели_x000D_
Как снять патрон с дрели или шуруповерта_x000D_
18 _x000D_
Понравилась статья? Поделиться с друзьями:_x000D_
Поиск:  _x000D_
Меню_x000D_
Электроинструмент_x000D_
Садовая техника_x000D_
Силовая техника_x000D_
Строительная техника_x000D_
Измерительная техника_x000D_
Тепловая техника_x000D_
Все статьи сайта_x000D_
Самое популярное_x000D_
Шуруповерт для ледобура — какой выбрать на декабрь 2017г.?_x000D_
Шуруповерты _x000D_
Подключение кнопки дрели_x000D_
Дрели _x000D_
Рейтинг производителей электроинструмента по надежности_x000D_
Общие вопросы по электроинструменту _x000D_
Почему бензопила глохнет при нажатии на газ_x000D_
Бензопилы _x000D_
Патроны сверлильные для дрели — размеры_x000D_
Дрели _x000D_
_x000D_
_x000D_
_x000D_
 _x000D_
© 2013-2017 Инструмент и техника _x000D_
Политика конфиденциальности _x000D_
Пользовательское соглашение _x000D_
Читая этот сайт, вы даете свое согласие на использование файлов Cookie.Согласен </t>
  </si>
  <si>
    <t xml:space="preserve"> Всем привет! Из этой статьи вы узнаете, как выбрать дрель для тех или иных работ в бытовой либо профессиональной эксплуатации. При правильном выборе вы обеспечите себя подходящим и надежным инструментом. В противном же случае можно купить либо недолговечную, либо не подходящую под ваши нужды дрель._x000D_ Некоторые еще и путают дрель с перфоратором, который является другим инструментом. О том, как выбрать его, вы тоже можете прочитать на моем сайте._x000D_ Дрель – очень полезная в быту вещь. Самая важная ее функция  – это сверление отверстий, чтобы, к примеру, можно было повесить шкаф или протянуть через стену кабель. Кроме того, с ее помощью можно куда-нибудь и саморез завернуть, использовав ее как сетевой шуруповерт._x000D_ Для дома подойдет самый распространенный вид – это ударная дрель с мощностью двигателя 500-800 Вт, имеющая регулировку оборотов и реверсивное вращение._x000D_ Регулировка оборотов будет полезна при заворачивании саморезов, а также при сверлении некоторых материалов, где требуются определенная скорость вращения, например, при сверлении стали._x000D_ Таким образом, если купить аппарат с наличием всех этих функций, то это придаст дрели универсальность, и освободит вас от необходимости иметь несколько инструментов, вместо одного. То есть это самое идеальное сочетание, если нужно выбрать сетевую дрель для дома._x000D_ Среди хороших производителей ударных моделей для домашнего использования являются, к примеру, Ryobi, Skil, Black-and-Decker, Maktec. Это фирмы по изготовлению надежного бытового электроинструмента. Среди брендов китайского инструмента, которые в любом случае будут ниже качеством, чем указанные выше, неплохо себя зарекомендовали Зубр, Elitech, Omax и Ставр._x000D_ Немного уступают им Калибр, Kolner, Вихрь и еще целая куча других брендов по аналогичной цене. Хотя, если вы цените высокое качество, то можете обратить внимание на профессиональную линейку брендов, о которой пойдет речь чуть ниже._x000D_ А покупку лучше всего совершать здесь. Это магазин Всеинструменты. Электроинструмент у данного магазина всегда по самым низким ценам, есть огромный выбор, при этом доставка до пункта выдачи товара в вашем городе бесплатна и занимает совсем немного времени._x000D_ Сразу перечислю производителей. Профессиональный электроинструмент, и электродрели в том числе, выпускают Bosch (синего цвета), Makita, Hitachi, Dewalt, Kress, Metabo, AEG. Это наиболее популярные фирмы._x000D_ Также есть «очень-очень профессиональный» инструмент, еще его называют промышленным. Это такие бренды, как, например, Dussa, Festool, Hilty, Milwakee и некоторые другие. Цены, правда, на них для большинства неподъемные, но и надежность в них закладывается такая, что аппараты этого класса можно смело назвать неубиваемыми._x000D_ Дрель для профессиональной работы можно выбрать такую же универсальную, как и для дома. Однако обратная сторона такой универсальности – это уменьшение надежности, поскольку каждая функция – это отдельный механизм. А когда механизмов много, вероятность того, что какой-то из них сломается, возрастает._x000D_ Именно поэтому многие профессионалы, деятельность которых сосредоточена, к примеру, в использовании только функции сверления без удара, предпочитают выбрать безударную машинку. Для кого-то и регулировка оборотов может быть лишней, и поэтому отдается предпочтение в сторону дрели без такой регулировки._x000D_ При этом нельзя говорить, какая дрель лучше — ударная или безударная, с регулировкой или без. Тут все зависит от рода деятельности. Главное, чтобы она была от одного из «профессиональных» производителей. Но, если, к примеру, вы только сверлите металл, то зачем вам нужен ударный аппарат? Здесь лучше выбрать безударную электродрель — прослужит дольше._x000D_ Также нужно знать, что есть модели, у которых имеются две скорости – пониженная и повышенная. Для этого установлен дополнительный редуктор. Пониженная скорость поможет, когда требуется создать максимальное усилие за счет снижения оборотов._x000D_ Часто такие агрегаты используют для приготовления различных густых строительных растворов, применяя для этого насадку-миксер. Но тут опять используется принцип универсальности – эту же электродрель используют и для других целей, так как она может иметь и удар, и реверс, и регулировку оборотов._x000D_ Таким образом, выбор дрели для профессиональной деятельности будет зависеть от рода этой деятельности. Если работа сводится к одной специфической функции, то и аппарат лучше купить именно для этой работы без других лишних механизмов. Ну и она должна быть от одной из фирм, выпускающих профессиональный электроинструмент._x000D_ Размер и тип используемого патрона. Патроны бывают быстрозажимные либо используемые с ключом. Патрон с ключом позволяет крепче зажать сверло или насадку по сравнению с быстрозажимным патроном. Если же сверла или насадки приходится во время работы часто менять – то лучше купить дрель с быстрозажимным патроном. Патроны делятся по максимальному диаметру раскрытия – то есть какой максимальный диаметр хвостовика сверла или насадки можно будет зажать в нем. На маломощных дрелях (до 500 Вт) используют, как правило, патрон с посадочным диаметром 10 мм. На дрелях средней мощности (500-1000Вт) – 13 мм. На высокомощных (более 1000 Вт), как правило, ставится патрон на 16 мм. Поэтому нужно выбрать дрель с таким патроном, чтоб в него помещались нужные вам сверла или насадки._x000D_ Обратите внимание на наличие на кнопке пуска у машинок с регулировкой оборотов специального вращателя-ограничителя, необходимого для выставления максимально возможной скорости вращения. Хоть его использование может и показаться нецелесообразным, но в некоторых случаях он пригождается, поэтому желательно, чтобы он был._x000D_ Еще один момент, пусть и не самый важный, на который следует обратить внимание при выборе, это то, каким образом осуществляется переключение на реверс. Бывает электронное переключение в виде флажка над кнопкой пуска. А бывает еще и механическое, располагающееся либо сверху сзади на корпусе, либо сзади по бокам на месте вентиляционных отверстий. В этом случае при переключении происходит перемещение коллекторных щеток. Считается, что механическое переключение надежнее электронного. Правда, применяется оно в основном на профессиональных дрелях. По возможности предпочтительно все же выбрать аппарат с механическим переключением._x000D_ Первое, на что хотелось бы обратить внимание — никогда не нужно применять дрель, пусть и с ударным механизмом, для сверления бетона. И хотя в инструкциях, каталогах или описаниях интернет-магазинов может быть указано, что она способна сверлить бетон (обычно пишут так: «максимальный диаметр сверления в бетоне – столько-то мм), все-таки не рекомендуется пробовать совершить эту операцию таким инструментом. Кирпич – пожалуйста, бетон – нет. При сверлении с ударом от оператора не должно требоваться какого-то большого усилия для нажатия на дрель. Она способна сверлить сама, а пользователь просто задает направление. Но бетон плохо сверлится, даже если навалиться на нее всем своим весом. И всё же, если вам удастся просверлить отверстие в бетоне таким образом, вы тем самым нанесете серьезный урон дрели, и ударный механизм у нее достаточно быстро выйдет из строя. Поэтому удивляют недовольства некоторых людей, вызванное тем, что у той или иной модели очень быстро сломался ударный механизм после сверления бетона. Купите для этих целей перфоратор и не будете жаловаться._x000D_ Следующая ошибка – слишком частое использование дрели в качестве шуруповерта. Такая функция для нее является вспомогательной и используется только, когда нет под рукой настоящего шуруповерта, ну или, если что-то нужно изредка закрутить. Все дело в том, что у настоящего шуруповерта во время заворачивания основная нагрузка приходится на специально созданный для этого редуктор. У дрели же нагрузка почти напрямую приходится на двигатель, и поэтому частое ее использование в качестве шуруповерта приводит к поломке последнего. Отсюда вывод: много крутите саморезов и шурупов – лучше выбрать аккумуляторный или сетевой шуруповерт._x000D_ Итак, в этой статье мы рассмотрели, на что нужно обратить внимание при выборе дрели. Если хотите, чтобы у вас просто был дома универсальный инструмент для сверления, перемешивания и заворачивания – лучше иметь аппарат с большим набором функций. В домашнем использовании это наиболее выгодный вариант._x000D_ Если же вам нужен агрегат для выполнения какой-то определенной операции, лучше взять дрель, заточенную именно под нее — прослужит дольше._x000D_</t>
  </si>
  <si>
    <t xml:space="preserve"> Всем привет! Из этой статьи вы узнаете, как выбрать дрель для тех или иных работ в бытовой либо профессиональной эксплуатации. При правильном выборе вы обеспечите себя подходящим и надежным инструментом. В противном же случае можно купить либо недолговечную, либо не подходящую под ваши нужды дрель._x000D_ Некоторые еще и путают дрель с перфоратором, который является другим инструментом. О том, как выбрать его, вы тоже можете прочитать на моем сайте._x000D_ Дрель – очень полезная в быту вещь. Самая важная ее функция  – это сверление отверстий, чтобы, к примеру, можно было повесить шкаф или протянуть через стену кабель. Кроме того, с ее помощью можно куда-нибудь и саморез завернуть, использовав ее как сетевой шуруповерт._x000D_ Для дома подойдет самый распространенный вид – это ударная дрель с мощностью двигателя 500-800 Вт, имеющая регулировку оборотов и реверсивное вращение._x000D_ Регулировка оборотов будет полезна при заворачивании саморезов, а также при сверлении некоторых материалов, где требуются определенная скорость вращения, например, при сверлении стали._x000D_ Таким образом, если купить аппарат с наличием всех этих функций, то это придаст дрели универсальность, и освободит вас от необходимости иметь несколько инструментов, вместо одного. То есть это самое идеальное сочетание, если нужно выбрать сетевую дрель для дома._x000D_ Среди хороших производителей ударных моделей для домашнего использования являются, к примеру, Ryobi, Skil, Black-and-Decker, Maktec. Это фирмы по изготовлению надежного бытового электроинструмента. Среди брендов китайского инструмента, которые в любом случае будут ниже качеством, чем указанные выше, неплохо себя зарекомендовали Зубр, Elitech, Omax и Ставр._x000D_ Немного уступают им Калибр, Kolner, Вихрь и еще целая куча других брендов по аналогичной цене. Это магазин Всеинструменты. Тут все зависит от рода деятельности. </t>
  </si>
  <si>
    <t xml:space="preserve">Всім привіт! З цієї статті ви дізнаєтеся, як вибрати дриль для тих чи інших робіт у побутовій або професійної експлуатації. При правильному виборі ви забезпечите себе підходящим і надійним інструментом. В іншому ж випадку можна купити або недовговічну, або не підходить під ваші потреби дриль. Деякі ще й плутають дриль з перфоратором, який є іншим інструментом. Про те, як вибрати його, ви теж можете прочитати на моєму сайті. Дриль – дуже корисна в побуті річ. Найважливіша її функція – це свердління отворів, щоб, наприклад, можна було повісити шафа або протягнути через стіну кабель. Крім того, з її допомогою можна куди-небудь і саморіз загорнути, використавши її як мережевий шуруповерт. Для дому підійде найпоширеніший вид – це ударний дриль з потужністю двигуна 500-800 Вт, має регулювання обертів і реверсивне обертання. Регулювання оборотів буде корисна при загвинчування саморізів, а також при свердлінні деяких матеріалів, де потрібні певна швидкість обертання, наприклад, при свердлінні сталі. Таким чином, якщо придбати апарат з наявністю всіх цих функцій, то це додасть дрилі універсальність, і звільнить вас від необхідності мати кілька інструментів, замість одного. Тобто це саме ідеальне поєднання, якщо потрібно вибрати мережеву дриль для дому. Серед хороших виробників ударних моделей для домашнього використання є, приміром, Ryobi, Skil, Black-and-Decker, Maktec. Це фірми з виготовлення надійного побутового електроінструменту. Це магазин Всеинструменты. </t>
  </si>
  <si>
    <t>Як вибрати дриль для дому.</t>
  </si>
  <si>
    <t>[caption id="" align="aligncenter" width="350"]&lt;img src="https://i1.rozetka.ua/tips/249/249888.jpg" alt="" width="350" height="300" /&gt; Як вибрати дриль для дому.[/caption]    Всім привіт! З цієї статті ви дізнаєтеся, як вибрати дриль для тих чи інших робіт у побутовій або професійної експлуатації. При правильному виборі ви забезпечите себе підходящим і надійним інструментом. В іншому ж випадку можна купити або недовговічну, або не підходить під ваші потреби дриль. Деякі ще й плутають дриль з перфоратором, який є іншим інструментом. Про те, як вибрати його, ви теж можете прочитати на моєму сайті. Дриль – дуже корисна в побуті річ. Найважливіша її функція – це свердління отворів, щоб, наприклад, можна було повісити шафа або протягнути через стіну кабель. Крім того, з її допомогою можна куди-небудь і саморіз загорнути, використавши її як мережевий шуруповерт. Також ви можете знайти все необхідне на ресурсі &lt;a href="https://www.klondayk.com.ua/ru/products/perforatory/index.html" title="https://www.klondayk.com.ua/"&gt;https://www.klondayk.com.ua/&lt;/a&gt;._x000D_
    Для дому підійде найпоширеніший вид – це ударний дриль з потужністю двигуна 500-800 Вт, має регулювання обертів і реверсивне обертання. Регулювання оборотів буде корисна при загвинчування саморізів, а також при свердлінні деяких матеріалів, де потрібні певна швидкість обертання, наприклад, при свердлінні сталі. Таким чином, якщо придбати апарат з наявністю всіх цих функцій, то це додасть дрилі універсальність, і звільнить вас від необхідності мати кілька інструментів, замість одного. Тобто це саме ідеальне поєднання, якщо потрібно вибрати мережеву дриль для дому. _x000D_
     Серед хороших виробників ударних моделей для домашнього використання є, приміром, Ryobi, Skil, Black-and-Decker, Maktec. Це фірми з виготовлення надійного побутового електроінструменту. Серед брендів китайського інструменту, які в будь-якому випадку будуть нижче за якістю, ніж зазначені вище, непогано себе зарекомендували Зубр, Elitech, Omax і Ставр. Трохи поступаються їм Калібр, Kolner, Вихор і ще ціла купа інших брендів за аналогічною ціною. Це магазин Всеинструменты. Тут все залежить від роду діяльності.</t>
  </si>
  <si>
    <t>https://kwatt.com.ua/content/images/new1/elektrogenerator.png</t>
  </si>
  <si>
    <t>http://www.kamenec.by/wp-content/uploads/2017/07/%D0%BD%D0%B0%D1%80%D0%BA%D0%BE%D1%82%D0%B8%D0%BA%D0%B8_thumbs.jpg</t>
  </si>
  <si>
    <t>https://prostoloca.ru/wp-content/uploads/2017/07/%D0%BA%D0%B0%D0%BA-%D0%B2%D1%8B%D0%B1%D1%80%D0%B0%D1%82%D1%8C-%D0%B4%D1%80%D0%B5%D0%BB%D1%8C-%D0%B4%D0%BB%D1%8F-%D0%B4%D0%BE%D0%BC%D0%B0-3-750x500.jpeg</t>
  </si>
  <si>
    <t>Не поддреживает публикацию.</t>
  </si>
  <si>
    <t>На доработке</t>
  </si>
  <si>
    <t>Нужен прессрелиз</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</si>
</sst>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5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1" xfId="0" applyBorder="1"/>
    <xf numFmtId="0" fontId="0" fillId="0" borderId="16" xfId="0" applyFill="1" applyBorder="1"/>
    <xf numFmtId="0" fontId="3" fillId="0" borderId="0" xfId="0" applyFont="1" applyAlignment="1">
      <alignment horizontal="left"/>
    </xf>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F36"/>
  <sheetViews>
    <sheetView tabSelected="1" zoomScale="80" zoomScaleNormal="80" workbookViewId="0">
      <selection activeCell="D19" sqref="D19"/>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 ht="16.5" customHeight="1" thickBot="1" x14ac:dyDescent="0.35">
      <c r="A1" s="55" t="str">
        <f xml:space="preserve"> "Авторизация: " &amp; $F$2</f>
        <v>Авторизация: Максим</v>
      </c>
      <c r="B1" s="56"/>
      <c r="C1" s="41"/>
      <c r="D1" s="41"/>
      <c r="E1" s="44" t="s">
        <v>55</v>
      </c>
      <c r="F1" s="44" t="s">
        <v>44</v>
      </c>
    </row>
    <row r="2" spans="1:6" ht="15.6" x14ac:dyDescent="0.3">
      <c r="A2" s="46" t="s">
        <v>4</v>
      </c>
      <c r="B2" s="48" t="b">
        <v>1</v>
      </c>
      <c r="C2" s="41"/>
      <c r="D2" s="41"/>
      <c r="E2" s="51" t="s">
        <v>213</v>
      </c>
      <c r="F2" s="45" t="s">
        <v>201</v>
      </c>
    </row>
    <row r="3" spans="1:6" x14ac:dyDescent="0.3">
      <c r="A3" s="46" t="s">
        <v>5</v>
      </c>
      <c r="B3" s="49" t="s">
        <v>202</v>
      </c>
      <c r="C3" s="41"/>
      <c r="D3" s="41"/>
      <c r="E3" s="41"/>
      <c r="F3" s="41"/>
    </row>
    <row r="4" spans="1:6" ht="15" thickBot="1" x14ac:dyDescent="0.35">
      <c r="A4" s="47" t="s">
        <v>108</v>
      </c>
      <c r="B4" s="50">
        <v>43097.433333333334</v>
      </c>
      <c r="C4" s="42"/>
      <c r="D4" s="41"/>
      <c r="E4" s="41"/>
      <c r="F4" s="41"/>
    </row>
    <row r="5" spans="1:6" x14ac:dyDescent="0.3">
      <c r="A5" s="41"/>
      <c r="B5" s="41"/>
      <c r="C5" s="43"/>
      <c r="D5" s="41"/>
      <c r="E5" s="41"/>
      <c r="F5" s="41"/>
    </row>
    <row r="6" spans="1:6" x14ac:dyDescent="0.3">
      <c r="E6" s="41"/>
    </row>
    <row r="7" spans="1:6" x14ac:dyDescent="0.3">
      <c r="A7" s="2" t="s">
        <v>6</v>
      </c>
      <c r="B7" s="1">
        <v>28552247</v>
      </c>
      <c r="C7" s="54">
        <v>28546504</v>
      </c>
      <c r="D7" s="54">
        <v>28556692</v>
      </c>
      <c r="E7" s="54">
        <v>28556689</v>
      </c>
      <c r="F7" s="54">
        <v>28556977</v>
      </c>
    </row>
    <row r="8" spans="1:6" x14ac:dyDescent="0.3">
      <c r="A8" s="2" t="s">
        <v>7</v>
      </c>
      <c r="B8" s="1" t="s">
        <v>198</v>
      </c>
      <c r="C8" s="54" t="s">
        <v>198</v>
      </c>
      <c r="D8" s="54" t="s">
        <v>236</v>
      </c>
      <c r="E8" s="54" t="s">
        <v>236</v>
      </c>
      <c r="F8" s="54" t="s">
        <v>198</v>
      </c>
    </row>
    <row r="9" spans="1:6" x14ac:dyDescent="0.3">
      <c r="A9" s="2" t="s">
        <v>8</v>
      </c>
      <c r="B9" s="1" t="s">
        <v>223</v>
      </c>
      <c r="C9" s="54" t="s">
        <v>229</v>
      </c>
      <c r="D9" s="54" t="s">
        <v>237</v>
      </c>
      <c r="E9" s="54" t="s">
        <v>244</v>
      </c>
      <c r="F9" s="54" t="s">
        <v>248</v>
      </c>
    </row>
    <row r="10" spans="1:6" x14ac:dyDescent="0.3">
      <c r="A10" s="2" t="s">
        <v>9</v>
      </c>
      <c r="B10" s="1" t="s">
        <v>224</v>
      </c>
      <c r="C10" s="54" t="s">
        <v>230</v>
      </c>
      <c r="D10" s="54" t="s">
        <v>238</v>
      </c>
      <c r="E10" s="54" t="s">
        <v>238</v>
      </c>
      <c r="F10" s="54" t="s">
        <v>249</v>
      </c>
    </row>
    <row r="11" spans="1:6" x14ac:dyDescent="0.3">
      <c r="A11" s="2" t="s">
        <v>10</v>
      </c>
      <c r="B11" s="1" t="s">
        <v>148</v>
      </c>
      <c r="C11" s="54" t="s">
        <v>170</v>
      </c>
      <c r="D11" s="54" t="s">
        <v>239</v>
      </c>
      <c r="E11" s="54" t="s">
        <v>149</v>
      </c>
      <c r="F11" s="54" t="s">
        <v>250</v>
      </c>
    </row>
    <row r="12" spans="1:6" x14ac:dyDescent="0.3">
      <c r="A12" s="2" t="s">
        <v>11</v>
      </c>
      <c r="B12" s="1"/>
      <c r="C12" s="54" t="s">
        <v>197</v>
      </c>
      <c r="D12" s="54"/>
      <c r="E12" s="54"/>
      <c r="F12" s="54"/>
    </row>
    <row r="13" spans="1:6" x14ac:dyDescent="0.3">
      <c r="A13" s="2" t="s">
        <v>12</v>
      </c>
      <c r="B13" s="1">
        <v>100</v>
      </c>
      <c r="C13" s="54">
        <v>100</v>
      </c>
      <c r="D13" s="54">
        <v>150</v>
      </c>
      <c r="E13" s="54">
        <v>150</v>
      </c>
      <c r="F13" s="54">
        <v>100</v>
      </c>
    </row>
    <row r="14" spans="1:6" x14ac:dyDescent="0.3">
      <c r="A14" s="2" t="s">
        <v>13</v>
      </c>
      <c r="B14" s="1" t="s">
        <v>225</v>
      </c>
      <c r="C14" s="54" t="s">
        <v>231</v>
      </c>
      <c r="D14" s="54" t="s">
        <v>240</v>
      </c>
      <c r="E14" s="54" t="s">
        <v>245</v>
      </c>
      <c r="F14" s="54" t="s">
        <v>251</v>
      </c>
    </row>
    <row r="15" spans="1:6" x14ac:dyDescent="0.3">
      <c r="A15" s="2" t="s">
        <v>14</v>
      </c>
      <c r="B15" s="1" t="s">
        <v>226</v>
      </c>
      <c r="C15" s="54" t="s">
        <v>232</v>
      </c>
      <c r="D15" s="54" t="s">
        <v>241</v>
      </c>
      <c r="E15" s="54" t="s">
        <v>246</v>
      </c>
      <c r="F15" s="54" t="s">
        <v>252</v>
      </c>
    </row>
    <row r="16" spans="1:6" x14ac:dyDescent="0.3">
      <c r="A16" s="2" t="s">
        <v>15</v>
      </c>
      <c r="B16" s="1"/>
      <c r="C16" s="54"/>
      <c r="D16" s="54"/>
      <c r="E16" s="54"/>
      <c r="F16" s="54"/>
    </row>
    <row r="17" spans="1:6" x14ac:dyDescent="0.3">
      <c r="A17" s="2" t="s">
        <v>16</v>
      </c>
      <c r="B17" s="1"/>
      <c r="C17" s="54"/>
      <c r="D17" s="54"/>
      <c r="E17" s="54"/>
      <c r="F17" s="54"/>
    </row>
    <row r="18" spans="1:6" x14ac:dyDescent="0.3">
      <c r="A18" s="2" t="s">
        <v>17</v>
      </c>
      <c r="B18" s="1"/>
      <c r="C18" s="54"/>
      <c r="D18" s="54"/>
      <c r="E18" s="54"/>
      <c r="F18" s="54"/>
    </row>
    <row r="19" spans="1:6" x14ac:dyDescent="0.3">
      <c r="A19" s="2" t="s">
        <v>18</v>
      </c>
      <c r="B19" s="1">
        <v>0</v>
      </c>
      <c r="C19" s="54">
        <v>2</v>
      </c>
      <c r="D19" s="54">
        <v>0</v>
      </c>
      <c r="E19" s="54">
        <v>0</v>
      </c>
      <c r="F19" s="54">
        <v>0</v>
      </c>
    </row>
    <row r="20" spans="1:6" x14ac:dyDescent="0.3">
      <c r="A20" s="2" t="s">
        <v>19</v>
      </c>
      <c r="B20" s="1">
        <v>0</v>
      </c>
      <c r="C20" s="54">
        <v>0</v>
      </c>
      <c r="D20" s="54">
        <v>0</v>
      </c>
      <c r="E20" s="54">
        <v>0</v>
      </c>
      <c r="F20" s="54">
        <v>0</v>
      </c>
    </row>
    <row r="21" spans="1:6" x14ac:dyDescent="0.3">
      <c r="A21" s="2" t="s">
        <v>20</v>
      </c>
      <c r="B21" s="1" t="s">
        <v>227</v>
      </c>
      <c r="C21" s="54" t="s">
        <v>233</v>
      </c>
      <c r="D21" s="54" t="s">
        <v>242</v>
      </c>
      <c r="E21" s="54" t="s">
        <v>247</v>
      </c>
      <c r="F21" s="54" t="s">
        <v>253</v>
      </c>
    </row>
    <row r="22" spans="1:6" x14ac:dyDescent="0.3">
      <c r="A22" s="2" t="s">
        <v>21</v>
      </c>
      <c r="B22" s="1" t="b">
        <v>0</v>
      </c>
      <c r="C22" s="54" t="b">
        <v>0</v>
      </c>
      <c r="D22" s="54" t="b">
        <v>0</v>
      </c>
      <c r="E22" s="54" t="b">
        <v>0</v>
      </c>
      <c r="F22" s="54" t="b">
        <v>0</v>
      </c>
    </row>
    <row r="23" spans="1:6" x14ac:dyDescent="0.3">
      <c r="A23" s="2" t="s">
        <v>22</v>
      </c>
      <c r="B23" s="1"/>
      <c r="C23" s="54"/>
      <c r="D23" s="54"/>
      <c r="E23" s="54"/>
      <c r="F23" s="54"/>
    </row>
    <row r="24" spans="1:6" x14ac:dyDescent="0.3">
      <c r="A24" s="2" t="s">
        <v>0</v>
      </c>
      <c r="B24" s="1" t="s">
        <v>228</v>
      </c>
      <c r="C24" s="54" t="s">
        <v>234</v>
      </c>
      <c r="D24" s="54" t="s">
        <v>243</v>
      </c>
      <c r="E24" s="54" t="s">
        <v>243</v>
      </c>
      <c r="F24" s="54" t="s">
        <v>254</v>
      </c>
    </row>
    <row r="25" spans="1:6" x14ac:dyDescent="0.3">
      <c r="A25" s="33" t="s">
        <v>1</v>
      </c>
      <c r="B25" t="s">
        <v>211</v>
      </c>
      <c r="C25" s="2" t="s">
        <v>175</v>
      </c>
      <c r="D25" s="2" t="s">
        <v>258</v>
      </c>
      <c r="E25" s="2" t="s">
        <v>258</v>
      </c>
      <c r="F25" s="2" t="s">
        <v>263</v>
      </c>
    </row>
    <row r="26" spans="1:6" x14ac:dyDescent="0.3">
      <c r="A26" s="3" t="s">
        <v>31</v>
      </c>
      <c r="B26" t="s">
        <v>223</v>
      </c>
      <c r="C26" s="2" t="s">
        <v>229</v>
      </c>
      <c r="D26" s="2" t="s">
        <v>259</v>
      </c>
      <c r="E26" s="2" t="s">
        <v>259</v>
      </c>
      <c r="F26" s="2" t="s">
        <v>248</v>
      </c>
    </row>
    <row r="27" spans="1:6" x14ac:dyDescent="0.3">
      <c r="A27" s="3" t="s">
        <v>43</v>
      </c>
      <c r="B27" s="1" t="s">
        <v>273</v>
      </c>
      <c r="C27" s="54" t="s">
        <v>274</v>
      </c>
      <c r="D27" s="54" t="s">
        <v>257</v>
      </c>
      <c r="E27" s="54" t="s">
        <v>257</v>
      </c>
      <c r="F27" s="54" t="s">
        <v>275</v>
      </c>
    </row>
    <row r="28" spans="1:6" x14ac:dyDescent="0.3">
      <c r="A28" s="3" t="s">
        <v>51</v>
      </c>
      <c r="B28" t="s">
        <v>146</v>
      </c>
      <c r="C28" s="2" t="s">
        <v>235</v>
      </c>
      <c r="D28" s="2" t="s">
        <v>146</v>
      </c>
      <c r="E28" s="2" t="s">
        <v>146</v>
      </c>
      <c r="F28" s="2" t="s">
        <v>146</v>
      </c>
    </row>
    <row r="29" spans="1:6" x14ac:dyDescent="0.3">
      <c r="A29" s="34" t="s">
        <v>69</v>
      </c>
      <c r="B29" t="s">
        <v>255</v>
      </c>
      <c r="C29" s="2" t="s">
        <v>256</v>
      </c>
      <c r="F29" s="2" t="s">
        <v>260</v>
      </c>
    </row>
    <row r="30" spans="1:6" x14ac:dyDescent="0.3">
      <c r="A30" s="34" t="s">
        <v>119</v>
      </c>
      <c r="B30" t="s">
        <v>205</v>
      </c>
      <c r="C30" s="2" t="s">
        <v>205</v>
      </c>
      <c r="D30" s="2" t="s">
        <v>205</v>
      </c>
      <c r="E30" s="2" t="s">
        <v>205</v>
      </c>
      <c r="F30" s="2" t="s">
        <v>261</v>
      </c>
    </row>
    <row r="31" spans="1:6" x14ac:dyDescent="0.3">
      <c r="B31" s="29"/>
      <c r="E31" s="29"/>
    </row>
    <row r="34" spans="2:2" x14ac:dyDescent="0.3">
      <c r="B34" s="3"/>
    </row>
    <row r="36" spans="2:2" x14ac:dyDescent="0.3">
      <c r="B36" s="29"/>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E3" sqref="E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8" t="s">
        <v>34</v>
      </c>
      <c r="B1" s="58"/>
      <c r="C1" s="22" t="s">
        <v>40</v>
      </c>
      <c r="D1" s="23"/>
      <c r="L1" s="8" t="s">
        <v>45</v>
      </c>
    </row>
    <row r="2" spans="1:23" s="17" customFormat="1" ht="31.5" customHeight="1" thickBot="1" x14ac:dyDescent="0.35">
      <c r="A2" s="57" t="s">
        <v>218</v>
      </c>
      <c r="B2" s="57"/>
      <c r="C2" s="24">
        <f>COUNTA(A:A)-2</f>
        <v>4</v>
      </c>
      <c r="D2" s="25"/>
      <c r="E2" s="12" t="s">
        <v>47</v>
      </c>
      <c r="F2" s="13" t="s">
        <v>24</v>
      </c>
      <c r="G2" s="14" t="s">
        <v>46</v>
      </c>
      <c r="H2" s="15" t="s">
        <v>25</v>
      </c>
      <c r="I2" s="21" t="s">
        <v>52</v>
      </c>
      <c r="J2" s="16" t="s">
        <v>23</v>
      </c>
      <c r="L2" s="20" t="s">
        <v>2</v>
      </c>
      <c r="N2" s="18" t="s">
        <v>26</v>
      </c>
      <c r="P2" s="19" t="s">
        <v>3</v>
      </c>
      <c r="R2" s="26" t="s">
        <v>32</v>
      </c>
      <c r="T2" s="12" t="s">
        <v>33</v>
      </c>
      <c r="U2" s="35" t="s">
        <v>72</v>
      </c>
      <c r="V2" s="27" t="s">
        <v>39</v>
      </c>
    </row>
    <row r="3" spans="1:23" x14ac:dyDescent="0.3">
      <c r="A3">
        <v>28556977</v>
      </c>
      <c r="E3" t="s">
        <v>250</v>
      </c>
      <c r="G3" s="28">
        <v>43089.710416666669</v>
      </c>
      <c r="I3" t="s">
        <v>146</v>
      </c>
      <c r="L3" s="1" t="s">
        <v>272</v>
      </c>
      <c r="R3" t="s">
        <v>271</v>
      </c>
      <c r="T3" t="s">
        <v>221</v>
      </c>
      <c r="U3" t="s">
        <v>222</v>
      </c>
      <c r="W3" s="5"/>
    </row>
    <row r="4" spans="1:23" x14ac:dyDescent="0.3">
      <c r="A4" t="s">
        <v>264</v>
      </c>
      <c r="F4" s="1" t="s">
        <v>87</v>
      </c>
      <c r="W4" s="5"/>
    </row>
    <row r="5" spans="1:23" x14ac:dyDescent="0.3">
      <c r="A5" t="s">
        <v>265</v>
      </c>
      <c r="F5" s="1" t="s">
        <v>87</v>
      </c>
      <c r="W5" s="5"/>
    </row>
    <row r="6" spans="1:23" x14ac:dyDescent="0.3">
      <c r="A6" t="s">
        <v>266</v>
      </c>
      <c r="F6" s="1" t="s">
        <v>267</v>
      </c>
      <c r="H6" s="1" t="s">
        <v>268</v>
      </c>
      <c r="J6" s="1" t="s">
        <v>269</v>
      </c>
      <c r="L6" s="1" t="s">
        <v>271</v>
      </c>
      <c r="N6" s="1" t="s">
        <v>270</v>
      </c>
      <c r="P6" s="1">
        <v>100</v>
      </c>
      <c r="W6" s="5"/>
    </row>
    <row r="7" spans="1:23" x14ac:dyDescent="0.3">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23:23" x14ac:dyDescent="0.3">
      <c r="W17" s="5"/>
    </row>
    <row r="18" spans="23:23" x14ac:dyDescent="0.3">
      <c r="W18" s="5"/>
    </row>
    <row r="19" spans="23:23" x14ac:dyDescent="0.3">
      <c r="W19" s="5"/>
    </row>
    <row r="20" spans="23:23" x14ac:dyDescent="0.3">
      <c r="W20" s="5"/>
    </row>
    <row r="21" spans="23:23" x14ac:dyDescent="0.3">
      <c r="W21" s="5"/>
    </row>
    <row r="22" spans="23:23" x14ac:dyDescent="0.3">
      <c r="W22" s="5"/>
    </row>
    <row r="23" spans="23:23" x14ac:dyDescent="0.3">
      <c r="W23" s="5"/>
    </row>
    <row r="24" spans="23:23" x14ac:dyDescent="0.3">
      <c r="W24" s="5"/>
    </row>
    <row r="25" spans="23:23" x14ac:dyDescent="0.3">
      <c r="W25" s="5"/>
    </row>
    <row r="26" spans="23:23" x14ac:dyDescent="0.3">
      <c r="W26" s="5"/>
    </row>
    <row r="27" spans="23:23" x14ac:dyDescent="0.3">
      <c r="W27" s="5"/>
    </row>
    <row r="28" spans="23:23" x14ac:dyDescent="0.3">
      <c r="W28" s="5"/>
    </row>
    <row r="29" spans="23:23" x14ac:dyDescent="0.3">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24"/>
  <sheetViews>
    <sheetView workbookViewId="0">
      <selection activeCell="A20" sqref="A20:E24"/>
    </sheetView>
  </sheetViews>
  <sheetFormatPr defaultRowHeight="14.4" x14ac:dyDescent="0.3"/>
  <sheetData>
    <row r="1" spans="1:5" x14ac:dyDescent="0.3">
      <c r="A1" s="52" t="s">
        <v>161</v>
      </c>
      <c r="B1" s="52" t="s">
        <v>47</v>
      </c>
      <c r="C1" s="52" t="s">
        <v>162</v>
      </c>
      <c r="D1" s="52" t="s">
        <v>52</v>
      </c>
      <c r="E1" s="53" t="s">
        <v>191</v>
      </c>
    </row>
    <row r="2" spans="1:5" x14ac:dyDescent="0.3">
      <c r="A2" s="52">
        <v>28542234</v>
      </c>
      <c r="B2" s="52" t="s">
        <v>152</v>
      </c>
      <c r="C2" s="52"/>
      <c r="D2" s="52" t="s">
        <v>183</v>
      </c>
      <c r="E2" s="41" t="s">
        <v>192</v>
      </c>
    </row>
    <row r="3" spans="1:5" x14ac:dyDescent="0.3">
      <c r="A3" s="52">
        <v>28549279</v>
      </c>
      <c r="B3" s="52" t="s">
        <v>178</v>
      </c>
      <c r="C3" s="52"/>
      <c r="D3" s="52" t="s">
        <v>183</v>
      </c>
      <c r="E3" s="41" t="s">
        <v>192</v>
      </c>
    </row>
    <row r="4" spans="1:5" x14ac:dyDescent="0.3">
      <c r="A4">
        <v>28546343</v>
      </c>
      <c r="B4" t="s">
        <v>149</v>
      </c>
      <c r="D4" s="52" t="s">
        <v>183</v>
      </c>
      <c r="E4" s="6" t="s">
        <v>195</v>
      </c>
    </row>
    <row r="5" spans="1:5" x14ac:dyDescent="0.3">
      <c r="A5" s="52">
        <v>28544868</v>
      </c>
      <c r="B5" s="52" t="s">
        <v>167</v>
      </c>
      <c r="C5" s="52" t="s">
        <v>184</v>
      </c>
      <c r="D5" s="52" t="s">
        <v>189</v>
      </c>
    </row>
    <row r="6" spans="1:5" x14ac:dyDescent="0.3">
      <c r="A6" s="52">
        <v>28546435</v>
      </c>
      <c r="B6" s="52" t="s">
        <v>168</v>
      </c>
      <c r="C6" s="52" t="s">
        <v>188</v>
      </c>
      <c r="D6" s="52" t="s">
        <v>189</v>
      </c>
    </row>
    <row r="7" spans="1:5" x14ac:dyDescent="0.3">
      <c r="A7" s="52">
        <v>28546613</v>
      </c>
      <c r="B7" s="52" t="s">
        <v>169</v>
      </c>
      <c r="C7" s="52" t="s">
        <v>182</v>
      </c>
      <c r="D7" s="52" t="s">
        <v>189</v>
      </c>
    </row>
    <row r="8" spans="1:5" x14ac:dyDescent="0.3">
      <c r="A8">
        <v>28547795</v>
      </c>
      <c r="B8" t="s">
        <v>171</v>
      </c>
      <c r="D8" s="53" t="s">
        <v>183</v>
      </c>
      <c r="E8" t="s">
        <v>190</v>
      </c>
    </row>
    <row r="9" spans="1:5" x14ac:dyDescent="0.3">
      <c r="A9" s="52">
        <v>28549107</v>
      </c>
      <c r="B9" s="52" t="s">
        <v>148</v>
      </c>
      <c r="C9" s="52"/>
      <c r="D9" s="52" t="s">
        <v>183</v>
      </c>
      <c r="E9" t="s">
        <v>192</v>
      </c>
    </row>
    <row r="10" spans="1:5" x14ac:dyDescent="0.3">
      <c r="A10" s="52">
        <v>28549521</v>
      </c>
      <c r="B10" s="52" t="s">
        <v>179</v>
      </c>
      <c r="C10" s="52"/>
      <c r="D10" s="52" t="s">
        <v>183</v>
      </c>
      <c r="E10" s="41" t="s">
        <v>192</v>
      </c>
    </row>
    <row r="11" spans="1:5" x14ac:dyDescent="0.3">
      <c r="A11" s="52">
        <v>28549420</v>
      </c>
      <c r="B11" s="52" t="s">
        <v>180</v>
      </c>
      <c r="C11" s="52" t="s">
        <v>194</v>
      </c>
      <c r="D11" s="52" t="s">
        <v>189</v>
      </c>
    </row>
    <row r="12" spans="1:5" x14ac:dyDescent="0.3">
      <c r="A12" s="52">
        <v>28539436</v>
      </c>
      <c r="B12" s="52" t="s">
        <v>147</v>
      </c>
      <c r="C12" s="52" t="s">
        <v>157</v>
      </c>
      <c r="D12" s="52" t="s">
        <v>196</v>
      </c>
    </row>
    <row r="13" spans="1:5" x14ac:dyDescent="0.3">
      <c r="A13" s="52">
        <v>28546504</v>
      </c>
      <c r="B13" s="52" t="s">
        <v>170</v>
      </c>
      <c r="C13" s="52" t="s">
        <v>197</v>
      </c>
      <c r="D13" s="52" t="s">
        <v>189</v>
      </c>
    </row>
    <row r="14" spans="1:5" x14ac:dyDescent="0.3">
      <c r="A14" s="54">
        <v>28550443</v>
      </c>
      <c r="B14" s="52" t="s">
        <v>203</v>
      </c>
      <c r="C14" s="52" t="s">
        <v>208</v>
      </c>
      <c r="D14" s="52" t="s">
        <v>189</v>
      </c>
    </row>
    <row r="15" spans="1:5" x14ac:dyDescent="0.3">
      <c r="A15" s="54">
        <v>28550474</v>
      </c>
      <c r="B15" t="s">
        <v>204</v>
      </c>
      <c r="C15" t="s">
        <v>209</v>
      </c>
      <c r="D15" s="52" t="s">
        <v>189</v>
      </c>
    </row>
    <row r="16" spans="1:5" x14ac:dyDescent="0.3">
      <c r="A16" s="54">
        <v>28546504</v>
      </c>
      <c r="B16" t="s">
        <v>170</v>
      </c>
      <c r="C16" t="s">
        <v>197</v>
      </c>
      <c r="D16" s="52" t="s">
        <v>196</v>
      </c>
    </row>
    <row r="18" spans="1:5" x14ac:dyDescent="0.3">
      <c r="A18">
        <v>28552804</v>
      </c>
      <c r="B18" t="s">
        <v>214</v>
      </c>
      <c r="C18" t="s">
        <v>219</v>
      </c>
      <c r="D18" t="s">
        <v>189</v>
      </c>
    </row>
    <row r="19" spans="1:5" x14ac:dyDescent="0.3">
      <c r="A19">
        <v>28553902</v>
      </c>
      <c r="B19" t="s">
        <v>169</v>
      </c>
      <c r="C19" t="s">
        <v>220</v>
      </c>
      <c r="D19" s="41" t="s">
        <v>189</v>
      </c>
    </row>
    <row r="20" spans="1:5" x14ac:dyDescent="0.3">
      <c r="A20" s="1">
        <v>28552247</v>
      </c>
      <c r="B20" s="1" t="s">
        <v>148</v>
      </c>
      <c r="D20" s="6" t="s">
        <v>183</v>
      </c>
      <c r="E20" t="s">
        <v>276</v>
      </c>
    </row>
    <row r="21" spans="1:5" x14ac:dyDescent="0.3">
      <c r="A21" s="54">
        <v>28546504</v>
      </c>
      <c r="B21" s="54" t="s">
        <v>170</v>
      </c>
      <c r="D21" s="6" t="s">
        <v>183</v>
      </c>
      <c r="E21" t="s">
        <v>277</v>
      </c>
    </row>
    <row r="22" spans="1:5" x14ac:dyDescent="0.3">
      <c r="A22" s="54">
        <v>28556692</v>
      </c>
      <c r="B22" s="54" t="s">
        <v>239</v>
      </c>
      <c r="D22" s="6" t="s">
        <v>183</v>
      </c>
      <c r="E22" t="s">
        <v>278</v>
      </c>
    </row>
    <row r="23" spans="1:5" x14ac:dyDescent="0.3">
      <c r="A23" s="54">
        <v>28556689</v>
      </c>
      <c r="B23" s="54" t="s">
        <v>149</v>
      </c>
      <c r="D23" s="6" t="s">
        <v>183</v>
      </c>
      <c r="E23" t="s">
        <v>278</v>
      </c>
    </row>
    <row r="24" spans="1:5" x14ac:dyDescent="0.3">
      <c r="A24" s="54">
        <v>28556977</v>
      </c>
      <c r="B24" s="54" t="s">
        <v>250</v>
      </c>
      <c r="D24" s="6" t="s">
        <v>183</v>
      </c>
      <c r="E24" t="s">
        <v>276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94</v>
      </c>
      <c r="B1" s="38" t="s">
        <v>95</v>
      </c>
      <c r="C1" s="38" t="s">
        <v>96</v>
      </c>
      <c r="D1" s="38" t="s">
        <v>5</v>
      </c>
      <c r="E1" s="38" t="s">
        <v>97</v>
      </c>
      <c r="F1" s="38" t="s">
        <v>51</v>
      </c>
      <c r="G1" s="38" t="s">
        <v>98</v>
      </c>
      <c r="H1" s="40">
        <f>COUNTA(B:B)-1</f>
        <v>0</v>
      </c>
      <c r="L1" s="39">
        <f ca="1">TODAY()</f>
        <v>43090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34"/>
  <sheetViews>
    <sheetView workbookViewId="0">
      <selection activeCell="C35" sqref="C35"/>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49</v>
      </c>
      <c r="C1" s="11">
        <f>COUNTA(C2:C94)</f>
        <v>33</v>
      </c>
      <c r="D1" s="10" t="s">
        <v>35</v>
      </c>
    </row>
    <row r="2" spans="1:4" x14ac:dyDescent="0.3">
      <c r="A2" s="5" t="s">
        <v>27</v>
      </c>
      <c r="B2" s="4"/>
      <c r="C2" t="s">
        <v>50</v>
      </c>
    </row>
    <row r="3" spans="1:4" x14ac:dyDescent="0.3">
      <c r="A3" s="5" t="s">
        <v>28</v>
      </c>
      <c r="B3" s="4"/>
      <c r="C3" t="s">
        <v>142</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100</v>
      </c>
      <c r="B7" s="4"/>
      <c r="C7" t="s">
        <v>48</v>
      </c>
    </row>
    <row r="8" spans="1:4" x14ac:dyDescent="0.3">
      <c r="A8" t="s">
        <v>101</v>
      </c>
      <c r="B8" s="4"/>
      <c r="C8" s="5" t="s">
        <v>29</v>
      </c>
    </row>
    <row r="9" spans="1:4" x14ac:dyDescent="0.3">
      <c r="A9" t="s">
        <v>102</v>
      </c>
      <c r="B9" s="4"/>
      <c r="C9" t="s">
        <v>53</v>
      </c>
    </row>
    <row r="10" spans="1:4" x14ac:dyDescent="0.3">
      <c r="A10" t="s">
        <v>111</v>
      </c>
      <c r="B10" s="4"/>
      <c r="C10" t="s">
        <v>54</v>
      </c>
    </row>
    <row r="11" spans="1:4" x14ac:dyDescent="0.3">
      <c r="B11" s="4"/>
      <c r="C11" t="s">
        <v>56</v>
      </c>
    </row>
    <row r="12" spans="1:4" x14ac:dyDescent="0.3">
      <c r="B12" s="4"/>
      <c r="C12" t="s">
        <v>57</v>
      </c>
    </row>
    <row r="13" spans="1:4" x14ac:dyDescent="0.3">
      <c r="B13" s="4"/>
      <c r="C13" t="s">
        <v>88</v>
      </c>
    </row>
    <row r="14" spans="1:4" x14ac:dyDescent="0.3">
      <c r="B14" s="4"/>
      <c r="C14" t="s">
        <v>89</v>
      </c>
    </row>
    <row r="15" spans="1:4" x14ac:dyDescent="0.3">
      <c r="B15" s="4"/>
      <c r="C15" t="s">
        <v>90</v>
      </c>
    </row>
    <row r="16" spans="1:4" x14ac:dyDescent="0.3">
      <c r="B16" s="4"/>
      <c r="C16" t="s">
        <v>122</v>
      </c>
    </row>
    <row r="17" spans="2:3" x14ac:dyDescent="0.3">
      <c r="B17" s="4"/>
      <c r="C17" t="s">
        <v>103</v>
      </c>
    </row>
    <row r="18" spans="2:3" x14ac:dyDescent="0.3">
      <c r="C18" t="s">
        <v>100</v>
      </c>
    </row>
    <row r="19" spans="2:3" x14ac:dyDescent="0.3">
      <c r="C19" t="s">
        <v>104</v>
      </c>
    </row>
    <row r="20" spans="2:3" x14ac:dyDescent="0.3">
      <c r="C20" t="s">
        <v>105</v>
      </c>
    </row>
    <row r="21" spans="2:3" x14ac:dyDescent="0.3">
      <c r="C21" t="s">
        <v>106</v>
      </c>
    </row>
    <row r="22" spans="2:3" x14ac:dyDescent="0.3">
      <c r="C22" t="s">
        <v>107</v>
      </c>
    </row>
    <row r="23" spans="2:3" x14ac:dyDescent="0.3">
      <c r="C23" t="s">
        <v>38</v>
      </c>
    </row>
    <row r="24" spans="2:3" x14ac:dyDescent="0.3">
      <c r="C24" t="s">
        <v>112</v>
      </c>
    </row>
    <row r="25" spans="2:3" x14ac:dyDescent="0.3">
      <c r="C25" t="s">
        <v>113</v>
      </c>
    </row>
    <row r="26" spans="2:3" x14ac:dyDescent="0.3">
      <c r="C26" t="s">
        <v>143</v>
      </c>
    </row>
    <row r="27" spans="2:3" x14ac:dyDescent="0.3">
      <c r="C27" t="s">
        <v>144</v>
      </c>
    </row>
    <row r="28" spans="2:3" x14ac:dyDescent="0.3">
      <c r="C28" t="s">
        <v>145</v>
      </c>
    </row>
    <row r="29" spans="2:3" x14ac:dyDescent="0.3">
      <c r="C29" t="s">
        <v>158</v>
      </c>
    </row>
    <row r="30" spans="2:3" x14ac:dyDescent="0.3">
      <c r="C30" t="s">
        <v>159</v>
      </c>
    </row>
    <row r="31" spans="2:3" x14ac:dyDescent="0.3">
      <c r="C31" t="s">
        <v>160</v>
      </c>
    </row>
    <row r="32" spans="2:3" x14ac:dyDescent="0.3">
      <c r="C32" t="s">
        <v>185</v>
      </c>
    </row>
    <row r="33" spans="3:3" x14ac:dyDescent="0.3">
      <c r="C33" t="s">
        <v>186</v>
      </c>
    </row>
    <row r="34" spans="3:3" x14ac:dyDescent="0.3">
      <c r="C34" t="s">
        <v>187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45"/>
  <sheetViews>
    <sheetView workbookViewId="0">
      <selection activeCell="G29" sqref="G29"/>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44</v>
      </c>
      <c r="B1" s="32" t="s">
        <v>58</v>
      </c>
      <c r="C1" s="31" t="s">
        <v>59</v>
      </c>
    </row>
    <row r="2" spans="1:3" x14ac:dyDescent="0.3">
      <c r="A2">
        <v>1</v>
      </c>
      <c r="B2" t="s">
        <v>122</v>
      </c>
      <c r="C2" t="s">
        <v>60</v>
      </c>
    </row>
    <row r="3" spans="1:3" x14ac:dyDescent="0.3">
      <c r="A3">
        <v>2</v>
      </c>
      <c r="B3" t="s">
        <v>61</v>
      </c>
      <c r="C3" t="s">
        <v>62</v>
      </c>
    </row>
    <row r="4" spans="1:3" x14ac:dyDescent="0.3">
      <c r="A4">
        <v>3</v>
      </c>
      <c r="B4" t="s">
        <v>63</v>
      </c>
      <c r="C4" t="s">
        <v>64</v>
      </c>
    </row>
    <row r="5" spans="1:3" x14ac:dyDescent="0.3">
      <c r="A5">
        <v>4</v>
      </c>
      <c r="B5" t="s">
        <v>65</v>
      </c>
      <c r="C5" t="s">
        <v>91</v>
      </c>
    </row>
    <row r="6" spans="1:3" x14ac:dyDescent="0.3">
      <c r="A6">
        <v>5</v>
      </c>
      <c r="B6" t="s">
        <v>114</v>
      </c>
      <c r="C6" t="s">
        <v>66</v>
      </c>
    </row>
    <row r="7" spans="1:3" x14ac:dyDescent="0.3">
      <c r="A7">
        <v>6</v>
      </c>
      <c r="B7" t="s">
        <v>67</v>
      </c>
      <c r="C7" t="s">
        <v>68</v>
      </c>
    </row>
    <row r="8" spans="1:3" x14ac:dyDescent="0.3">
      <c r="A8">
        <v>7</v>
      </c>
      <c r="B8" t="s">
        <v>70</v>
      </c>
      <c r="C8" t="s">
        <v>71</v>
      </c>
    </row>
    <row r="9" spans="1:3" x14ac:dyDescent="0.3">
      <c r="A9">
        <v>8</v>
      </c>
      <c r="B9" t="s">
        <v>73</v>
      </c>
      <c r="C9" t="s">
        <v>74</v>
      </c>
    </row>
    <row r="10" spans="1:3" x14ac:dyDescent="0.3">
      <c r="A10">
        <v>9</v>
      </c>
      <c r="B10" t="s">
        <v>75</v>
      </c>
      <c r="C10" t="s">
        <v>76</v>
      </c>
    </row>
    <row r="11" spans="1:3" x14ac:dyDescent="0.3">
      <c r="A11">
        <v>10</v>
      </c>
      <c r="B11" t="s">
        <v>77</v>
      </c>
      <c r="C11" t="s">
        <v>80</v>
      </c>
    </row>
    <row r="12" spans="1:3" x14ac:dyDescent="0.3">
      <c r="A12">
        <v>11</v>
      </c>
      <c r="B12" t="s">
        <v>78</v>
      </c>
      <c r="C12" t="s">
        <v>79</v>
      </c>
    </row>
    <row r="13" spans="1:3" x14ac:dyDescent="0.3">
      <c r="A13">
        <v>12</v>
      </c>
      <c r="B13" t="s">
        <v>81</v>
      </c>
      <c r="C13" t="s">
        <v>82</v>
      </c>
    </row>
    <row r="14" spans="1:3" x14ac:dyDescent="0.3">
      <c r="A14">
        <v>13</v>
      </c>
      <c r="B14" t="s">
        <v>83</v>
      </c>
      <c r="C14" t="s">
        <v>84</v>
      </c>
    </row>
    <row r="15" spans="1:3" x14ac:dyDescent="0.3">
      <c r="A15">
        <v>14</v>
      </c>
      <c r="B15" t="s">
        <v>85</v>
      </c>
      <c r="C15" t="s">
        <v>86</v>
      </c>
    </row>
    <row r="16" spans="1:3" x14ac:dyDescent="0.3">
      <c r="A16">
        <v>15</v>
      </c>
      <c r="B16" t="s">
        <v>92</v>
      </c>
      <c r="C16" t="s">
        <v>93</v>
      </c>
    </row>
    <row r="17" spans="1:3" x14ac:dyDescent="0.3">
      <c r="A17">
        <v>16</v>
      </c>
      <c r="B17" s="41" t="s">
        <v>163</v>
      </c>
      <c r="C17" s="41" t="s">
        <v>164</v>
      </c>
    </row>
    <row r="18" spans="1:3" x14ac:dyDescent="0.3">
      <c r="A18">
        <v>17</v>
      </c>
      <c r="B18" t="s">
        <v>110</v>
      </c>
      <c r="C18" t="s">
        <v>109</v>
      </c>
    </row>
    <row r="19" spans="1:3" x14ac:dyDescent="0.3">
      <c r="A19">
        <v>18</v>
      </c>
      <c r="B19" t="s">
        <v>115</v>
      </c>
      <c r="C19" t="s">
        <v>116</v>
      </c>
    </row>
    <row r="20" spans="1:3" x14ac:dyDescent="0.3">
      <c r="A20">
        <v>19</v>
      </c>
      <c r="B20" t="s">
        <v>118</v>
      </c>
      <c r="C20" t="s">
        <v>117</v>
      </c>
    </row>
    <row r="21" spans="1:3" x14ac:dyDescent="0.3">
      <c r="A21">
        <v>20</v>
      </c>
      <c r="B21" t="s">
        <v>120</v>
      </c>
      <c r="C21" t="s">
        <v>121</v>
      </c>
    </row>
    <row r="22" spans="1:3" x14ac:dyDescent="0.3">
      <c r="A22">
        <v>21</v>
      </c>
      <c r="B22" t="s">
        <v>124</v>
      </c>
      <c r="C22" t="s">
        <v>125</v>
      </c>
    </row>
    <row r="23" spans="1:3" x14ac:dyDescent="0.3">
      <c r="A23">
        <v>22</v>
      </c>
      <c r="B23" t="s">
        <v>126</v>
      </c>
      <c r="C23" t="s">
        <v>127</v>
      </c>
    </row>
    <row r="24" spans="1:3" x14ac:dyDescent="0.3">
      <c r="A24">
        <v>23</v>
      </c>
      <c r="B24" t="s">
        <v>128</v>
      </c>
      <c r="C24" t="s">
        <v>129</v>
      </c>
    </row>
    <row r="25" spans="1:3" x14ac:dyDescent="0.3">
      <c r="A25">
        <v>24</v>
      </c>
      <c r="B25" t="s">
        <v>130</v>
      </c>
      <c r="C25" t="s">
        <v>131</v>
      </c>
    </row>
    <row r="26" spans="1:3" x14ac:dyDescent="0.3">
      <c r="A26">
        <v>25</v>
      </c>
      <c r="B26" t="s">
        <v>132</v>
      </c>
      <c r="C26" t="s">
        <v>133</v>
      </c>
    </row>
    <row r="27" spans="1:3" x14ac:dyDescent="0.3">
      <c r="A27">
        <v>26</v>
      </c>
      <c r="B27" t="s">
        <v>134</v>
      </c>
      <c r="C27" t="s">
        <v>135</v>
      </c>
    </row>
    <row r="28" spans="1:3" x14ac:dyDescent="0.3">
      <c r="A28">
        <v>27</v>
      </c>
      <c r="B28" t="s">
        <v>136</v>
      </c>
      <c r="C28" t="s">
        <v>137</v>
      </c>
    </row>
    <row r="29" spans="1:3" x14ac:dyDescent="0.3">
      <c r="A29">
        <v>28</v>
      </c>
      <c r="B29" t="s">
        <v>138</v>
      </c>
      <c r="C29" t="s">
        <v>139</v>
      </c>
    </row>
    <row r="30" spans="1:3" x14ac:dyDescent="0.3">
      <c r="A30">
        <v>29</v>
      </c>
      <c r="B30" t="s">
        <v>140</v>
      </c>
      <c r="C30" t="s">
        <v>141</v>
      </c>
    </row>
    <row r="31" spans="1:3" x14ac:dyDescent="0.3">
      <c r="A31">
        <v>30</v>
      </c>
      <c r="B31" t="s">
        <v>150</v>
      </c>
      <c r="C31" t="s">
        <v>151</v>
      </c>
    </row>
    <row r="32" spans="1:3" x14ac:dyDescent="0.3">
      <c r="A32">
        <v>31</v>
      </c>
      <c r="B32" t="s">
        <v>153</v>
      </c>
      <c r="C32" t="s">
        <v>154</v>
      </c>
    </row>
    <row r="33" spans="1:3" x14ac:dyDescent="0.3">
      <c r="A33">
        <v>32</v>
      </c>
      <c r="B33" t="s">
        <v>155</v>
      </c>
      <c r="C33" t="s">
        <v>156</v>
      </c>
    </row>
    <row r="34" spans="1:3" x14ac:dyDescent="0.3">
      <c r="A34">
        <v>33</v>
      </c>
      <c r="B34" s="41" t="s">
        <v>123</v>
      </c>
      <c r="C34" s="41" t="s">
        <v>99</v>
      </c>
    </row>
    <row r="35" spans="1:3" x14ac:dyDescent="0.3">
      <c r="A35">
        <v>34</v>
      </c>
      <c r="B35" t="s">
        <v>165</v>
      </c>
      <c r="C35" t="s">
        <v>166</v>
      </c>
    </row>
    <row r="36" spans="1:3" x14ac:dyDescent="0.3">
      <c r="A36">
        <v>35</v>
      </c>
      <c r="B36" t="s">
        <v>172</v>
      </c>
      <c r="C36" t="s">
        <v>173</v>
      </c>
    </row>
    <row r="37" spans="1:3" x14ac:dyDescent="0.3">
      <c r="A37">
        <v>36</v>
      </c>
      <c r="B37" t="s">
        <v>174</v>
      </c>
      <c r="C37" t="s">
        <v>175</v>
      </c>
    </row>
    <row r="38" spans="1:3" x14ac:dyDescent="0.3">
      <c r="A38">
        <v>37</v>
      </c>
      <c r="B38" t="s">
        <v>177</v>
      </c>
      <c r="C38" t="s">
        <v>176</v>
      </c>
    </row>
    <row r="39" spans="1:3" x14ac:dyDescent="0.3">
      <c r="A39">
        <v>38</v>
      </c>
      <c r="B39" t="s">
        <v>181</v>
      </c>
      <c r="C39" t="s">
        <v>193</v>
      </c>
    </row>
    <row r="40" spans="1:3" x14ac:dyDescent="0.3">
      <c r="A40">
        <v>39</v>
      </c>
      <c r="B40" t="s">
        <v>199</v>
      </c>
      <c r="C40" t="s">
        <v>200</v>
      </c>
    </row>
    <row r="41" spans="1:3" x14ac:dyDescent="0.3">
      <c r="A41">
        <v>40</v>
      </c>
      <c r="B41" t="s">
        <v>206</v>
      </c>
      <c r="C41" t="s">
        <v>207</v>
      </c>
    </row>
    <row r="42" spans="1:3" x14ac:dyDescent="0.3">
      <c r="A42">
        <v>41</v>
      </c>
      <c r="B42" t="s">
        <v>210</v>
      </c>
      <c r="C42" t="s">
        <v>211</v>
      </c>
    </row>
    <row r="43" spans="1:3" x14ac:dyDescent="0.3">
      <c r="A43">
        <v>42</v>
      </c>
      <c r="B43" t="s">
        <v>217</v>
      </c>
      <c r="C43" t="s">
        <v>212</v>
      </c>
    </row>
    <row r="44" spans="1:3" x14ac:dyDescent="0.3">
      <c r="A44">
        <v>43</v>
      </c>
      <c r="B44" t="s">
        <v>215</v>
      </c>
      <c r="C44" t="s">
        <v>216</v>
      </c>
    </row>
    <row r="45" spans="1:3" x14ac:dyDescent="0.3">
      <c r="A45">
        <v>44</v>
      </c>
      <c r="B45" t="s">
        <v>262</v>
      </c>
      <c r="C45" t="s">
        <v>263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2017-12-21T07:28:40Z</dcterms:modified>
</cp:coreProperties>
</file>