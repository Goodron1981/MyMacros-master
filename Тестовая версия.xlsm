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6" hidden="1">Ключи!$C$1:$C$122</definedName>
    <definedName name="_xlnm._FilterDatabase" localSheetId="2" hidden="1">Лист1!$A$1:$D$15</definedName>
    <definedName name="_xlnm._FilterDatabase" localSheetId="1" hidden="1">Прод!$T$1:$T$33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<sst xmlns="http://schemas.openxmlformats.org/spreadsheetml/2006/main" count="798" uniqueCount="553">
  <si>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</si>
  <si>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</si>
  <si>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</si>
  <si>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</si>
  <si>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</si>
  <si>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</si>
  <si>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</si>
  <si>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</si>
  <si>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</si>
  <si>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</si>
  <si>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</si>
  <si>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</si>
  <si>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</si>
  <si>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</si>
  <si>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</si>
  <si>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</si>
  <si>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</si>
  <si>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</si>
  <si>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</si>
  <si>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</si>
  <si>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</si>
  <si>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</si>
  <si>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</si>
  <si>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</si>
  <si>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</si>
  <si>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</si>
  <si>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</si>
  <si>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</si>
  <si>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</si>
  <si>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</si>
  <si>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</si>
  <si>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</si>
  <si>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</si>
  <si>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</si>
  <si>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</si>
  <si>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</si>
  <si>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</si>
  <si>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</si>
  <si>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</si>
  <si>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</si>
  <si>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</si>
  <si>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</si>
  <si>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</si>
  <si>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</si>
  <si>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</si>
  <si>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</si>
  <si>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</si>
  <si>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</si>
  <si>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</si>
  <si>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</si>
  <si>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</si>
  <si>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</si>
  <si>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</si>
  <si>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</si>
  <si>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</si>
  <si>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</si>
  <si>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</si>
  <si>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</si>
  <si>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</si>
  <si>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</si>
  <si>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</si>
  <si>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</si>
  <si>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</si>
  <si>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</si>
  <si>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</si>
  <si>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</si>
  <si>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</si>
  <si>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</si>
  <si>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</si>
  <si>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</si>
  <si>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</si>
  <si>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</si>
  <si>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</si>
  <si>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</si>
  <si>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</si>
  <si>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</si>
  <si>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</si>
  <si>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</si>
  <si>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</si>
  <si>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</si>
  <si>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</si>
  <si>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</si>
  <si>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</si>
  <si>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</si>
  <si>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</si>
  <si>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</si>
  <si>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</si>
  <si>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</si>
  <si>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</si>
  <si>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</si>
  <si>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</si>
  <si>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</si>
  <si>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</si>
  <si>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</si>
  <si>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</si>
  <si>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</si>
  <si>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</si>
  <si>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</si>
  <si>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</si>
  <si>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</si>
  <si>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</si>
  <si>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</si>
  <si>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</si>
  <si>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</si>
  <si>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</si>
  <si>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</si>
  <si>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</si>
  <si>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</si>
  <si>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</si>
  <si>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</si>
  <si>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</si>
  <si>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</si>
  <si>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</si>
  <si>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</si>
  <si>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</si>
  <si>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</si>
  <si>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</si>
  <si>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</si>
  <si>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</si>
  <si>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</si>
  <si>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</si>
  <si>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</si>
  <si>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</si>
  <si>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</si>
  <si>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</si>
  <si>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</si>
  <si>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</si>
  <si>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</si>
  <si>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</si>
  <si>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</si>
  <si>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</si>
  <si>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</si>
  <si>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</si>
  <si>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</si>
  <si>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</si>
  <si>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</si>
  <si>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</si>
  <si>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</si>
  <si>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</si>
  <si>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</si>
  <si>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</si>
  <si>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</si>
  <si>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</si>
  <si>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</si>
  <si>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</si>
  <si>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</si>
  <si>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</si>
  <si>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</si>
  <si>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</si>
  <si>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</si>
  <si>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</si>
  <si>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</si>
  <si>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</si>
  <si>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</si>
  <si>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</si>
  <si>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</si>
  <si>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</si>
  <si>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</si>
  <si>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</si>
  <si>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</si>
  <si>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</si>
  <si>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</si>
  <si>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</si>
  <si>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</si>
  <si>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</si>
  <si>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</si>
  <si>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</si>
  <si>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</si>
  <si>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</si>
  <si>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</si>
  <si>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</si>
  <si>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</si>
  <si>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</si>
  <si>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</si>
  <si>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</si>
  <si>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</si>
  <si>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</si>
  <si>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</si>
  <si>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</si>
  <si>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</si>
  <si>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</si>
  <si>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</si>
  <si>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</si>
  <si>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</si>
  <si>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</si>
  <si>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</si>
  <si>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</si>
  <si>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</si>
  <si>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</si>
  <si>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</si>
  <si>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</si>
  <si>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</si>
  <si>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</si>
  <si>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</si>
  <si>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</si>
  <si>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</si>
  <si>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</si>
  <si>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</si>
  <si>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</si>
  <si>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</si>
  <si>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</si>
  <si>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</si>
  <si>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</si>
  <si>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</si>
  <si>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</si>
  <si>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</si>
  <si>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</si>
  <si>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</si>
  <si>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</si>
  <si>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</si>
  <si>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</si>
  <si>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</si>
  <si>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</si>
  <si>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</si>
  <si>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</si>
  <si>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</si>
  <si>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</si>
  <si>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</si>
  <si>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</si>
  <si>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</si>
  <si>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</si>
  <si>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</si>
  <si>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</si>
  <si>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</si>
  <si>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</si>
  <si>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</si>
  <si>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</si>
  <si>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</si>
  <si>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</si>
  <si>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</si>
  <si>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</si>
  <si>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</si>
  <si>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</si>
  <si>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</si>
  <si>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</si>
  <si>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</si>
  <si>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</si>
  <si>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</si>
  <si>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</si>
  <si>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</si>
  <si>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</si>
  <si>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</si>
  <si>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</si>
  <si>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</si>
  <si>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</si>
  <si>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</si>
  <si>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</si>
  <si>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</si>
  <si>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</si>
  <si>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</si>
  <si>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</si>
  <si>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</si>
  <si>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</si>
  <si>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</si>
  <si>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</si>
  <si>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</si>
  <si>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OK</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</si>
  <si>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</si>
  <si>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</si>
  <si>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</si>
  <si>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</si>
  <si>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</si>
  <si>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</si>
  <si>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</si>
  <si>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</si>
  <si>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</si>
  <si>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</si>
  <si>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</si>
  <si>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</si>
  <si>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</si>
  <si>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</si>
  <si>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</si>
  <si>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</si>
  <si>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</si>
  <si>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</si>
  <si>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</si>
  <si>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</si>
  <si>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</si>
  <si>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</si>
  <si>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</si>
  <si>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</si>
  <si>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</si>
  <si>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</si>
  <si>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</si>
  <si>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</si>
  <si>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</si>
  <si>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</si>
  <si>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</si>
  <si>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</si>
  <si>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</si>
  <si>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</si>
  <si>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</si>
  <si>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</si>
  <si>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</si>
  <si>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</si>
  <si>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</si>
  <si>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</si>
  <si>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</si>
  <si>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</si>
  <si>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</si>
  <si>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</si>
  <si>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</si>
  <si>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</si>
  <si>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</si>
  <si>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</si>
  <si>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</si>
  <si>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</si>
  <si>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</si>
  <si>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</si>
  <si>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</si>
  <si>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</si>
  <si>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</si>
  <si>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</si>
  <si>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</si>
  <si>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</si>
  <si>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</si>
  <si>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</si>
  <si>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</si>
  <si>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</si>
  <si>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</si>
  <si>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</si>
  <si>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</si>
  <si>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</si>
  <si>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</si>
  <si>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</si>
  <si>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</si>
  <si>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</si>
  <si>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</si>
  <si>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</si>
  <si>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</si>
  <si>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</si>
  <si>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</si>
  <si>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</si>
  <si>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</si>
  <si>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</si>
  <si>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</si>
  <si>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</si>
  <si>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</si>
  <si>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</si>
  <si>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</si>
  <si>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</si>
  <si>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</si>
  <si>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</si>
  <si>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</si>
  <si>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</si>
  <si>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</si>
  <si>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</si>
  <si>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</si>
  <si>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</si>
  <si>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</si>
  <si>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</si>
  <si>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</si>
  <si>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</si>
  <si>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</si>
  <si>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</si>
  <si>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</si>
  <si>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</si>
  <si>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</si>
  <si>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</si>
  <si>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</si>
  <si>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</si>
  <si>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</si>
  <si>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</si>
  <si>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</si>
  <si>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</si>
  <si>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</si>
  <si>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</si>
  <si>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</si>
  <si>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</si>
  <si>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</si>
  <si>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</si>
  <si>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</si>
  <si>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</si>
  <si>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</si>
  <si>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</si>
  <si>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</si>
  <si>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</si>
  <si>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</si>
  <si>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</si>
  <si>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</si>
  <si>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</si>
  <si>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</si>
  <si>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</si>
  <si>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</si>
  <si>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</si>
  <si>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</si>
  <si>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</si>
  <si>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</si>
  <si>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</si>
  <si>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</si>
  <si>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</si>
  <si>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</si>
  <si>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</si>
  <si>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</si>
  <si>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</si>
  <si>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</si>
  <si>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</si>
  <si>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</si>
  <si>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</si>
  <si>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</si>
  <si>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</si>
  <si>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</si>
  <si>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</si>
  <si>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</si>
  <si>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</si>
  <si>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</si>
  <si>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</si>
  <si>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</si>
  <si>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</si>
  <si>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</si>
  <si>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</si>
  <si>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</si>
  <si>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</si>
  <si>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</si>
  <si>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</si>
  <si>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</si>
  <si>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</si>
  <si>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</si>
  <si>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Заявки в работе</t>
  </si>
  <si>
    <t>Postovoi</t>
  </si>
  <si>
    <t>В работе</t>
  </si>
  <si>
    <t>opalkova.com.ua</t>
  </si>
  <si>
    <t>NoK</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</si>
  <si>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</si>
  <si>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</si>
  <si>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</si>
  <si>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</si>
  <si>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</si>
  <si>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</si>
  <si>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</si>
  <si>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</si>
  <si>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</si>
  <si>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</si>
  <si>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</si>
  <si>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</si>
  <si>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</si>
  <si>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</si>
  <si>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</si>
  <si>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</si>
  <si>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интер</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</si>
  <si>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</si>
  <si>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</si>
  <si>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</si>
  <si>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</si>
  <si>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</si>
  <si>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</si>
  <si>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</si>
  <si>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</si>
  <si>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Постовой должен быть написан только на английском языке
В заголовке обязательное наличие ключевого слова: Igor Yankovsky 
Постовой должен быть окружен тематическим текстом
Только один постовой на страницу
Постовой должен быть в новой статье</t>
  </si>
  <si>
    <t>2018-01-09T13:57:40</t>
  </si>
  <si>
    <t>2018-01-09T13:57:45</t>
  </si>
  <si>
    <t>2018-01-09T13:57:42</t>
  </si>
  <si>
    <t>tellall.kiev.ua</t>
  </si>
  <si>
    <t>orangecat.net.ua</t>
  </si>
  <si>
    <t>Post</t>
  </si>
  <si>
    <t>dlemoduli.org.ua</t>
  </si>
  <si>
    <t>No href!</t>
  </si>
  <si>
    <t>No keyword!</t>
  </si>
  <si>
    <t>No img!</t>
  </si>
  <si>
    <t>Not found</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</si>
  <si>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</si>
  <si>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</si>
  <si>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</si>
  <si>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</si>
  <si>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</si>
  <si>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</si>
  <si>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</si>
  <si>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</si>
  <si>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</si>
  <si>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</si>
  <si>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</si>
  <si>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</si>
  <si>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</si>
  <si>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</si>
  <si>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</si>
  <si>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</si>
  <si>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</si>
  <si>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</si>
  <si>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</si>
  <si>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</si>
  <si>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</si>
  <si>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</si>
  <si>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</si>
  <si>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YES</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</si>
  <si>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</si>
  <si>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</si>
  <si>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</si>
  <si>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</si>
  <si>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</si>
  <si>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</si>
  <si>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</si>
  <si>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</si>
  <si>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</si>
  <si>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Small Text</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</si>
  <si>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</si>
  <si>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</si>
  <si>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</si>
  <si>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</si>
  <si>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</si>
  <si>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</si>
  <si>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Новый</t>
  </si>
  <si>
    <t>http://greenevolution.ru/2015/07/02/raschet-okupaemosti-solnechnoj-elektrostancii-na-prakticheskom-primere/</t>
  </si>
  <si>
    <t>https://www.segodnya.ua/economics/gkh/Plyusy-i-minusy-solnechnyh-batarey-dlya-doma.html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</si>
  <si>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Бизнес_x000D_
Финансы_x000D_
Недвижимость_x000D_
Авто_x000D_
Транспорт_x000D_
ЖКХ_x000D_
 _x000D_
 _x000D_
 _x000D_
Главная_x000D_
Новости экономики_x000D_
Новости ЖКХ_x000D_
Главная › Новости экономики › Новости ЖКХ _x000D_
Плюсы и минусы солнечных батарей для дома Матычак Татьяна https://www.segodnya.ua/img/article/3972/37_main.jpg https://www.segodnya.ua/img/article/3972/37_tn.jpg 2012-11-13T13:12:46+02:00 ЖКХ Как рассчитать мощность батарей и сэкономить на покупке _x000D_
Плюсы и минусы солнечных батарей для дома_x000D_
13 Ноября 2012, 13:12 Просмотров: ... _x000D_
Как рассчитать мощность батарей и сэкономить на покупке_x000D_
 Солнечные панели. В идеале должны стоять на южной стороне крыши. Фото: А. Биленко _x000D_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ИДЕЯ. Альтернативной энергетикой Александр увлекся около 15 лет назад, во время учебы в институте. Ему сразу понравилась идея получения "чистого" электричества. "Хочу, чтобы мои дети дышали чистым воздухом, — объясняет он. — Поэтому я решил переходить на источники энергии, которые не вредят окружающей среде. Сначала я сделал свет в своей теплице и вентиляцию подвала с использованием солнечных батарей. Недавно установил их для освещения кухни. А скоро хочу собрать и поставить возле дома уличный фонарь с солнечной батареей, аккумулятором и светодиодным прожектором"._x000D_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ДЕТАЛИ. В систему освещения кухни семьи Биленко, кроме фотоэлектрических модулей, входят энергосберегающие и светодиодные лампы, аккумулятор, контролер заряда и светодиодная лента. "Напряжение всей системы – 12 вольт, поэтому светодиодные лампы и ленты тоже должны иметь такое напряжение", — объясняет Александр. К слову, опасность в системе несет аккумулятор. При его зарядке выделяется взрывоопасный газ — водород. Поэтому аккумулятор стоит в проветриваемом помещении. "Но можно брать более дорогие аккумуляторы, не выделяющие водород, — успокаивает Биленко. — Тогда система безопасна"._x000D_
ПЛАНЫ. Чтобы полностью перевести электроснабжение дома на солнечные батареи, Александру нужно $7—8 тыс. "Поэтому решил воплощать идею поэтапно, — объясняет он. — Скоро планирую поставить еще один модуль батареи на 100 Вт и8 мсветодиодной ленты в детской. Дальше увеличу мощность, куплю инвертор (от $500) и создам полноценную систему электроснабжения"._x000D_
ПРЕИМУЩЕСТВА_x000D_
1. Не нужно сразу покупать батарею на 150 Вт. Наращивать мощность можно поэтапно. У Биленко сейчас 3 пластины: 10, 20 и 40 Вт с общим рабочим током 4 А._x000D_
2. Солнечные батареи дешевеют:2010 г. — $3,9 за 1 Вт;2011 г. — $2,8;2012 г. — $1,75 за 1 Вт._x000D_
3. При обрыве линий электропередач с помощью инвертора можно подать напряжение для газового котла._x000D_
НЕДОСТАТКИ_x000D_
1.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2. При нынешних ценах у солнечных батарей очень большой срок окупаемости._x000D_
ВЫБОР ДЕТАЛЕЙ_x000D_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СРОК ОКУПАЕМОСТИ_x000D_
По подсчетам Александра, за год его система может выработать до 90 кВт. При этом мощность будет зависеть от расположения батарей относительно солнца. Сейчас у Александра стоят батареи мощностью 70 Вт, поэтому стоимость установки составляет 1135 грн (мощность в 1 Вт обходится примерно в 14,35 грн; умножаем: 70 х 14,35 = 1005 грн). "Рассчитывая окупаемость, я учитывал, что в Украине тарифы для населения на электроэнергию зависят от объемов ее потребления в месяц, — объясняет Александр. — Но имейте в виду, что тарифы на электроэнергию постоянно растут, поэтому срок окупаемости уменьшается"._x000D_
Тарифы:_x000D_
1. До 150 кВт в мес. — 28,02 коп. за 1 кВт. 90 кВт х 0,2802 грн = 25,2 грн в год. _x000D_
Срок окупаемости: 1005 / 25,2 = 40 лет._x000D_
2. 150—800 кВт в мес. — 36,48 коп. за 1 кВт. 90 кВт х 0,3648 грн = 32,82 грн в год. _x000D_
Срок окупаемости: 1005 / 32,82 = 30 лет._x000D_
3. Свыше 800 кВт в мес. — 95,76 коп. за 1 кВт. 90 кВт х 0,9576 грн = 86,2 грн в год. _x000D_
Срок окупаемости: 1005 / 86,2 = 11 лет._x000D_
_x000D_
Опрос_x000D_
тарифы, электричество, энергия, батареи, солнечные батареи _x000D_
Вы сейчас просматриваете новость "Плюсы и минусы солнечных батарей для дома". Другие Новости ЖКХ смотрите в блоке "Посл</t>
  </si>
  <si>
    <t xml:space="preserve">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Архитекторы обозвали свое строение Ark, т.е. Арка, и построен он исходя из того же принципа, который использовался при построении Ноева Ковчега._x000D_</t>
  </si>
  <si>
    <t xml:space="preserve">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Здесь 5 — коэффициент солнечной инсоляции в Днепропетровской обл. </t>
  </si>
  <si>
    <t>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Приміром, Олександр для освітлення кухні в такі дні додатково встановив дві газорозрядні енергозберігаючі лампи по 15 Вт. Припустимо, система буде освітлювати приміщення кухні 10 год на добу. У цей час будуть працювати:2 мсветодиодной стрічки по 5 Вт: 2 х 5 Вт = 10 Вт, які в добу використають: 10 Вт х 10 год =100 Вт; 3 світлодіодні лампочки по 3 Вт: 3 х 3 Вт = 9 Вт, які в добу використають: 9 Вт х 10 год = 90 Вт. Загальна потужність споживання в добу: 100 Вт + 90 Вт = 190 Вт. ПАНЕЛІ. Тут 5 — коефіцієнт сонячної інсоляції в Дніпропетровській обл.</t>
  </si>
  <si>
    <t xml:space="preserve">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Приміром, Олександр для освітлення кухні в такі дні додатково встановив дві газорозрядні енергозберігаючі лампи по 15 Вт. </t>
  </si>
  <si>
    <t>http://goingsolar.com.ua/vazhnost-professionalnogo-proektirovaniya-solnechnykh-elektrostantsiy./</t>
  </si>
  <si>
    <t>Оплата и доставкаОбмен и возвратКонтактная информацияБлогНовости _x000D_
Вход _x000D_
0Сравнение товаров _x000D_
Нет товаров в сравнении_x000D_
РусУкр _x000D_
 _x000D_
Интернет-магазин солнечных электростанций _x000D_
  _x000D_
066 166-61-07 _x000D_
068 419-37-01 _x000D_
063 060-15-00 _x000D_
Перезвонить вам?_x000D_
Обратный звонок_x000D_
Укажите ваш номер телефона, имя и мы свяжемся с вами в ближайшее время._x000D_
Имя_x000D_
 _x000D_
Телефон_x000D_
 _x000D_
Отправить  _x000D_
0_x000D_
Мой заказ_x000D_
Готовые решения _x000D_
_x000D_
Сетевые солнечные электростанции под "зелёный тариф" _x000D_
_x000D_
Гибридные солнечные электростанции _x000D_
_x000D_
Автономные солнечные электростанции _x000D_
Солнечные электростанции в кредит _x000D_
Солнечные панели _x000D_
_x000D_
Yingli _x000D_
_x000D_
SolarWorld _x000D_
_x000D_
Axitec _x000D_
_x000D_
Amerisolar _x000D_
_x000D_
BenQ Solar _x000D_
_x000D_
REC _x000D_
_x000D_
SunnyCall _x000D_
_x000D_
SHARP _x000D_
Инверторы _x000D_
_x000D_
SMA Solar Technology AG _x000D_
_x000D_
Fronius _x000D_
_x000D_
Samil Power _x000D_
_x000D_
Huawei _x000D_
Дополнительное оборудование _x000D_
_x000D_
Системы крепления панелей _x000D_
_x000D_
Кабель для солнечных электростанций _x000D_
_x000D_
Коннекторы _x000D_
_x000D_
Предохранители для солнечных панелей _x000D_
_x000D_
Защитные автоматы постоянного тока для солнечной электростанции _x000D_
_x000D_
Электрические щиты для солнечной электростанции _x000D_
Скидки и Акции _x000D_
Главная _x000D_
Блог _x000D_
Важность профессионального проектирования солнечных электростанций. _x000D_
Важность профессионального проектирования солнечных электростанций._x000D_
27 апреля 2017_x000D_
0 комментариев_x000D_
         _x000D_
Важность профессионального проектирования солнечных электростанций_x000D_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выбором опорных конструкций способны оказывать влияние на работу станции, то выбор солнечных панелей и инверторов нужно провод</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</si>
  <si>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В этой статье мы покажем, что мелочей при проектировании солнечной электростанции не бывает и каждое упущение, в конце концов, сказывается на прибыли, а некоторые ошибки либо их совокупность могут полностью разрушить финансовую модель и поставить под угрозу инвестиции в станцию._x000D_ Полноценные проектные работы подразумевают не только выполнение требований ГОСТ и ДБН действующих в стране, не только прохождение всех экспертиз в соответствующих инстанциях, но и выбор вариантов, позволяющих получить максимум прибыли на каждый доллар вложенный в солнечную электростанцию.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Прежде всего, стоит понять, что основным качественным показателем работы электростанции является количество вырабатываемой электроэнергии, а не сумма заплаченная за оборудование.  Именно за киловатт*час электроэнергии платятся деньги. Уяснив это, можно легко избежать как завышенных трат, так и покупки оборудования снижающего общую прибыль. При проектировании мы советуем ориентироваться на простое соотношение – сколько денег принесет 1 кВт установленной мощности електростанции за  год работы? По этому показателю легко определить эффективность капиталовложений в оборудование. К примеру, в первом варианте мы имеем  180 евро дохода с 1 кВт установленной мощности в год. При этом удельная стоимость установки 1 кВт составит 1000 евро. Если же мы приобретем оборудование позволяющее снизить удельную стоимость установки  оборудования  до 950 евро, то есть на 5%, то прибыль упадет до 163 евро, тоесть  почти на 9% в год !!! Таким образом, в данном случае одноразовая экономия 5% никогда себя не окупит, а скорее увеличит срок окупаемости проекта и уменьшит потенциальную прибыль. Задача проектной организации здесь состоит в том, чтобы предоставить заказчику  точную информацию о влиянии того или иного оборудования на общую прибыль и выбрать комплект оборудования , который принесет максимальную прибыль._x000D_ Но этого недостаточно. Так можно поверхностно судить об эффективности вложений. Также необходима экспертная оценка оборудования на надежность, работоспособность в локальных условиях и долгосрочную работу. К примеру, мало кто задумывается о важности опорных металлоконструкций,  на которые крепят модули. По виду это простые конструкции, которые вызывают улыбку у опытных строителей, привыкших к масштабным сооружениям. Тем не менее, в случае ошибок при проектировании (не учли снеговые и ветровые нагрузки для данной местности, поскупились на полноценные геологические и геодезические работы и не учли тип грунта,  купили дешевые конструкции, склонные к быстрой коррозии и т.д.) пострадает выработка всей станции, а значит и общая прибыль. Далеко не всегда проблему с металлоконструкциями удается сразу идентифицировать. Например, при деформации конструкции либо по причине ее неправильной установки, рамы  фотоэлектрических панелей, установленные на ней, начинают также деформироваться. При этом вероятно повреждение тонких кремниевых пластин, что значительно снизит выработку ими электроэнергии. При этом данная проблема появится не сразу и ее трудно будет обнаружить. Чтобы иметь представление об опасности  такой ситуации, приведем данные исследований немецких коллег  с реального объекта. Из-за ошибок при проектировании, в частности неправильного выбора опорных металлоконструкций, которые способствовали деформации и повреждению солнечных панелей,  за 10 лет эффективность работы станции снизилась  11% , и это без учета естественных причин.  Чтобы избежать этой проблемы и множества ей подобных, следует выполнить множество специальных  расчетов. Основываясь на их данных, затем уже делать выводы о возможности применения оборудования  на конкретном проекте.  Для этого, как мы видим, нужна ответственная проектная организация._x000D_ Если даже такие мелочи связанные с выбором опорных конструкций способны оказывать влияние на работу станции, то выбор солнечных панелей и инверторов нужно проводить наиболее тщательно. Это самое дорогое ответственное оборудование станции и оно требует к себе  особо внимательного отношения.  Здесь ошибки наиболее критичны и мгновенно сказываются на выработке электроэнергии всей станцией.  Даже если производители  заявляют  одинаковую мощность солнечных панелей и используется один и тот же тип инверторов, разница в выработке может составлять от 1-2% до 19-20%!!! Вообще, для каждого варианта панелей и инверторов характерно свое значение выработанной электроэнергии. И только после анализа возможных вариантов можно подобрать наиболее выгодный по соотношению цены оборудования и прибыли, которую оно принесет. Для этого, как правило, используются специальные расчетные программы, принятые как стандарт в странах ЕС и США. Они позволяют ввести данные об оборудовании и получить весьма точные прогнозы средней выработки за год. Причем результаты могут быть проверены любым другим оператором программы, что исключает разницу в результатах. О том, что и здесь нужно учитывать целый ряд мелочей может свидетельствовать следующий пример.  Украина находится в климатической зоне для которой характерны жаркое лето и суровые зимы. А зимой при минусовой температуре напряжение на солнечной панели увеличивается. Если допустить ошибку, к примеру превысить допустимое количество панелей, соединяемых последовательно, то зимой в холодную пору возможны массовые отказы оборудования из-за повреждения изоляции проводников повышенным напряжением. Таких мелочей при проектировании станции нужно учитывать достаточно много. Конечно же, существуют международные стандарты, по которым ведется проектирование и которым должна соответствовать солнечная электростанция. Но, к сожалению, у нас в стране очень многие не знают даже  о существовании этих стандартов, не говоря об их выполнении.  Таким образом, только проектные организации, имеющие опыт работы по международным стандартам, могут гарантировать качество выполняемой работы, полноценную долгосрочную, надежную работу солнечной станции и, соответственно, прибыль от ее работы._x000D_ После профессионального и вдумчивого выбора оборудования  наступает черед его размещения на участке. Здесь тоже есть целый ряд правил, несоблюдение которых приведет к недополученной прибыли. При  правильно подобранном размещении существует возможность значительно увеличить  количество вырабатываемой электроэнергии, выдаваемой во внешнюю сеть. Но для этого множество параметров должны подвергнуться оптимизации.  В частности, расстояние между рядами, угол наклона фотоэлектрических панелей, схемы подключения линеек панелей к инверторам, длины и сечения  соединительных кабелей, место расположения инвертора и многое другое. Для выбора наиболее оптимального варианта приходится выполнять множество расчетов и сравнений, обладать определенным практическим опытом и творчески подойти к процессу, чтобы, возможно, отыскать новое, ранее не применявшееся, решение, способное хоть на немного, но увеличить эффективность работы, а значит и прибыльность всего проекта. Для примера добавлю, что ошибка с  оптимальным для выбранного комплекта оборудования и места расположения углом наклона всего на один градус может стоить 0,2 % годового дохода. А вот недостаточное внимание оптимизации потерь в передающих кабелях может обойтись уже в 3-5% дополнительных потерь. При этом, в отличии от выбора оборудования, где каждый из вариантов обладает реальной стоимостью и некоторые могут потребовать дополнительных инвестиций, здесь все определяется исключительно качеством принятых проектных решений.  Поэтому требования к проектной организации должны быть высокими, и проектировщики должны быть готовы в любой момент доказать расчетами максимальную выгоду своих решений._x000D_ Причем для солнечной энергетики есть один интересный нюанс.  Даже при наличии множества ошибок при проектировании и строительстве станция все равно будет генерировать какую-то мощность. И сказать, что она серьезно отличается от возможной,  можно будет лишь спустя некоторый, иногда значительный срок. Бывает, что понимание о том, что со станцией что-то совсем не так, приходит к собственнику лишь после сравнения с результатами работы рядом стоящей станции. И лишь потом приходит осознание упущенных возможностей.  Чтобы избежать подобного очевидно нужно с самого начала сконцентрироваться на качественном проекте. Для чего понадобится соответствующая высокопрофессиональная  проектная организация. А остальное приложится._x000D_ Введите адрес электронной почты, который вы указывали при регистрации, и мы отправим вам письмо с информацией для восстановления пароля._x000D_</t>
  </si>
  <si>
    <t xml:space="preserve"> Не секрет, что любое серьезное дело не начинают без предварительного плана, в котором предусматриваются  все основные и второстепенные  моменты  замысла.  Для солнечной электростанции таким планом является выполненный проект, по которому станция будет построена. Те решения, которые будут заложены при проектировании, непосредственно будут влиять на процес строительства и работы станции во время всего срока эксплуатации. Они же, в конечном счете,  будут определять и прибыль от солнечной электростанции. К сожалению, у нас в стране сложилось не совсем адекватное представление о важности проектных работ. Зачастую на них пытаются сэкономить и ищут дешевые варианты. Хитрые проектанты могут предложить готовое и дешевое  решение, взятое из уже построенной  неизвестно где солнечной станции и адаптированное с помощью известного еще со школьной скамьи метода «козы» к конкретному проекту. При этом никто не заботится об максимизации  выработки электроэнергии и оптимизации затрат на строительство в каждом конкретном случае. В этом случае не приходиться говорить об ответственности и о работе на репутацию проектной организации, но и на этот товар находиться покупатель. Таким образом многомиллионные инвестиции, труд множества квалифицированных специалистов-монтажников, сложные финансовые расчеты могут не принести желаемого результата просто потому, что все работали по изначально ошибочному плану. Возможно, это следствие недостаточной информированности заказчиков о тех функциях, которые выполняют проектные работы и о стоимости ошибок и упущений во время проектирования. Одним из важнейших этапов является выбор оборудования.  Почему-то всем кажется, что чем дешевле оборудование, тем выгоднее будет капиталовложение в солнечную энергетику. На самом деле это глобальная ошибка.  Именно за киловатт*час электроэнергии платятся деньги. </t>
  </si>
  <si>
    <t xml:space="preserve">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Найчастіше на них намагаються заощадити і шукають дешеві варіанти.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Одним з найважливіших етапів є вибір обладнання. Насправді це глобальна помилка. </t>
  </si>
  <si>
    <t>Вигода від сонячної електростанції.</t>
  </si>
  <si>
    <t>[caption id="" align="aligncenter" width="350"]&lt;img src="http://image.solarhome.ru/img/pv/savings_graph_new.png" alt="" width="350" height="300" /&gt; Вигода від сонячної електростанції.[/caption]    Не секрет, що будь-яка серйозна справа не починають без попереднього плану, в якому передбачаються всі основні і другорядні моменти задуму. Для сонячної електростанції таким планом є виконаний проект, за яким станція буде побудована. Ті рішення, які будуть закладені при проектуванні, безпосередньо будуть впливати на процес будівництва і роботи станції під час всього терміну експлуатації. Вони ж, у кінцевому рахунку, будуть визначати і прибуток від сонячної електростанції. На жаль, у нас в країні склалося не зовсім адекватне уявлення про важливість проектних робіт. Найчастіше на них намагаються заощадити і шукають дешеві варіанти. Також ви можете знайти все необхідне на ресурсі &lt;a href="http://sun.zt.ua/sonyachna-stanciya-gotovi-objekty" title="встановлення сонячних батарей"&gt;встановлення сонячних батарей&lt;/a&gt;._x000D_
    Хитрі проектанти можуть запропонувати готове і дешеве рішення, взяте з вже побудованої невідомо де сонячної станції і адаптоване з допомогою відомого ще зі шкільної лави методу «кози» до конкретного проекту. При цьому ніхто не піклується про максимізації вироблення електроенергії та оптимізації витрат на будівництво в кожному конкретному випадку. В цьому випадку не доводиться говорити про відповідальність і про роботу на репутацію проектної організації, але і на цей товар перебувати покупець. Таким чином багатомільйонні інвестиції, праця безлічі кваліфікованих фахівців-монтажників, складні фінансові розрахунки можуть не принести бажаного результату просто тому, що всі працювали спочатку помилкового планом. _x000D_
     Можливо, це наслідок недостатньої інформованості замовників про тих функціях, які виконують проектні роботи і про вартість помилок і упущень під час проектування. Одним з найважливіших етапів є вибір обладнання. Чомусь всім здається, що чим дешевше обладнання, тим вигідніше буде капіталовкладення в сонячну енергетику. Насправді це глобальна помилка. Саме за кіловат годину електроенергії платяться гроші.</t>
  </si>
  <si>
    <t>http://cugp.com.ua/vigoda-vid-sonyachnoyi-elektrostantsiyi/</t>
  </si>
  <si>
    <t>4a630d87-8011-4437-8226-b41782f4579e</t>
  </si>
  <si>
    <t>&lt;a href="http://www.pressreleasepoint.com/igor-yankovsky" title="Igor Yankovsky"&gt;Igor Yankovsky&lt;/a&gt;</t>
  </si>
  <si>
    <t>2018-01-09T14:41:33</t>
  </si>
  <si>
    <t>2018-01-16T14:41:33</t>
  </si>
  <si>
    <t>http://www.pressreleasepoint.com/igor-yankovsky</t>
  </si>
  <si>
    <t>&lt;a href="https://www.towerbudapest.com/en/property_management/news/a-huf-13-billion-hospital-is-to-be-built-in-budapest/221" title="Igor Yankovsky"&gt;Igor Yankovsky&lt;/a&gt;</t>
  </si>
  <si>
    <t>2018-01-09T14:41:53</t>
  </si>
  <si>
    <t>2018-01-16T14:41:53</t>
  </si>
  <si>
    <t>https://www.towerbudapest.com/en/property_management/news/a-huf-13-billion-hospital-is-to-be-built-in-budapest/221</t>
  </si>
  <si>
    <t>&lt;a href="https://ukropnews24.com/the-fund-igor-yankovsky-and-the-state-of-ukraine-on-the-70th-cannes-film-festival-held-a-business-lunch-meet-ukrainian-producers/" title="Igor Yankovsky"&gt;Igor Yankovsky&lt;/a&gt;</t>
  </si>
  <si>
    <t>2018-01-09T14:42:42</t>
  </si>
  <si>
    <t>2018-01-16T14:42:42</t>
  </si>
  <si>
    <t>https://ukropnews24.com/the-fund-igor-yankovsky-and-the-state-of-ukraine-on-the-70th-cannes-film-festival-held-a-business-lunch-meet-ukrainian-producers/</t>
  </si>
  <si>
    <t>Статья должна быть положительная и уникальная про &amp;quot;Интернет-магазин контактных линз Linza Bar&amp;quot;, приведены преимущества работы с компанией linza.bar. Разместить ссылку на страницу http://linza.bar с анкором &amp;quot;контактные линзы интернет магазин&amp;quot;
В середине статьи сделать заголовок (тегом h2 или h3) с употреблением в нем ключевых слов &amp;#171;контактные линзы&amp;#187; или &amp;#171;линзы для глаз&amp;#187;
Проверяется наличие ссылки: http://linza.bar
с текстом (анкором): контактные линзы интернет магазин
Длина поста: до 1 500</t>
  </si>
  <si>
    <t>2018-01-11T17:13:57</t>
  </si>
  <si>
    <t>2018-01-11T21:26:55</t>
  </si>
  <si>
    <t>2018-01-18T21:26:55</t>
  </si>
  <si>
    <t>&lt;a href="https://proizd.ua/ua" title="квитки на поїзд"&gt;квитки на поїзд&lt;/a&gt;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</si>
  <si>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</si>
  <si>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2018-01-11T13:39:57</t>
  </si>
  <si>
    <t>2018-01-11T16:05:02</t>
  </si>
  <si>
    <t>2018-01-19T13:34:22</t>
  </si>
  <si>
    <t>https://proizd.ua/</t>
  </si>
  <si>
    <t>На проверке</t>
  </si>
  <si>
    <t>&lt;a href="https://proizd.ua/ua" title="залізничні квитки онлайн"&gt;залізничні квитки онлайн&lt;/a&gt;</t>
  </si>
  <si>
    <t>2018-01-11T13:39:58</t>
  </si>
  <si>
    <t>2018-01-11T16:04:57</t>
  </si>
  <si>
    <t>2018-01-19T13:34:25</t>
  </si>
  <si>
    <t>Igor Yankovsky Press Release | PressReleasePoint</t>
  </si>
  <si>
    <t>​A HUF 13 Billion Hospital Is to Be Built in Budapest - Tower International</t>
  </si>
  <si>
    <t>budapest property management, budapest property furnishing, budapest property renovations, budapest property lettings, budapest accountancy services, lettings, maintenance, apartments for rent in budapest</t>
  </si>
  <si>
    <t>The Fund Igor Yankovsky and the state of Ukraine on the 70th Cannes film festival held a business lunch &amp;#8220;Meet Ukrainian Producers!&amp;#8221; &amp;#8211; Ukrop News 24</t>
  </si>
  <si>
    <t>business</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</si>
  <si>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</si>
  <si>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</si>
  <si>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https://avoloha.ru/wp-content/uploads/2017/02/%D0%9D%D0%B0%D1%87%D0%B0%D1%82%D1%8C-%D0%BF%D1%83%D1%82%D0%B5%D1%88%D0%B5%D1%81%D1%82%D0%B2%D0%B8%D0%B5-%D0%BF%D0%BE-%D0%95%D0%B2%D1%80%D0%BE%D0%BF%D0%B5.jpg</t>
  </si>
  <si>
    <t>https://euroroaming.ru/wp-content/uploads/2017/03/Traveling-by-car-in-Europe.jpg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</si>
</sst>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M36"/>
  <sheetViews>
    <sheetView topLeftCell="C1" zoomScale="80" zoomScaleNormal="80" workbookViewId="0">
      <selection activeCell="D16" sqref="D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3" ht="16.5" customHeight="1" thickBot="1" x14ac:dyDescent="0.35">
      <c r="A1" s="57" t="str">
        <f xml:space="preserve"> "Авторизация: " &amp; $F$2</f>
        <v>Авторизация: Нанопласт</v>
      </c>
      <c r="B1" s="58"/>
      <c r="C1" s="40"/>
      <c r="D1" s="40"/>
      <c r="E1" s="43" t="s">
        <v>55</v>
      </c>
      <c r="F1" s="43" t="s">
        <v>44</v>
      </c>
    </row>
    <row r="2" spans="1:13" ht="15.6" x14ac:dyDescent="0.3">
      <c r="A2" s="45" t="s">
        <v>4</v>
      </c>
      <c r="B2" s="47" t="b">
        <v>1</v>
      </c>
      <c r="C2" s="40"/>
      <c r="D2" s="40"/>
      <c r="E2" s="50" t="s">
        <v>418</v>
      </c>
      <c r="F2" s="44" t="s">
        <v>447</v>
      </c>
    </row>
    <row r="3" spans="1:13" x14ac:dyDescent="0.3">
      <c r="A3" s="45" t="s">
        <v>5</v>
      </c>
      <c r="B3" s="48" t="s">
        <v>516</v>
      </c>
      <c r="C3" s="40"/>
      <c r="D3" s="40"/>
      <c r="E3" s="40"/>
      <c r="F3" s="40"/>
    </row>
    <row r="4" spans="1:13" ht="15" thickBot="1" x14ac:dyDescent="0.35">
      <c r="A4" s="46" t="s">
        <v>104</v>
      </c>
      <c r="B4" s="49">
        <v>43122.534722222219</v>
      </c>
      <c r="C4" s="41"/>
      <c r="D4" s="40"/>
      <c r="E4" s="40"/>
      <c r="F4" s="40"/>
    </row>
    <row r="5" spans="1:13" x14ac:dyDescent="0.3">
      <c r="A5" s="40"/>
      <c r="B5" s="40"/>
      <c r="C5" s="42"/>
      <c r="D5" s="40"/>
      <c r="E5" s="40"/>
      <c r="F5" s="40"/>
    </row>
    <row r="6" spans="1:13" x14ac:dyDescent="0.3">
      <c r="E6" s="40"/>
    </row>
    <row r="7" spans="1:13" x14ac:dyDescent="0.3">
      <c r="A7" s="2" t="s">
        <v>6</v>
      </c>
      <c r="B7" s="1">
        <v>28573133</v>
      </c>
      <c r="C7" s="1">
        <v>28573144</v>
      </c>
      <c r="D7" s="1">
        <v>28573135</v>
      </c>
      <c r="E7" s="1">
        <v>28575939</v>
      </c>
      <c r="F7" s="1">
        <v>28575686</v>
      </c>
      <c r="G7" s="1">
        <v>28575687</v>
      </c>
      <c r="H7"/>
      <c r="I7"/>
      <c r="J7"/>
      <c r="K7"/>
      <c r="L7"/>
      <c r="M7"/>
    </row>
    <row r="8" spans="1:13" x14ac:dyDescent="0.3">
      <c r="A8" s="2" t="s">
        <v>7</v>
      </c>
      <c r="B8" s="1" t="s">
        <v>419</v>
      </c>
      <c r="C8" s="1" t="s">
        <v>419</v>
      </c>
      <c r="D8" s="1" t="s">
        <v>419</v>
      </c>
      <c r="E8" s="1" t="s">
        <v>454</v>
      </c>
      <c r="F8" s="1" t="s">
        <v>419</v>
      </c>
      <c r="G8" s="1" t="s">
        <v>419</v>
      </c>
      <c r="H8"/>
      <c r="I8"/>
      <c r="J8"/>
      <c r="K8"/>
      <c r="L8"/>
      <c r="M8"/>
    </row>
    <row r="9" spans="1:13" x14ac:dyDescent="0.3">
      <c r="A9" s="2" t="s">
        <v>8</v>
      </c>
      <c r="B9" s="1" t="s">
        <v>517</v>
      </c>
      <c r="C9" s="1" t="s">
        <v>521</v>
      </c>
      <c r="D9" s="1" t="s">
        <v>525</v>
      </c>
      <c r="E9" s="1" t="s">
        <v>529</v>
      </c>
      <c r="F9" s="1" t="s">
        <v>533</v>
      </c>
      <c r="G9" s="1" t="s">
        <v>540</v>
      </c>
      <c r="H9"/>
      <c r="I9"/>
      <c r="J9"/>
      <c r="K9"/>
      <c r="L9"/>
      <c r="M9"/>
    </row>
    <row r="10" spans="1:13" x14ac:dyDescent="0.3">
      <c r="A10" s="2" t="s">
        <v>9</v>
      </c>
      <c r="B10" s="1" t="s">
        <v>448</v>
      </c>
      <c r="C10" s="1" t="s">
        <v>448</v>
      </c>
      <c r="D10" s="1" t="s">
        <v>448</v>
      </c>
      <c r="E10" s="1"/>
      <c r="F10" s="1" t="s">
        <v>534</v>
      </c>
      <c r="G10" s="1" t="s">
        <v>534</v>
      </c>
      <c r="H10"/>
      <c r="I10"/>
      <c r="J10"/>
      <c r="K10"/>
      <c r="L10"/>
      <c r="M10"/>
    </row>
    <row r="11" spans="1:13" x14ac:dyDescent="0.3">
      <c r="A11" s="2" t="s">
        <v>10</v>
      </c>
      <c r="B11" s="1" t="s">
        <v>391</v>
      </c>
      <c r="C11" s="1" t="s">
        <v>400</v>
      </c>
      <c r="D11" s="1" t="s">
        <v>398</v>
      </c>
      <c r="E11" s="1" t="s">
        <v>455</v>
      </c>
      <c r="F11" s="1" t="s">
        <v>453</v>
      </c>
      <c r="G11" s="1" t="s">
        <v>452</v>
      </c>
      <c r="H11"/>
      <c r="I11"/>
      <c r="J11"/>
      <c r="K11"/>
      <c r="L11"/>
      <c r="M11"/>
    </row>
    <row r="12" spans="1:13" x14ac:dyDescent="0.3">
      <c r="A12" s="2" t="s">
        <v>11</v>
      </c>
      <c r="B12" s="1"/>
      <c r="C12" s="1"/>
      <c r="D12" s="1"/>
      <c r="E12" s="1"/>
      <c r="F12" s="1" t="s">
        <v>467</v>
      </c>
      <c r="G12" s="1" t="s">
        <v>466</v>
      </c>
      <c r="H12"/>
      <c r="I12"/>
      <c r="J12"/>
      <c r="K12"/>
      <c r="L12"/>
      <c r="M12"/>
    </row>
    <row r="13" spans="1:13" x14ac:dyDescent="0.3">
      <c r="A13" s="2" t="s">
        <v>12</v>
      </c>
      <c r="B13" s="1">
        <v>50</v>
      </c>
      <c r="C13" s="1">
        <v>50</v>
      </c>
      <c r="D13" s="1">
        <v>50</v>
      </c>
      <c r="E13" s="1">
        <v>100</v>
      </c>
      <c r="F13" s="1">
        <v>50</v>
      </c>
      <c r="G13" s="1">
        <v>50</v>
      </c>
      <c r="H13"/>
      <c r="I13"/>
      <c r="J13"/>
      <c r="K13"/>
      <c r="L13"/>
      <c r="M13"/>
    </row>
    <row r="14" spans="1:13" x14ac:dyDescent="0.3">
      <c r="A14" s="2" t="s">
        <v>13</v>
      </c>
      <c r="B14" s="1" t="s">
        <v>449</v>
      </c>
      <c r="C14" s="1" t="s">
        <v>450</v>
      </c>
      <c r="D14" s="1" t="s">
        <v>451</v>
      </c>
      <c r="E14" s="1" t="s">
        <v>530</v>
      </c>
      <c r="F14" s="1" t="s">
        <v>535</v>
      </c>
      <c r="G14" s="1" t="s">
        <v>541</v>
      </c>
      <c r="H14"/>
      <c r="I14"/>
      <c r="J14"/>
      <c r="K14"/>
      <c r="L14"/>
      <c r="M14"/>
    </row>
    <row r="15" spans="1:13" x14ac:dyDescent="0.3">
      <c r="A15" s="2" t="s">
        <v>14</v>
      </c>
      <c r="B15" s="1" t="s">
        <v>518</v>
      </c>
      <c r="C15" s="1" t="s">
        <v>522</v>
      </c>
      <c r="D15" s="1" t="s">
        <v>526</v>
      </c>
      <c r="E15" s="1" t="s">
        <v>531</v>
      </c>
      <c r="F15" s="1" t="s">
        <v>536</v>
      </c>
      <c r="G15" s="1" t="s">
        <v>542</v>
      </c>
      <c r="H15"/>
      <c r="I15"/>
      <c r="J15"/>
      <c r="K15"/>
      <c r="L15"/>
      <c r="M15"/>
    </row>
    <row r="16" spans="1:13" x14ac:dyDescent="0.3">
      <c r="A16" s="2" t="s">
        <v>15</v>
      </c>
      <c r="B16" s="1"/>
      <c r="C16" s="1"/>
      <c r="D16" s="1"/>
      <c r="E16" s="1"/>
      <c r="F16" s="1"/>
      <c r="G16" s="1"/>
      <c r="H16"/>
      <c r="I16"/>
      <c r="J16"/>
      <c r="K16"/>
      <c r="L16"/>
      <c r="M16"/>
    </row>
    <row r="17" spans="1:13" x14ac:dyDescent="0.3">
      <c r="A17" s="2" t="s">
        <v>16</v>
      </c>
      <c r="B17" s="1"/>
      <c r="C17" s="1"/>
      <c r="D17" s="1"/>
      <c r="E17" s="1"/>
      <c r="F17" s="1"/>
      <c r="G17" s="1"/>
      <c r="H17"/>
      <c r="I17"/>
      <c r="J17"/>
      <c r="K17"/>
      <c r="L17"/>
      <c r="M17"/>
    </row>
    <row r="18" spans="1:13" x14ac:dyDescent="0.3">
      <c r="A18" s="2" t="s">
        <v>17</v>
      </c>
      <c r="B18" s="1"/>
      <c r="C18" s="1"/>
      <c r="D18" s="1"/>
      <c r="E18" s="1"/>
      <c r="F18" s="1"/>
      <c r="G18" s="1"/>
      <c r="H18"/>
      <c r="I18"/>
      <c r="J18"/>
      <c r="K18"/>
      <c r="L18"/>
      <c r="M18"/>
    </row>
    <row r="19" spans="1:13" x14ac:dyDescent="0.3">
      <c r="A19" s="2" t="s">
        <v>18</v>
      </c>
      <c r="B19" s="1">
        <v>0</v>
      </c>
      <c r="C19" s="1">
        <v>0</v>
      </c>
      <c r="D19" s="1">
        <v>0</v>
      </c>
      <c r="E19" s="1">
        <v>0</v>
      </c>
      <c r="F19" s="1">
        <v>1</v>
      </c>
      <c r="G19" s="1">
        <v>1</v>
      </c>
      <c r="H19"/>
      <c r="I19"/>
      <c r="J19"/>
      <c r="K19"/>
      <c r="L19"/>
      <c r="M19"/>
    </row>
    <row r="20" spans="1:13" x14ac:dyDescent="0.3">
      <c r="A20" s="2" t="s">
        <v>19</v>
      </c>
      <c r="B20" s="1">
        <v>0</v>
      </c>
      <c r="C20" s="1">
        <v>0</v>
      </c>
      <c r="D20" s="1">
        <v>0</v>
      </c>
      <c r="E20" s="1">
        <v>0</v>
      </c>
      <c r="F20" s="1">
        <v>0</v>
      </c>
      <c r="G20" s="1">
        <v>0</v>
      </c>
      <c r="H20"/>
      <c r="I20"/>
      <c r="J20"/>
      <c r="K20"/>
      <c r="L20"/>
      <c r="M20"/>
    </row>
    <row r="21" spans="1:13" x14ac:dyDescent="0.3">
      <c r="A21" s="2" t="s">
        <v>20</v>
      </c>
      <c r="B21" s="1" t="s">
        <v>519</v>
      </c>
      <c r="C21" s="1" t="s">
        <v>523</v>
      </c>
      <c r="D21" s="1" t="s">
        <v>527</v>
      </c>
      <c r="E21" s="1" t="s">
        <v>532</v>
      </c>
      <c r="F21" s="1" t="s">
        <v>537</v>
      </c>
      <c r="G21" s="1" t="s">
        <v>543</v>
      </c>
      <c r="H21"/>
      <c r="I21"/>
      <c r="J21"/>
      <c r="K21"/>
      <c r="L21"/>
      <c r="M21"/>
    </row>
    <row r="22" spans="1:13" x14ac:dyDescent="0.3">
      <c r="A22" s="2" t="s">
        <v>21</v>
      </c>
      <c r="B22" s="1" t="b">
        <v>0</v>
      </c>
      <c r="C22" s="1" t="b">
        <v>0</v>
      </c>
      <c r="D22" s="1" t="b">
        <v>0</v>
      </c>
      <c r="E22" s="1" t="b">
        <v>0</v>
      </c>
      <c r="F22" s="1" t="b">
        <v>0</v>
      </c>
      <c r="G22" s="1" t="b">
        <v>0</v>
      </c>
      <c r="H22"/>
      <c r="I22"/>
      <c r="J22"/>
      <c r="K22"/>
      <c r="L22"/>
      <c r="M22"/>
    </row>
    <row r="23" spans="1:13" x14ac:dyDescent="0.3">
      <c r="A23" s="2" t="s">
        <v>22</v>
      </c>
      <c r="B23" s="1"/>
      <c r="C23" s="1"/>
      <c r="D23" s="1"/>
      <c r="E23" s="1"/>
      <c r="F23" s="1"/>
      <c r="G23" s="1"/>
      <c r="H23"/>
      <c r="I23"/>
      <c r="J23"/>
      <c r="K23"/>
      <c r="L23"/>
      <c r="M23"/>
    </row>
    <row r="24" spans="1:13" x14ac:dyDescent="0.3">
      <c r="A24" s="2" t="s">
        <v>0</v>
      </c>
      <c r="B24" s="1" t="s">
        <v>520</v>
      </c>
      <c r="C24" s="1" t="s">
        <v>524</v>
      </c>
      <c r="D24" s="1" t="s">
        <v>528</v>
      </c>
      <c r="E24" s="1" t="s">
        <v>456</v>
      </c>
      <c r="F24" s="1" t="s">
        <v>538</v>
      </c>
      <c r="G24" s="1" t="s">
        <v>538</v>
      </c>
      <c r="H24"/>
      <c r="I24"/>
      <c r="J24"/>
      <c r="K24"/>
      <c r="L24"/>
      <c r="M24"/>
    </row>
    <row r="25" spans="1:13" x14ac:dyDescent="0.3">
      <c r="A25" s="32" t="s">
        <v>1</v>
      </c>
      <c r="B25" t="s">
        <v>457</v>
      </c>
      <c r="C25" t="s">
        <v>457</v>
      </c>
      <c r="D25" t="s">
        <v>457</v>
      </c>
      <c r="E25" t="s">
        <v>457</v>
      </c>
      <c r="F25" t="s">
        <v>375</v>
      </c>
      <c r="G25" t="s">
        <v>375</v>
      </c>
      <c r="H25"/>
      <c r="I25"/>
      <c r="J25"/>
      <c r="K25"/>
      <c r="L25"/>
      <c r="M25"/>
    </row>
    <row r="26" spans="1:13" x14ac:dyDescent="0.3">
      <c r="A26" s="3" t="s">
        <v>31</v>
      </c>
      <c r="B26" t="s">
        <v>517</v>
      </c>
      <c r="C26" t="s">
        <v>521</v>
      </c>
      <c r="D26" t="s">
        <v>525</v>
      </c>
      <c r="E26" t="s">
        <v>459</v>
      </c>
      <c r="F26" t="s">
        <v>533</v>
      </c>
      <c r="G26" t="s">
        <v>540</v>
      </c>
      <c r="H26"/>
      <c r="I26"/>
      <c r="J26"/>
      <c r="K26"/>
      <c r="L26"/>
      <c r="M26"/>
    </row>
    <row r="27" spans="1:13" x14ac:dyDescent="0.3">
      <c r="A27" s="3" t="s">
        <v>43</v>
      </c>
      <c r="B27" s="1" t="s">
        <v>458</v>
      </c>
      <c r="C27" s="1" t="s">
        <v>458</v>
      </c>
      <c r="D27" s="1" t="s">
        <v>458</v>
      </c>
      <c r="E27" s="1" t="s">
        <v>458</v>
      </c>
      <c r="F27" s="1" t="s">
        <v>551</v>
      </c>
      <c r="G27" s="1" t="s">
        <v>552</v>
      </c>
      <c r="H27"/>
      <c r="I27"/>
      <c r="J27"/>
      <c r="K27"/>
      <c r="L27"/>
      <c r="M27"/>
    </row>
    <row r="28" spans="1:13" x14ac:dyDescent="0.3">
      <c r="A28" s="3" t="s">
        <v>51</v>
      </c>
      <c r="B28" t="s">
        <v>420</v>
      </c>
      <c r="C28" t="s">
        <v>420</v>
      </c>
      <c r="D28" t="s">
        <v>420</v>
      </c>
      <c r="E28" t="s">
        <v>420</v>
      </c>
      <c r="F28" t="s">
        <v>539</v>
      </c>
      <c r="G28" t="s">
        <v>539</v>
      </c>
      <c r="H28"/>
      <c r="I28"/>
      <c r="J28"/>
      <c r="K28"/>
      <c r="L28"/>
      <c r="M28"/>
    </row>
    <row r="29" spans="1:13" x14ac:dyDescent="0.3">
      <c r="A29" s="56" t="s">
        <v>68</v>
      </c>
      <c r="B29" s="1" t="s">
        <v>544</v>
      </c>
      <c r="C29" s="1" t="s">
        <v>545</v>
      </c>
      <c r="D29" s="1" t="s">
        <v>547</v>
      </c>
      <c r="E29"/>
      <c r="F29" s="1" t="s">
        <v>549</v>
      </c>
      <c r="G29" s="1" t="s">
        <v>549</v>
      </c>
      <c r="H29"/>
      <c r="I29"/>
      <c r="J29"/>
      <c r="K29"/>
      <c r="L29"/>
      <c r="M29"/>
    </row>
    <row r="30" spans="1:13" x14ac:dyDescent="0.3">
      <c r="A30" s="33" t="s">
        <v>115</v>
      </c>
      <c r="B30" t="s">
        <v>422</v>
      </c>
      <c r="C30" t="s">
        <v>546</v>
      </c>
      <c r="D30" t="s">
        <v>548</v>
      </c>
      <c r="E30" t="s">
        <v>422</v>
      </c>
      <c r="F30" t="s">
        <v>550</v>
      </c>
      <c r="G30" t="s">
        <v>550</v>
      </c>
      <c r="H30"/>
      <c r="I30"/>
      <c r="J30"/>
      <c r="K30"/>
      <c r="L30"/>
      <c r="M30"/>
    </row>
    <row r="31" spans="1:13" x14ac:dyDescent="0.3">
      <c r="B31" s="28"/>
      <c r="E31" s="28"/>
    </row>
    <row r="34" spans="2:2" x14ac:dyDescent="0.3">
      <c r="B34" s="3"/>
    </row>
    <row r="36" spans="2:2" x14ac:dyDescent="0.3">
      <c r="B36" s="28"/>
    </row>
  </sheetData>
  <mergeCells count="1">
    <mergeCell ref="A1:B1"/>
  </mergeCells>
  <dataValidations count="2">
    <dataValidation type="list" allowBlank="1" showInputMessage="1" showErrorMessage="1" sqref="F2">
      <formula1>"Антон, Максим,Курко,Нанопласт"</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G22" sqref="G22"/>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3" ht="32.25" customHeight="1" thickBot="1" x14ac:dyDescent="0.35">
      <c r="A1" s="60" t="s">
        <v>34</v>
      </c>
      <c r="B1" s="60"/>
      <c r="C1" s="22" t="s">
        <v>40</v>
      </c>
      <c r="D1" s="23"/>
      <c r="L1" s="8" t="s">
        <v>45</v>
      </c>
    </row>
    <row r="2" spans="1:23" s="17" customFormat="1" ht="31.5" customHeight="1" thickBot="1" x14ac:dyDescent="0.35">
      <c r="A2" s="59" t="s">
        <v>483</v>
      </c>
      <c r="B2" s="59"/>
      <c r="C2" s="24">
        <f>COUNTA(A:A)-2</f>
        <v>4</v>
      </c>
      <c r="D2" s="25"/>
      <c r="E2" s="12" t="s">
        <v>47</v>
      </c>
      <c r="F2" s="13" t="s">
        <v>24</v>
      </c>
      <c r="G2" s="14" t="s">
        <v>46</v>
      </c>
      <c r="H2" s="15" t="s">
        <v>25</v>
      </c>
      <c r="I2" s="21" t="s">
        <v>52</v>
      </c>
      <c r="J2" s="16" t="s">
        <v>23</v>
      </c>
      <c r="L2" s="20" t="s">
        <v>2</v>
      </c>
      <c r="N2" s="18" t="s">
        <v>26</v>
      </c>
      <c r="P2" s="19" t="s">
        <v>3</v>
      </c>
      <c r="R2" s="26" t="s">
        <v>32</v>
      </c>
      <c r="T2" s="12" t="s">
        <v>33</v>
      </c>
      <c r="U2" s="34" t="s">
        <v>71</v>
      </c>
      <c r="V2" s="27" t="s">
        <v>39</v>
      </c>
    </row>
    <row r="3" spans="1:23" x14ac:dyDescent="0.3">
      <c r="A3">
        <v>28578137</v>
      </c>
      <c r="E3" t="s">
        <v>437</v>
      </c>
      <c r="G3" s="54">
        <v>43115.052777777775</v>
      </c>
      <c r="I3" t="s">
        <v>500</v>
      </c>
      <c r="L3" s="1" t="s">
        <v>514</v>
      </c>
      <c r="R3" t="s">
        <v>513</v>
      </c>
      <c r="T3" t="s">
        <v>515</v>
      </c>
      <c r="U3" t="s">
        <v>256</v>
      </c>
      <c r="V3" t="b">
        <v>1</v>
      </c>
      <c r="W3" s="5"/>
    </row>
    <row r="4" spans="1:23" x14ac:dyDescent="0.3">
      <c r="A4" t="s">
        <v>501</v>
      </c>
      <c r="F4" s="1" t="s">
        <v>493</v>
      </c>
      <c r="W4" s="5"/>
    </row>
    <row r="5" spans="1:23" x14ac:dyDescent="0.3">
      <c r="A5" t="s">
        <v>502</v>
      </c>
      <c r="F5" s="1" t="s">
        <v>503</v>
      </c>
      <c r="H5" s="1" t="s">
        <v>504</v>
      </c>
      <c r="J5" s="1" t="s">
        <v>505</v>
      </c>
      <c r="L5" s="1" t="s">
        <v>506</v>
      </c>
      <c r="N5" s="1" t="s">
        <v>507</v>
      </c>
      <c r="P5" s="1">
        <v>4.2</v>
      </c>
      <c r="W5" s="5"/>
    </row>
    <row r="6" spans="1:23" x14ac:dyDescent="0.3">
      <c r="A6" t="s">
        <v>508</v>
      </c>
      <c r="F6" s="1" t="s">
        <v>509</v>
      </c>
      <c r="H6" s="1" t="s">
        <v>510</v>
      </c>
      <c r="J6" s="1" t="s">
        <v>511</v>
      </c>
      <c r="L6" s="1" t="s">
        <v>513</v>
      </c>
      <c r="N6" s="1" t="s">
        <v>512</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134"/>
  <sheetViews>
    <sheetView workbookViewId="0">
      <selection activeCell="K15" sqref="K15"/>
    </sheetView>
  </sheetViews>
  <sheetFormatPr defaultRowHeight="14.4" x14ac:dyDescent="0.3"/>
  <sheetData>
    <row r="1" spans="1:5" x14ac:dyDescent="0.3">
      <c r="A1" s="51" t="s">
        <v>156</v>
      </c>
      <c r="B1" s="51" t="s">
        <v>47</v>
      </c>
      <c r="C1" s="51" t="s">
        <v>157</v>
      </c>
      <c r="D1" s="51" t="s">
        <v>52</v>
      </c>
      <c r="E1" s="52" t="s">
        <v>186</v>
      </c>
    </row>
    <row r="2" spans="1:5" x14ac:dyDescent="0.3">
      <c r="A2" s="51">
        <v>28542234</v>
      </c>
      <c r="B2" s="51" t="s">
        <v>147</v>
      </c>
      <c r="C2" s="51"/>
      <c r="D2" s="51" t="s">
        <v>178</v>
      </c>
      <c r="E2" s="40" t="s">
        <v>187</v>
      </c>
    </row>
    <row r="3" spans="1:5" x14ac:dyDescent="0.3">
      <c r="A3" s="51">
        <v>28549279</v>
      </c>
      <c r="B3" s="51" t="s">
        <v>173</v>
      </c>
      <c r="C3" s="51"/>
      <c r="D3" s="51" t="s">
        <v>178</v>
      </c>
      <c r="E3" s="40" t="s">
        <v>187</v>
      </c>
    </row>
    <row r="4" spans="1:5" x14ac:dyDescent="0.3">
      <c r="A4">
        <v>28546343</v>
      </c>
      <c r="B4" t="s">
        <v>144</v>
      </c>
      <c r="D4" s="51" t="s">
        <v>178</v>
      </c>
      <c r="E4" s="6" t="s">
        <v>190</v>
      </c>
    </row>
    <row r="5" spans="1:5" x14ac:dyDescent="0.3">
      <c r="A5" s="51">
        <v>28544868</v>
      </c>
      <c r="B5" s="51" t="s">
        <v>162</v>
      </c>
      <c r="C5" s="51" t="s">
        <v>179</v>
      </c>
      <c r="D5" s="51" t="s">
        <v>184</v>
      </c>
    </row>
    <row r="6" spans="1:5" x14ac:dyDescent="0.3">
      <c r="A6" s="51">
        <v>28546435</v>
      </c>
      <c r="B6" s="51" t="s">
        <v>163</v>
      </c>
      <c r="C6" s="51" t="s">
        <v>183</v>
      </c>
      <c r="D6" s="51" t="s">
        <v>184</v>
      </c>
    </row>
    <row r="7" spans="1:5" x14ac:dyDescent="0.3">
      <c r="A7" s="51">
        <v>28546613</v>
      </c>
      <c r="B7" s="51" t="s">
        <v>164</v>
      </c>
      <c r="C7" s="51" t="s">
        <v>177</v>
      </c>
      <c r="D7" s="51" t="s">
        <v>184</v>
      </c>
    </row>
    <row r="8" spans="1:5" x14ac:dyDescent="0.3">
      <c r="A8">
        <v>28547795</v>
      </c>
      <c r="B8" t="s">
        <v>166</v>
      </c>
      <c r="D8" s="52" t="s">
        <v>178</v>
      </c>
      <c r="E8" t="s">
        <v>185</v>
      </c>
    </row>
    <row r="9" spans="1:5" x14ac:dyDescent="0.3">
      <c r="A9" s="51">
        <v>28549107</v>
      </c>
      <c r="B9" s="51" t="s">
        <v>143</v>
      </c>
      <c r="C9" s="51"/>
      <c r="D9" s="51" t="s">
        <v>178</v>
      </c>
      <c r="E9" t="s">
        <v>187</v>
      </c>
    </row>
    <row r="10" spans="1:5" x14ac:dyDescent="0.3">
      <c r="A10" s="51">
        <v>28549521</v>
      </c>
      <c r="B10" s="51" t="s">
        <v>174</v>
      </c>
      <c r="C10" s="51"/>
      <c r="D10" s="51" t="s">
        <v>178</v>
      </c>
      <c r="E10" s="40" t="s">
        <v>187</v>
      </c>
    </row>
    <row r="11" spans="1:5" x14ac:dyDescent="0.3">
      <c r="A11" s="51">
        <v>28549420</v>
      </c>
      <c r="B11" s="51" t="s">
        <v>175</v>
      </c>
      <c r="C11" s="51" t="s">
        <v>189</v>
      </c>
      <c r="D11" s="51" t="s">
        <v>184</v>
      </c>
    </row>
    <row r="12" spans="1:5" x14ac:dyDescent="0.3">
      <c r="A12" s="51">
        <v>28539436</v>
      </c>
      <c r="B12" s="51" t="s">
        <v>142</v>
      </c>
      <c r="C12" s="51" t="s">
        <v>152</v>
      </c>
      <c r="D12" s="51" t="s">
        <v>191</v>
      </c>
    </row>
    <row r="13" spans="1:5" x14ac:dyDescent="0.3">
      <c r="A13" s="51">
        <v>28546504</v>
      </c>
      <c r="B13" s="51" t="s">
        <v>165</v>
      </c>
      <c r="C13" s="51" t="s">
        <v>192</v>
      </c>
      <c r="D13" s="51" t="s">
        <v>184</v>
      </c>
    </row>
    <row r="14" spans="1:5" x14ac:dyDescent="0.3">
      <c r="A14" s="53">
        <v>28550443</v>
      </c>
      <c r="B14" s="51" t="s">
        <v>195</v>
      </c>
      <c r="C14" s="51" t="s">
        <v>199</v>
      </c>
      <c r="D14" s="51" t="s">
        <v>184</v>
      </c>
    </row>
    <row r="15" spans="1:5" x14ac:dyDescent="0.3">
      <c r="A15" s="53">
        <v>28550474</v>
      </c>
      <c r="B15" t="s">
        <v>196</v>
      </c>
      <c r="C15" t="s">
        <v>200</v>
      </c>
      <c r="D15" s="51" t="s">
        <v>184</v>
      </c>
    </row>
    <row r="16" spans="1:5" x14ac:dyDescent="0.3">
      <c r="A16" s="53">
        <v>28546504</v>
      </c>
      <c r="B16" t="s">
        <v>165</v>
      </c>
      <c r="C16" t="s">
        <v>192</v>
      </c>
      <c r="D16" s="51" t="s">
        <v>191</v>
      </c>
    </row>
    <row r="18" spans="1:5" x14ac:dyDescent="0.3">
      <c r="A18">
        <v>28552804</v>
      </c>
      <c r="B18" t="s">
        <v>203</v>
      </c>
      <c r="C18" t="s">
        <v>207</v>
      </c>
      <c r="D18" t="s">
        <v>184</v>
      </c>
    </row>
    <row r="19" spans="1:5" x14ac:dyDescent="0.3">
      <c r="A19">
        <v>28553902</v>
      </c>
      <c r="B19" t="s">
        <v>164</v>
      </c>
      <c r="C19" t="s">
        <v>208</v>
      </c>
      <c r="D19" s="40" t="s">
        <v>184</v>
      </c>
    </row>
    <row r="20" spans="1:5" x14ac:dyDescent="0.3">
      <c r="A20" s="1">
        <v>28552247</v>
      </c>
      <c r="B20" s="1" t="s">
        <v>143</v>
      </c>
      <c r="D20" s="6" t="s">
        <v>178</v>
      </c>
      <c r="E20" t="s">
        <v>213</v>
      </c>
    </row>
    <row r="21" spans="1:5" x14ac:dyDescent="0.3">
      <c r="A21" s="53">
        <v>28546504</v>
      </c>
      <c r="B21" s="53" t="s">
        <v>165</v>
      </c>
      <c r="D21" s="6" t="s">
        <v>178</v>
      </c>
      <c r="E21" t="s">
        <v>214</v>
      </c>
    </row>
    <row r="22" spans="1:5" x14ac:dyDescent="0.3">
      <c r="A22" s="53">
        <v>28556692</v>
      </c>
      <c r="B22" s="53" t="s">
        <v>209</v>
      </c>
      <c r="D22" s="6" t="s">
        <v>178</v>
      </c>
      <c r="E22" t="s">
        <v>215</v>
      </c>
    </row>
    <row r="23" spans="1:5" x14ac:dyDescent="0.3">
      <c r="A23" s="53">
        <v>28556689</v>
      </c>
      <c r="B23" s="53" t="s">
        <v>144</v>
      </c>
      <c r="D23" s="6" t="s">
        <v>178</v>
      </c>
      <c r="E23" t="s">
        <v>215</v>
      </c>
    </row>
    <row r="24" spans="1:5" x14ac:dyDescent="0.3">
      <c r="A24" s="53">
        <v>28556977</v>
      </c>
      <c r="B24" s="53" t="s">
        <v>210</v>
      </c>
      <c r="D24" s="6" t="s">
        <v>178</v>
      </c>
      <c r="E24" t="s">
        <v>213</v>
      </c>
    </row>
    <row r="26" spans="1:5" x14ac:dyDescent="0.3">
      <c r="A26">
        <v>28560698</v>
      </c>
      <c r="B26" t="s">
        <v>216</v>
      </c>
      <c r="D26" s="6" t="s">
        <v>178</v>
      </c>
      <c r="E26" s="40" t="s">
        <v>213</v>
      </c>
    </row>
    <row r="27" spans="1:5" x14ac:dyDescent="0.3">
      <c r="A27">
        <v>28560696</v>
      </c>
      <c r="B27" t="s">
        <v>144</v>
      </c>
      <c r="C27" t="s">
        <v>219</v>
      </c>
      <c r="D27" s="6" t="s">
        <v>220</v>
      </c>
    </row>
    <row r="28" spans="1:5" x14ac:dyDescent="0.3">
      <c r="A28" s="55">
        <v>28560698</v>
      </c>
      <c r="B28" t="s">
        <v>216</v>
      </c>
      <c r="C28" s="6" t="s">
        <v>220</v>
      </c>
    </row>
    <row r="29" spans="1:5" x14ac:dyDescent="0.3">
      <c r="A29">
        <v>28561581</v>
      </c>
      <c r="B29" t="s">
        <v>221</v>
      </c>
      <c r="C29" s="6" t="s">
        <v>220</v>
      </c>
    </row>
    <row r="30" spans="1:5" x14ac:dyDescent="0.3">
      <c r="A30">
        <v>28561582</v>
      </c>
      <c r="B30" t="s">
        <v>166</v>
      </c>
      <c r="C30" s="6" t="s">
        <v>178</v>
      </c>
      <c r="D30" t="s">
        <v>257</v>
      </c>
    </row>
    <row r="31" spans="1:5" x14ac:dyDescent="0.3">
      <c r="A31">
        <v>28546504</v>
      </c>
      <c r="B31" t="s">
        <v>165</v>
      </c>
      <c r="C31" s="6" t="s">
        <v>258</v>
      </c>
    </row>
    <row r="33" spans="1:5" x14ac:dyDescent="0.3">
      <c r="A33">
        <v>28561582</v>
      </c>
      <c r="B33" t="s">
        <v>166</v>
      </c>
      <c r="D33" s="6" t="s">
        <v>178</v>
      </c>
      <c r="E33" t="s">
        <v>224</v>
      </c>
    </row>
    <row r="34" spans="1:5" x14ac:dyDescent="0.3">
      <c r="A34">
        <v>28562075</v>
      </c>
      <c r="B34" t="s">
        <v>259</v>
      </c>
      <c r="C34" t="s">
        <v>262</v>
      </c>
      <c r="D34" s="6" t="s">
        <v>220</v>
      </c>
    </row>
    <row r="35" spans="1:5" x14ac:dyDescent="0.3">
      <c r="A35" t="s">
        <v>263</v>
      </c>
      <c r="B35" t="s">
        <v>165</v>
      </c>
      <c r="D35" s="6" t="s">
        <v>264</v>
      </c>
    </row>
    <row r="36" spans="1:5" x14ac:dyDescent="0.3">
      <c r="A36">
        <v>28563723</v>
      </c>
      <c r="B36" t="s">
        <v>173</v>
      </c>
      <c r="C36" t="s">
        <v>288</v>
      </c>
      <c r="D36" s="6" t="s">
        <v>220</v>
      </c>
    </row>
    <row r="37" spans="1:5" x14ac:dyDescent="0.3">
      <c r="A37">
        <v>28563725</v>
      </c>
      <c r="B37" t="s">
        <v>174</v>
      </c>
      <c r="C37" t="s">
        <v>289</v>
      </c>
      <c r="D37" s="6" t="s">
        <v>220</v>
      </c>
    </row>
    <row r="38" spans="1:5" x14ac:dyDescent="0.3">
      <c r="A38">
        <v>28563671</v>
      </c>
      <c r="B38" t="s">
        <v>285</v>
      </c>
      <c r="C38" t="s">
        <v>290</v>
      </c>
      <c r="D38" s="6" t="s">
        <v>220</v>
      </c>
    </row>
    <row r="39" spans="1:5" x14ac:dyDescent="0.3">
      <c r="A39">
        <v>28563721</v>
      </c>
      <c r="B39" t="s">
        <v>286</v>
      </c>
      <c r="C39" t="s">
        <v>291</v>
      </c>
      <c r="D39" s="6" t="s">
        <v>220</v>
      </c>
    </row>
    <row r="40" spans="1:5" x14ac:dyDescent="0.3">
      <c r="A40">
        <v>28562625</v>
      </c>
      <c r="B40" t="s">
        <v>287</v>
      </c>
      <c r="D40" s="6" t="s">
        <v>293</v>
      </c>
      <c r="E40" t="s">
        <v>187</v>
      </c>
    </row>
    <row r="42" spans="1:5" x14ac:dyDescent="0.3">
      <c r="A42">
        <v>28567486</v>
      </c>
      <c r="B42" t="s">
        <v>296</v>
      </c>
      <c r="C42" t="s">
        <v>297</v>
      </c>
      <c r="D42" s="6" t="s">
        <v>220</v>
      </c>
    </row>
    <row r="43" spans="1:5" x14ac:dyDescent="0.3">
      <c r="A43">
        <v>28562625</v>
      </c>
      <c r="B43" t="s">
        <v>287</v>
      </c>
      <c r="D43" s="6" t="s">
        <v>178</v>
      </c>
      <c r="E43" t="s">
        <v>298</v>
      </c>
    </row>
    <row r="44" spans="1:5" x14ac:dyDescent="0.3">
      <c r="A44">
        <v>28563927</v>
      </c>
      <c r="B44" t="s">
        <v>175</v>
      </c>
      <c r="D44" s="6" t="s">
        <v>178</v>
      </c>
      <c r="E44" s="40" t="s">
        <v>298</v>
      </c>
    </row>
    <row r="46" spans="1:5" x14ac:dyDescent="0.3">
      <c r="A46">
        <v>28572285</v>
      </c>
      <c r="B46" t="s">
        <v>216</v>
      </c>
      <c r="C46" t="s">
        <v>364</v>
      </c>
      <c r="D46" s="6" t="s">
        <v>220</v>
      </c>
    </row>
    <row r="47" spans="1:5" x14ac:dyDescent="0.3">
      <c r="A47">
        <v>28572434</v>
      </c>
      <c r="B47" t="s">
        <v>299</v>
      </c>
      <c r="C47" t="s">
        <v>365</v>
      </c>
      <c r="D47" s="6" t="s">
        <v>220</v>
      </c>
    </row>
    <row r="48" spans="1:5" x14ac:dyDescent="0.3">
      <c r="A48">
        <v>28572147</v>
      </c>
      <c r="B48" t="s">
        <v>221</v>
      </c>
      <c r="C48" t="s">
        <v>367</v>
      </c>
      <c r="D48" s="6" t="s">
        <v>220</v>
      </c>
    </row>
    <row r="50" spans="1:5" x14ac:dyDescent="0.3">
      <c r="A50">
        <v>28567399</v>
      </c>
      <c r="B50" t="s">
        <v>368</v>
      </c>
      <c r="C50" t="s">
        <v>383</v>
      </c>
      <c r="D50" s="6" t="s">
        <v>220</v>
      </c>
    </row>
    <row r="51" spans="1:5" x14ac:dyDescent="0.3">
      <c r="A51">
        <v>28567404</v>
      </c>
      <c r="B51" t="s">
        <v>370</v>
      </c>
      <c r="C51" t="s">
        <v>384</v>
      </c>
      <c r="D51" s="6" t="s">
        <v>220</v>
      </c>
    </row>
    <row r="52" spans="1:5" x14ac:dyDescent="0.3">
      <c r="A52">
        <v>28567402</v>
      </c>
      <c r="B52" t="s">
        <v>371</v>
      </c>
      <c r="C52" t="s">
        <v>385</v>
      </c>
      <c r="D52" s="6" t="s">
        <v>220</v>
      </c>
    </row>
    <row r="53" spans="1:5" x14ac:dyDescent="0.3">
      <c r="A53">
        <v>28570198</v>
      </c>
      <c r="B53" t="s">
        <v>373</v>
      </c>
      <c r="C53" t="s">
        <v>386</v>
      </c>
      <c r="D53" s="6" t="s">
        <v>220</v>
      </c>
    </row>
    <row r="54" spans="1:5" x14ac:dyDescent="0.3">
      <c r="A54">
        <v>28570195</v>
      </c>
      <c r="B54" t="s">
        <v>373</v>
      </c>
      <c r="C54" t="s">
        <v>387</v>
      </c>
      <c r="D54" s="6" t="s">
        <v>220</v>
      </c>
    </row>
    <row r="55" spans="1:5" x14ac:dyDescent="0.3">
      <c r="A55">
        <v>28568341</v>
      </c>
      <c r="B55" t="s">
        <v>372</v>
      </c>
      <c r="D55" s="6" t="s">
        <v>178</v>
      </c>
      <c r="E55" t="s">
        <v>298</v>
      </c>
    </row>
    <row r="56" spans="1:5" x14ac:dyDescent="0.3">
      <c r="A56">
        <v>28571296</v>
      </c>
      <c r="B56" t="s">
        <v>373</v>
      </c>
      <c r="C56" t="s">
        <v>388</v>
      </c>
      <c r="D56" s="6" t="s">
        <v>220</v>
      </c>
    </row>
    <row r="57" spans="1:5" x14ac:dyDescent="0.3">
      <c r="A57">
        <v>28573145</v>
      </c>
      <c r="B57" t="s">
        <v>369</v>
      </c>
      <c r="E57" t="s">
        <v>389</v>
      </c>
    </row>
    <row r="58" spans="1:5" x14ac:dyDescent="0.3">
      <c r="A58" s="1">
        <v>28573132</v>
      </c>
      <c r="B58" s="1" t="s">
        <v>175</v>
      </c>
      <c r="D58" s="6" t="s">
        <v>178</v>
      </c>
      <c r="E58" s="40" t="s">
        <v>389</v>
      </c>
    </row>
    <row r="59" spans="1:5" x14ac:dyDescent="0.3">
      <c r="A59" s="1">
        <v>28573136</v>
      </c>
      <c r="B59" s="1" t="s">
        <v>143</v>
      </c>
      <c r="D59" s="6" t="s">
        <v>178</v>
      </c>
      <c r="E59" s="40" t="s">
        <v>389</v>
      </c>
    </row>
    <row r="60" spans="1:5" x14ac:dyDescent="0.3">
      <c r="A60" s="1">
        <v>28573137</v>
      </c>
      <c r="B60" s="1" t="s">
        <v>286</v>
      </c>
      <c r="D60" s="6" t="s">
        <v>178</v>
      </c>
      <c r="E60" s="40" t="s">
        <v>389</v>
      </c>
    </row>
    <row r="61" spans="1:5" x14ac:dyDescent="0.3">
      <c r="A61" s="1">
        <v>28573142</v>
      </c>
      <c r="B61" s="1" t="s">
        <v>390</v>
      </c>
      <c r="D61" s="6" t="s">
        <v>178</v>
      </c>
      <c r="E61" s="40" t="s">
        <v>389</v>
      </c>
    </row>
    <row r="62" spans="1:5" x14ac:dyDescent="0.3">
      <c r="A62" s="1">
        <v>28573139</v>
      </c>
      <c r="B62" s="1" t="s">
        <v>142</v>
      </c>
      <c r="D62" s="6" t="s">
        <v>178</v>
      </c>
      <c r="E62" s="40" t="s">
        <v>389</v>
      </c>
    </row>
    <row r="63" spans="1:5" x14ac:dyDescent="0.3">
      <c r="A63">
        <v>28567388</v>
      </c>
      <c r="B63" t="s">
        <v>391</v>
      </c>
      <c r="C63" t="s">
        <v>407</v>
      </c>
      <c r="D63" s="6" t="s">
        <v>220</v>
      </c>
    </row>
    <row r="64" spans="1:5" x14ac:dyDescent="0.3">
      <c r="A64">
        <v>28568419</v>
      </c>
      <c r="B64" t="s">
        <v>392</v>
      </c>
      <c r="C64" t="s">
        <v>408</v>
      </c>
      <c r="D64" s="6" t="s">
        <v>220</v>
      </c>
    </row>
    <row r="65" spans="1:5" x14ac:dyDescent="0.3">
      <c r="A65">
        <v>28570174</v>
      </c>
      <c r="B65" t="s">
        <v>393</v>
      </c>
      <c r="C65" t="s">
        <v>409</v>
      </c>
      <c r="D65" s="6" t="s">
        <v>220</v>
      </c>
    </row>
    <row r="66" spans="1:5" x14ac:dyDescent="0.3">
      <c r="A66">
        <v>28570566</v>
      </c>
      <c r="B66" t="s">
        <v>394</v>
      </c>
      <c r="C66" t="s">
        <v>410</v>
      </c>
      <c r="D66" s="6" t="s">
        <v>220</v>
      </c>
    </row>
    <row r="67" spans="1:5" x14ac:dyDescent="0.3">
      <c r="A67">
        <v>28570199</v>
      </c>
      <c r="B67" t="s">
        <v>395</v>
      </c>
      <c r="C67" t="s">
        <v>411</v>
      </c>
      <c r="D67" s="6" t="s">
        <v>220</v>
      </c>
    </row>
    <row r="68" spans="1:5" x14ac:dyDescent="0.3">
      <c r="A68">
        <v>28570196</v>
      </c>
      <c r="B68" t="s">
        <v>395</v>
      </c>
      <c r="C68" t="s">
        <v>412</v>
      </c>
      <c r="D68" s="6" t="s">
        <v>220</v>
      </c>
    </row>
    <row r="69" spans="1:5" x14ac:dyDescent="0.3">
      <c r="A69">
        <v>28570211</v>
      </c>
      <c r="B69" t="s">
        <v>396</v>
      </c>
      <c r="C69" t="s">
        <v>413</v>
      </c>
      <c r="D69" s="6" t="s">
        <v>220</v>
      </c>
    </row>
    <row r="70" spans="1:5" x14ac:dyDescent="0.3">
      <c r="A70">
        <v>28570197</v>
      </c>
      <c r="B70" t="s">
        <v>397</v>
      </c>
      <c r="C70" t="s">
        <v>414</v>
      </c>
      <c r="D70" s="6" t="s">
        <v>220</v>
      </c>
    </row>
    <row r="71" spans="1:5" x14ac:dyDescent="0.3">
      <c r="A71">
        <v>28572090</v>
      </c>
      <c r="B71" t="s">
        <v>398</v>
      </c>
      <c r="C71" t="s">
        <v>415</v>
      </c>
      <c r="D71" s="6" t="s">
        <v>220</v>
      </c>
    </row>
    <row r="72" spans="1:5" x14ac:dyDescent="0.3">
      <c r="A72">
        <v>28573146</v>
      </c>
      <c r="B72" t="s">
        <v>399</v>
      </c>
      <c r="D72" s="6" t="s">
        <v>178</v>
      </c>
      <c r="E72" s="40" t="s">
        <v>389</v>
      </c>
    </row>
    <row r="73" spans="1:5" x14ac:dyDescent="0.3">
      <c r="A73">
        <v>28573141</v>
      </c>
      <c r="B73" t="s">
        <v>394</v>
      </c>
      <c r="D73" s="6" t="s">
        <v>178</v>
      </c>
      <c r="E73" s="40" t="s">
        <v>389</v>
      </c>
    </row>
    <row r="74" spans="1:5" x14ac:dyDescent="0.3">
      <c r="A74">
        <v>28573133</v>
      </c>
      <c r="B74" t="s">
        <v>391</v>
      </c>
      <c r="D74" s="6" t="s">
        <v>178</v>
      </c>
      <c r="E74" s="40" t="s">
        <v>389</v>
      </c>
    </row>
    <row r="75" spans="1:5" x14ac:dyDescent="0.3">
      <c r="A75">
        <v>28573144</v>
      </c>
      <c r="B75" t="s">
        <v>400</v>
      </c>
      <c r="D75" s="6" t="s">
        <v>178</v>
      </c>
      <c r="E75" s="40" t="s">
        <v>389</v>
      </c>
    </row>
    <row r="76" spans="1:5" x14ac:dyDescent="0.3">
      <c r="A76">
        <v>28573135</v>
      </c>
      <c r="B76" t="s">
        <v>398</v>
      </c>
      <c r="D76" s="6" t="s">
        <v>178</v>
      </c>
      <c r="E76" s="40" t="s">
        <v>389</v>
      </c>
    </row>
    <row r="77" spans="1:5" x14ac:dyDescent="0.3">
      <c r="A77">
        <v>28567394</v>
      </c>
      <c r="B77" t="s">
        <v>396</v>
      </c>
      <c r="D77" s="6" t="s">
        <v>258</v>
      </c>
    </row>
    <row r="78" spans="1:5" x14ac:dyDescent="0.3">
      <c r="A78" s="53">
        <v>28567393</v>
      </c>
      <c r="B78" s="53" t="s">
        <v>401</v>
      </c>
      <c r="D78" s="6" t="s">
        <v>258</v>
      </c>
    </row>
    <row r="79" spans="1:5" x14ac:dyDescent="0.3">
      <c r="A79" s="53">
        <v>28567390</v>
      </c>
      <c r="B79" s="53" t="s">
        <v>395</v>
      </c>
      <c r="D79" s="6" t="s">
        <v>258</v>
      </c>
    </row>
    <row r="80" spans="1:5" x14ac:dyDescent="0.3">
      <c r="A80" s="53">
        <v>28567396</v>
      </c>
      <c r="B80" s="53" t="s">
        <v>402</v>
      </c>
      <c r="D80" s="6" t="s">
        <v>258</v>
      </c>
    </row>
    <row r="81" spans="1:5" x14ac:dyDescent="0.3">
      <c r="A81" s="53">
        <v>28567401</v>
      </c>
      <c r="B81" s="53" t="s">
        <v>393</v>
      </c>
      <c r="D81" s="6" t="s">
        <v>258</v>
      </c>
    </row>
    <row r="82" spans="1:5" x14ac:dyDescent="0.3">
      <c r="A82" s="53">
        <v>28567400</v>
      </c>
      <c r="B82" s="53" t="s">
        <v>394</v>
      </c>
      <c r="D82" s="6" t="s">
        <v>258</v>
      </c>
    </row>
    <row r="84" spans="1:5" x14ac:dyDescent="0.3">
      <c r="A84">
        <v>28573902</v>
      </c>
      <c r="B84" t="s">
        <v>401</v>
      </c>
      <c r="C84" t="s">
        <v>417</v>
      </c>
      <c r="D84" t="s">
        <v>184</v>
      </c>
    </row>
    <row r="86" spans="1:5" x14ac:dyDescent="0.3">
      <c r="A86" t="s">
        <v>435</v>
      </c>
    </row>
    <row r="87" spans="1:5" x14ac:dyDescent="0.3">
      <c r="A87">
        <v>28575643</v>
      </c>
      <c r="B87" t="s">
        <v>421</v>
      </c>
      <c r="C87" t="s">
        <v>428</v>
      </c>
      <c r="D87" s="40" t="s">
        <v>184</v>
      </c>
    </row>
    <row r="88" spans="1:5" x14ac:dyDescent="0.3">
      <c r="A88">
        <v>28575762</v>
      </c>
      <c r="B88" t="s">
        <v>203</v>
      </c>
      <c r="C88" t="s">
        <v>429</v>
      </c>
      <c r="D88" s="40" t="s">
        <v>184</v>
      </c>
    </row>
    <row r="89" spans="1:5" x14ac:dyDescent="0.3">
      <c r="A89">
        <v>28575760</v>
      </c>
      <c r="B89" t="s">
        <v>144</v>
      </c>
      <c r="C89" t="s">
        <v>430</v>
      </c>
      <c r="D89" s="40" t="s">
        <v>184</v>
      </c>
    </row>
    <row r="90" spans="1:5" x14ac:dyDescent="0.3">
      <c r="A90">
        <v>28576107</v>
      </c>
      <c r="B90" t="s">
        <v>144</v>
      </c>
      <c r="C90" t="s">
        <v>431</v>
      </c>
      <c r="D90" s="40" t="s">
        <v>184</v>
      </c>
    </row>
    <row r="91" spans="1:5" x14ac:dyDescent="0.3">
      <c r="A91">
        <v>28576095</v>
      </c>
      <c r="B91" t="s">
        <v>259</v>
      </c>
      <c r="C91" t="s">
        <v>432</v>
      </c>
      <c r="D91" s="40" t="s">
        <v>184</v>
      </c>
    </row>
    <row r="92" spans="1:5" x14ac:dyDescent="0.3">
      <c r="A92">
        <v>28576108</v>
      </c>
      <c r="B92" t="s">
        <v>164</v>
      </c>
      <c r="C92" t="s">
        <v>433</v>
      </c>
      <c r="D92" s="40" t="s">
        <v>184</v>
      </c>
    </row>
    <row r="93" spans="1:5" x14ac:dyDescent="0.3">
      <c r="A93">
        <v>28576070</v>
      </c>
      <c r="B93" t="s">
        <v>196</v>
      </c>
      <c r="C93" t="s">
        <v>434</v>
      </c>
      <c r="D93" s="40" t="s">
        <v>184</v>
      </c>
    </row>
    <row r="95" spans="1:5" x14ac:dyDescent="0.3">
      <c r="A95" t="s">
        <v>436</v>
      </c>
    </row>
    <row r="96" spans="1:5" x14ac:dyDescent="0.3">
      <c r="A96" s="1">
        <v>28573145</v>
      </c>
      <c r="B96" t="s">
        <v>369</v>
      </c>
      <c r="D96" t="s">
        <v>178</v>
      </c>
      <c r="E96" t="s">
        <v>443</v>
      </c>
    </row>
    <row r="97" spans="1:5" x14ac:dyDescent="0.3">
      <c r="A97" s="1">
        <v>28567404</v>
      </c>
      <c r="B97" t="s">
        <v>370</v>
      </c>
      <c r="D97" s="40" t="s">
        <v>178</v>
      </c>
      <c r="E97" t="s">
        <v>258</v>
      </c>
    </row>
    <row r="98" spans="1:5" x14ac:dyDescent="0.3">
      <c r="A98" s="1">
        <v>28575518</v>
      </c>
      <c r="B98" t="s">
        <v>437</v>
      </c>
      <c r="C98" t="s">
        <v>441</v>
      </c>
      <c r="D98" t="s">
        <v>220</v>
      </c>
    </row>
    <row r="99" spans="1:5" x14ac:dyDescent="0.3">
      <c r="A99" s="1">
        <v>28576035</v>
      </c>
      <c r="B99" t="s">
        <v>438</v>
      </c>
      <c r="C99" t="s">
        <v>446</v>
      </c>
      <c r="D99" s="40" t="s">
        <v>220</v>
      </c>
    </row>
    <row r="100" spans="1:5" x14ac:dyDescent="0.3">
      <c r="A100" s="1">
        <v>28576094</v>
      </c>
      <c r="B100" t="s">
        <v>371</v>
      </c>
      <c r="C100" t="s">
        <v>442</v>
      </c>
      <c r="D100" s="40" t="s">
        <v>220</v>
      </c>
    </row>
    <row r="102" spans="1:5" x14ac:dyDescent="0.3">
      <c r="A102" t="s">
        <v>447</v>
      </c>
    </row>
    <row r="103" spans="1:5" x14ac:dyDescent="0.3">
      <c r="A103">
        <v>28573133</v>
      </c>
      <c r="B103" t="s">
        <v>391</v>
      </c>
      <c r="D103" s="40" t="s">
        <v>178</v>
      </c>
      <c r="E103" s="40" t="s">
        <v>443</v>
      </c>
    </row>
    <row r="104" spans="1:5" x14ac:dyDescent="0.3">
      <c r="A104">
        <v>28573144</v>
      </c>
      <c r="B104" t="s">
        <v>400</v>
      </c>
      <c r="D104" s="40" t="s">
        <v>178</v>
      </c>
      <c r="E104" s="40" t="s">
        <v>443</v>
      </c>
    </row>
    <row r="105" spans="1:5" x14ac:dyDescent="0.3">
      <c r="A105">
        <v>28573135</v>
      </c>
      <c r="B105" t="s">
        <v>398</v>
      </c>
      <c r="D105" s="40" t="s">
        <v>178</v>
      </c>
      <c r="E105" s="40" t="s">
        <v>443</v>
      </c>
    </row>
    <row r="106" spans="1:5" x14ac:dyDescent="0.3">
      <c r="A106">
        <v>28575263</v>
      </c>
      <c r="B106" t="s">
        <v>397</v>
      </c>
      <c r="C106" t="s">
        <v>464</v>
      </c>
      <c r="D106" s="40" t="s">
        <v>220</v>
      </c>
    </row>
    <row r="107" spans="1:5" x14ac:dyDescent="0.3">
      <c r="A107">
        <v>28575264</v>
      </c>
      <c r="B107" t="s">
        <v>395</v>
      </c>
      <c r="C107" t="s">
        <v>465</v>
      </c>
      <c r="D107" s="40" t="s">
        <v>220</v>
      </c>
    </row>
    <row r="108" spans="1:5" x14ac:dyDescent="0.3">
      <c r="A108">
        <v>28575687</v>
      </c>
      <c r="B108" t="s">
        <v>452</v>
      </c>
      <c r="C108" t="s">
        <v>466</v>
      </c>
      <c r="D108" s="40" t="s">
        <v>220</v>
      </c>
    </row>
    <row r="109" spans="1:5" x14ac:dyDescent="0.3">
      <c r="A109">
        <v>28575686</v>
      </c>
      <c r="B109" t="s">
        <v>453</v>
      </c>
      <c r="C109" t="s">
        <v>467</v>
      </c>
      <c r="D109" s="40" t="s">
        <v>220</v>
      </c>
    </row>
    <row r="110" spans="1:5" x14ac:dyDescent="0.3">
      <c r="A110">
        <v>28576101</v>
      </c>
      <c r="B110" t="s">
        <v>398</v>
      </c>
      <c r="C110" t="s">
        <v>468</v>
      </c>
      <c r="D110" s="40" t="s">
        <v>220</v>
      </c>
    </row>
    <row r="111" spans="1:5" x14ac:dyDescent="0.3">
      <c r="A111">
        <v>28576109</v>
      </c>
      <c r="B111" t="s">
        <v>394</v>
      </c>
      <c r="C111" t="s">
        <v>469</v>
      </c>
      <c r="D111" s="40" t="s">
        <v>220</v>
      </c>
    </row>
    <row r="112" spans="1:5" x14ac:dyDescent="0.3">
      <c r="A112">
        <v>28575939</v>
      </c>
      <c r="B112" t="s">
        <v>455</v>
      </c>
      <c r="D112" s="40" t="s">
        <v>178</v>
      </c>
      <c r="E112" t="s">
        <v>298</v>
      </c>
    </row>
    <row r="113" spans="1:4" x14ac:dyDescent="0.3">
      <c r="A113">
        <v>28576096</v>
      </c>
      <c r="B113" t="s">
        <v>401</v>
      </c>
      <c r="C113" t="s">
        <v>470</v>
      </c>
      <c r="D113" t="s">
        <v>220</v>
      </c>
    </row>
    <row r="114" spans="1:4" x14ac:dyDescent="0.3">
      <c r="A114">
        <v>28576102</v>
      </c>
      <c r="B114" t="s">
        <v>398</v>
      </c>
      <c r="C114" t="s">
        <v>471</v>
      </c>
      <c r="D114" s="40" t="s">
        <v>220</v>
      </c>
    </row>
    <row r="116" spans="1:4" x14ac:dyDescent="0.3">
      <c r="A116" t="s">
        <v>435</v>
      </c>
    </row>
    <row r="117" spans="1:4" x14ac:dyDescent="0.3">
      <c r="A117">
        <v>28576625</v>
      </c>
      <c r="B117" t="s">
        <v>216</v>
      </c>
      <c r="C117" t="s">
        <v>472</v>
      </c>
      <c r="D117" t="s">
        <v>184</v>
      </c>
    </row>
    <row r="118" spans="1:4" x14ac:dyDescent="0.3">
      <c r="A118" t="s">
        <v>436</v>
      </c>
    </row>
    <row r="119" spans="1:4" x14ac:dyDescent="0.3">
      <c r="A119">
        <v>28577577</v>
      </c>
      <c r="B119" t="s">
        <v>473</v>
      </c>
      <c r="C119" t="s">
        <v>474</v>
      </c>
      <c r="D119" s="40" t="s">
        <v>184</v>
      </c>
    </row>
    <row r="120" spans="1:4" x14ac:dyDescent="0.3">
      <c r="A120" t="s">
        <v>447</v>
      </c>
    </row>
    <row r="121" spans="1:4" x14ac:dyDescent="0.3">
      <c r="A121">
        <v>28577520</v>
      </c>
      <c r="B121" t="s">
        <v>394</v>
      </c>
      <c r="C121" t="s">
        <v>476</v>
      </c>
      <c r="D121" s="40" t="s">
        <v>184</v>
      </c>
    </row>
    <row r="122" spans="1:4" x14ac:dyDescent="0.3">
      <c r="A122">
        <v>28577536</v>
      </c>
      <c r="B122" t="s">
        <v>475</v>
      </c>
      <c r="C122" t="s">
        <v>477</v>
      </c>
      <c r="D122" s="40" t="s">
        <v>184</v>
      </c>
    </row>
    <row r="123" spans="1:4" x14ac:dyDescent="0.3">
      <c r="A123">
        <v>28577251</v>
      </c>
      <c r="B123" t="s">
        <v>394</v>
      </c>
      <c r="C123" t="s">
        <v>478</v>
      </c>
      <c r="D123" s="40" t="s">
        <v>184</v>
      </c>
    </row>
    <row r="125" spans="1:4" x14ac:dyDescent="0.3">
      <c r="A125" t="s">
        <v>435</v>
      </c>
    </row>
    <row r="126" spans="1:4" x14ac:dyDescent="0.3">
      <c r="A126">
        <v>28577962</v>
      </c>
      <c r="B126" t="s">
        <v>285</v>
      </c>
      <c r="C126" t="s">
        <v>494</v>
      </c>
      <c r="D126" s="40" t="s">
        <v>184</v>
      </c>
    </row>
    <row r="127" spans="1:4" x14ac:dyDescent="0.3">
      <c r="A127">
        <v>28577996</v>
      </c>
      <c r="B127" t="s">
        <v>165</v>
      </c>
      <c r="C127" t="s">
        <v>495</v>
      </c>
      <c r="D127" s="40" t="s">
        <v>184</v>
      </c>
    </row>
    <row r="128" spans="1:4" x14ac:dyDescent="0.3">
      <c r="A128">
        <v>28578000</v>
      </c>
      <c r="B128" t="s">
        <v>299</v>
      </c>
      <c r="C128" t="s">
        <v>496</v>
      </c>
      <c r="D128" s="40" t="s">
        <v>184</v>
      </c>
    </row>
    <row r="129" spans="1:4" x14ac:dyDescent="0.3">
      <c r="A129">
        <v>28577998</v>
      </c>
      <c r="B129" t="s">
        <v>299</v>
      </c>
      <c r="C129" t="s">
        <v>497</v>
      </c>
      <c r="D129" s="40" t="s">
        <v>184</v>
      </c>
    </row>
    <row r="130" spans="1:4" x14ac:dyDescent="0.3">
      <c r="A130">
        <v>28578136</v>
      </c>
      <c r="B130" t="s">
        <v>484</v>
      </c>
      <c r="C130" t="s">
        <v>498</v>
      </c>
      <c r="D130" s="40" t="s">
        <v>184</v>
      </c>
    </row>
    <row r="131" spans="1:4" x14ac:dyDescent="0.3">
      <c r="A131">
        <v>28577958</v>
      </c>
      <c r="B131" t="s">
        <v>285</v>
      </c>
      <c r="C131" t="s">
        <v>499</v>
      </c>
      <c r="D131" s="40" t="s">
        <v>184</v>
      </c>
    </row>
    <row r="133" spans="1:4" x14ac:dyDescent="0.3">
      <c r="A133" t="s">
        <v>436</v>
      </c>
    </row>
    <row r="134" spans="1:4" x14ac:dyDescent="0.3">
      <c r="A134">
        <v>28578137</v>
      </c>
      <c r="B134" t="s">
        <v>437</v>
      </c>
      <c r="C134" t="s">
        <v>515</v>
      </c>
      <c r="D134" s="40" t="s">
        <v>184</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D14" sqref="D14"/>
    </sheetView>
  </sheetViews>
  <sheetFormatPr defaultColWidth="9.109375" defaultRowHeight="14.4" x14ac:dyDescent="0.3"/>
  <cols>
    <col min="1" max="1" width="3.109375" style="35" bestFit="1" customWidth="1"/>
    <col min="2" max="2" width="9.109375" style="35"/>
    <col min="3" max="3" width="50.6640625" style="35" bestFit="1" customWidth="1"/>
    <col min="4" max="4" width="37.5546875" style="35" bestFit="1" customWidth="1"/>
    <col min="5" max="7" width="15.33203125" style="35" bestFit="1" customWidth="1"/>
    <col min="8" max="8" width="10.109375" style="35" bestFit="1" customWidth="1"/>
    <col min="9" max="11" width="9.109375" style="35"/>
    <col min="12" max="12" width="10.109375" style="35" bestFit="1" customWidth="1"/>
    <col min="13" max="16384" width="9.109375" style="35"/>
  </cols>
  <sheetData>
    <row r="1" spans="1:12" ht="29.25" customHeight="1" thickBot="1" x14ac:dyDescent="0.35">
      <c r="A1" s="36" t="s">
        <v>90</v>
      </c>
      <c r="B1" s="37" t="s">
        <v>91</v>
      </c>
      <c r="C1" s="37" t="s">
        <v>92</v>
      </c>
      <c r="D1" s="37" t="s">
        <v>5</v>
      </c>
      <c r="E1" s="37" t="s">
        <v>93</v>
      </c>
      <c r="F1" s="37" t="s">
        <v>51</v>
      </c>
      <c r="G1" s="37" t="s">
        <v>94</v>
      </c>
      <c r="H1" s="39">
        <f>COUNTA(B:B)-1</f>
        <v>0</v>
      </c>
      <c r="L1" s="38">
        <f ca="1">TODAY()</f>
        <v>43115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9"/>
  <sheetViews>
    <sheetView topLeftCell="A20" workbookViewId="0">
      <selection activeCell="C40" sqref="C40"/>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38</v>
      </c>
      <c r="D1" s="10" t="s">
        <v>35</v>
      </c>
    </row>
    <row r="2" spans="1:4" x14ac:dyDescent="0.3">
      <c r="A2" s="5" t="s">
        <v>27</v>
      </c>
      <c r="B2" s="4"/>
      <c r="C2" t="s">
        <v>50</v>
      </c>
    </row>
    <row r="3" spans="1:4" x14ac:dyDescent="0.3">
      <c r="A3" s="5" t="s">
        <v>28</v>
      </c>
      <c r="B3" s="4"/>
      <c r="C3" t="s">
        <v>138</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96</v>
      </c>
      <c r="B7" s="4"/>
      <c r="C7" t="s">
        <v>48</v>
      </c>
    </row>
    <row r="8" spans="1:4" x14ac:dyDescent="0.3">
      <c r="A8" t="s">
        <v>97</v>
      </c>
      <c r="B8" s="4"/>
      <c r="C8" s="5" t="s">
        <v>29</v>
      </c>
    </row>
    <row r="9" spans="1:4" x14ac:dyDescent="0.3">
      <c r="A9" t="s">
        <v>98</v>
      </c>
      <c r="B9" s="4"/>
      <c r="C9" t="s">
        <v>53</v>
      </c>
    </row>
    <row r="10" spans="1:4" x14ac:dyDescent="0.3">
      <c r="A10" t="s">
        <v>107</v>
      </c>
      <c r="B10" s="4"/>
      <c r="C10" t="s">
        <v>54</v>
      </c>
    </row>
    <row r="11" spans="1:4" x14ac:dyDescent="0.3">
      <c r="B11" s="4"/>
      <c r="C11" t="s">
        <v>56</v>
      </c>
    </row>
    <row r="12" spans="1:4" x14ac:dyDescent="0.3">
      <c r="B12" s="4"/>
      <c r="C12" t="s">
        <v>57</v>
      </c>
    </row>
    <row r="13" spans="1:4" x14ac:dyDescent="0.3">
      <c r="B13" s="4"/>
      <c r="C13" t="s">
        <v>84</v>
      </c>
    </row>
    <row r="14" spans="1:4" x14ac:dyDescent="0.3">
      <c r="B14" s="4"/>
      <c r="C14" t="s">
        <v>85</v>
      </c>
    </row>
    <row r="15" spans="1:4" x14ac:dyDescent="0.3">
      <c r="B15" s="4"/>
      <c r="C15" t="s">
        <v>86</v>
      </c>
    </row>
    <row r="16" spans="1:4" x14ac:dyDescent="0.3">
      <c r="B16" s="4"/>
      <c r="C16" t="s">
        <v>118</v>
      </c>
    </row>
    <row r="17" spans="2:3" x14ac:dyDescent="0.3">
      <c r="B17" s="4"/>
      <c r="C17" t="s">
        <v>99</v>
      </c>
    </row>
    <row r="18" spans="2:3" x14ac:dyDescent="0.3">
      <c r="C18" t="s">
        <v>96</v>
      </c>
    </row>
    <row r="19" spans="2:3" x14ac:dyDescent="0.3">
      <c r="C19" t="s">
        <v>100</v>
      </c>
    </row>
    <row r="20" spans="2:3" x14ac:dyDescent="0.3">
      <c r="C20" t="s">
        <v>101</v>
      </c>
    </row>
    <row r="21" spans="2:3" x14ac:dyDescent="0.3">
      <c r="C21" t="s">
        <v>102</v>
      </c>
    </row>
    <row r="22" spans="2:3" x14ac:dyDescent="0.3">
      <c r="C22" t="s">
        <v>103</v>
      </c>
    </row>
    <row r="23" spans="2:3" x14ac:dyDescent="0.3">
      <c r="C23" t="s">
        <v>38</v>
      </c>
    </row>
    <row r="24" spans="2:3" x14ac:dyDescent="0.3">
      <c r="C24" t="s">
        <v>108</v>
      </c>
    </row>
    <row r="25" spans="2:3" x14ac:dyDescent="0.3">
      <c r="C25" t="s">
        <v>109</v>
      </c>
    </row>
    <row r="26" spans="2:3" x14ac:dyDescent="0.3">
      <c r="C26" t="s">
        <v>139</v>
      </c>
    </row>
    <row r="27" spans="2:3" x14ac:dyDescent="0.3">
      <c r="C27" t="s">
        <v>140</v>
      </c>
    </row>
    <row r="28" spans="2:3" x14ac:dyDescent="0.3">
      <c r="C28" t="s">
        <v>141</v>
      </c>
    </row>
    <row r="29" spans="2:3" x14ac:dyDescent="0.3">
      <c r="C29" t="s">
        <v>153</v>
      </c>
    </row>
    <row r="30" spans="2:3" x14ac:dyDescent="0.3">
      <c r="C30" t="s">
        <v>154</v>
      </c>
    </row>
    <row r="31" spans="2:3" x14ac:dyDescent="0.3">
      <c r="C31" t="s">
        <v>155</v>
      </c>
    </row>
    <row r="32" spans="2:3" x14ac:dyDescent="0.3">
      <c r="C32" t="s">
        <v>180</v>
      </c>
    </row>
    <row r="33" spans="3:3" x14ac:dyDescent="0.3">
      <c r="C33" t="s">
        <v>181</v>
      </c>
    </row>
    <row r="34" spans="3:3" x14ac:dyDescent="0.3">
      <c r="C34" t="s">
        <v>182</v>
      </c>
    </row>
    <row r="35" spans="3:3" x14ac:dyDescent="0.3">
      <c r="C35" t="s">
        <v>218</v>
      </c>
    </row>
    <row r="36" spans="3:3" x14ac:dyDescent="0.3">
      <c r="C36" t="s">
        <v>268</v>
      </c>
    </row>
    <row r="37" spans="3:3" x14ac:dyDescent="0.3">
      <c r="C37" t="s">
        <v>269</v>
      </c>
    </row>
    <row r="38" spans="3:3" x14ac:dyDescent="0.3">
      <c r="C38" t="s">
        <v>292</v>
      </c>
    </row>
    <row r="39" spans="3:3" x14ac:dyDescent="0.3">
      <c r="C39" t="s">
        <v>416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25"/>
  <sheetViews>
    <sheetView tabSelected="1" topLeftCell="A103" workbookViewId="0">
      <selection activeCell="I123" sqref="I123"/>
    </sheetView>
  </sheetViews>
  <sheetFormatPr defaultRowHeight="14.4" x14ac:dyDescent="0.3"/>
  <cols>
    <col min="1" max="1" width="5.5546875" customWidth="1"/>
    <col min="2" max="2" width="13.44140625" bestFit="1" customWidth="1"/>
    <col min="3" max="3" width="21.88671875" bestFit="1" customWidth="1"/>
  </cols>
  <sheetData>
    <row r="1" spans="1:3" x14ac:dyDescent="0.3">
      <c r="A1" s="29">
        <f>COUNTA(B:B)-1</f>
        <v>124</v>
      </c>
      <c r="B1" s="31" t="s">
        <v>58</v>
      </c>
      <c r="C1" s="30" t="s">
        <v>59</v>
      </c>
    </row>
    <row r="2" spans="1:3" x14ac:dyDescent="0.3">
      <c r="A2">
        <v>1</v>
      </c>
      <c r="B2" s="40" t="s">
        <v>118</v>
      </c>
      <c r="C2" s="40" t="s">
        <v>481</v>
      </c>
    </row>
    <row r="3" spans="1:3" s="40" customFormat="1" x14ac:dyDescent="0.3">
      <c r="A3" s="40">
        <v>2</v>
      </c>
      <c r="B3" s="40" t="s">
        <v>485</v>
      </c>
      <c r="C3" s="40" t="s">
        <v>486</v>
      </c>
    </row>
    <row r="4" spans="1:3" x14ac:dyDescent="0.3">
      <c r="A4">
        <v>3</v>
      </c>
      <c r="B4" s="40" t="s">
        <v>294</v>
      </c>
      <c r="C4" s="40" t="s">
        <v>295</v>
      </c>
    </row>
    <row r="5" spans="1:3" x14ac:dyDescent="0.3">
      <c r="A5">
        <v>4</v>
      </c>
      <c r="B5" s="40" t="s">
        <v>60</v>
      </c>
      <c r="C5" s="40" t="s">
        <v>61</v>
      </c>
    </row>
    <row r="6" spans="1:3" x14ac:dyDescent="0.3">
      <c r="A6">
        <v>5</v>
      </c>
      <c r="B6" s="40" t="s">
        <v>62</v>
      </c>
      <c r="C6" s="40" t="s">
        <v>63</v>
      </c>
    </row>
    <row r="7" spans="1:3" x14ac:dyDescent="0.3">
      <c r="A7">
        <v>6</v>
      </c>
      <c r="B7" s="40" t="s">
        <v>64</v>
      </c>
      <c r="C7" s="40" t="s">
        <v>87</v>
      </c>
    </row>
    <row r="8" spans="1:3" x14ac:dyDescent="0.3">
      <c r="A8">
        <v>7</v>
      </c>
      <c r="B8" s="40" t="s">
        <v>110</v>
      </c>
      <c r="C8" s="40" t="s">
        <v>65</v>
      </c>
    </row>
    <row r="9" spans="1:3" s="40" customFormat="1" x14ac:dyDescent="0.3">
      <c r="A9" s="40">
        <v>8</v>
      </c>
      <c r="B9" s="40" t="s">
        <v>66</v>
      </c>
      <c r="C9" s="40" t="s">
        <v>67</v>
      </c>
    </row>
    <row r="10" spans="1:3" x14ac:dyDescent="0.3">
      <c r="A10">
        <v>9</v>
      </c>
      <c r="B10" s="40" t="s">
        <v>222</v>
      </c>
      <c r="C10" s="40" t="s">
        <v>223</v>
      </c>
    </row>
    <row r="11" spans="1:3" x14ac:dyDescent="0.3">
      <c r="A11">
        <v>10</v>
      </c>
      <c r="B11" s="40" t="s">
        <v>69</v>
      </c>
      <c r="C11" s="40" t="s">
        <v>70</v>
      </c>
    </row>
    <row r="12" spans="1:3" x14ac:dyDescent="0.3">
      <c r="A12">
        <v>11</v>
      </c>
      <c r="B12" s="40" t="s">
        <v>72</v>
      </c>
      <c r="C12" s="40" t="s">
        <v>73</v>
      </c>
    </row>
    <row r="13" spans="1:3" x14ac:dyDescent="0.3">
      <c r="A13">
        <v>12</v>
      </c>
      <c r="B13" s="40" t="s">
        <v>300</v>
      </c>
      <c r="C13" s="40" t="s">
        <v>301</v>
      </c>
    </row>
    <row r="14" spans="1:3" x14ac:dyDescent="0.3">
      <c r="A14">
        <v>13</v>
      </c>
      <c r="B14" s="40" t="s">
        <v>74</v>
      </c>
      <c r="C14" s="40" t="s">
        <v>75</v>
      </c>
    </row>
    <row r="15" spans="1:3" x14ac:dyDescent="0.3">
      <c r="A15">
        <v>14</v>
      </c>
      <c r="B15" s="40" t="s">
        <v>76</v>
      </c>
      <c r="C15" s="40" t="s">
        <v>482</v>
      </c>
    </row>
    <row r="16" spans="1:3" x14ac:dyDescent="0.3">
      <c r="A16">
        <v>15</v>
      </c>
      <c r="B16" s="40" t="s">
        <v>77</v>
      </c>
      <c r="C16" s="40" t="s">
        <v>302</v>
      </c>
    </row>
    <row r="17" spans="1:3" x14ac:dyDescent="0.3">
      <c r="A17">
        <v>16</v>
      </c>
      <c r="B17" s="40" t="s">
        <v>78</v>
      </c>
      <c r="C17" s="40" t="s">
        <v>79</v>
      </c>
    </row>
    <row r="18" spans="1:3" x14ac:dyDescent="0.3">
      <c r="A18">
        <v>17</v>
      </c>
      <c r="B18" s="40" t="s">
        <v>80</v>
      </c>
      <c r="C18" s="40" t="s">
        <v>81</v>
      </c>
    </row>
    <row r="19" spans="1:3" x14ac:dyDescent="0.3">
      <c r="A19">
        <v>18</v>
      </c>
      <c r="B19" s="40" t="s">
        <v>82</v>
      </c>
      <c r="C19" s="40" t="s">
        <v>83</v>
      </c>
    </row>
    <row r="20" spans="1:3" x14ac:dyDescent="0.3">
      <c r="A20">
        <v>19</v>
      </c>
      <c r="B20" s="40" t="s">
        <v>88</v>
      </c>
      <c r="C20" s="40" t="s">
        <v>89</v>
      </c>
    </row>
    <row r="21" spans="1:3" x14ac:dyDescent="0.3">
      <c r="A21">
        <v>20</v>
      </c>
      <c r="B21" s="40" t="s">
        <v>158</v>
      </c>
      <c r="C21" s="40" t="s">
        <v>159</v>
      </c>
    </row>
    <row r="22" spans="1:3" x14ac:dyDescent="0.3">
      <c r="A22">
        <v>21</v>
      </c>
      <c r="B22" s="40" t="s">
        <v>106</v>
      </c>
      <c r="C22" s="40" t="s">
        <v>105</v>
      </c>
    </row>
    <row r="23" spans="1:3" x14ac:dyDescent="0.3">
      <c r="A23">
        <v>22</v>
      </c>
      <c r="B23" s="40" t="s">
        <v>111</v>
      </c>
      <c r="C23" s="40" t="s">
        <v>112</v>
      </c>
    </row>
    <row r="24" spans="1:3" x14ac:dyDescent="0.3">
      <c r="A24">
        <v>23</v>
      </c>
      <c r="B24" s="40" t="s">
        <v>114</v>
      </c>
      <c r="C24" s="40" t="s">
        <v>113</v>
      </c>
    </row>
    <row r="25" spans="1:3" x14ac:dyDescent="0.3">
      <c r="A25">
        <v>24</v>
      </c>
      <c r="B25" s="40" t="s">
        <v>116</v>
      </c>
      <c r="C25" s="40" t="s">
        <v>117</v>
      </c>
    </row>
    <row r="26" spans="1:3" x14ac:dyDescent="0.3">
      <c r="A26">
        <v>25</v>
      </c>
      <c r="B26" s="40" t="s">
        <v>120</v>
      </c>
      <c r="C26" s="40" t="s">
        <v>121</v>
      </c>
    </row>
    <row r="27" spans="1:3" x14ac:dyDescent="0.3">
      <c r="A27">
        <v>26</v>
      </c>
      <c r="B27" s="40" t="s">
        <v>122</v>
      </c>
      <c r="C27" s="40" t="s">
        <v>123</v>
      </c>
    </row>
    <row r="28" spans="1:3" x14ac:dyDescent="0.3">
      <c r="A28">
        <v>27</v>
      </c>
      <c r="B28" s="40" t="s">
        <v>124</v>
      </c>
      <c r="C28" s="40" t="s">
        <v>125</v>
      </c>
    </row>
    <row r="29" spans="1:3" x14ac:dyDescent="0.3">
      <c r="A29">
        <v>28</v>
      </c>
      <c r="B29" s="40" t="s">
        <v>126</v>
      </c>
      <c r="C29" s="40" t="s">
        <v>127</v>
      </c>
    </row>
    <row r="30" spans="1:3" x14ac:dyDescent="0.3">
      <c r="A30">
        <v>29</v>
      </c>
      <c r="B30" s="40" t="s">
        <v>128</v>
      </c>
      <c r="C30" s="40" t="s">
        <v>129</v>
      </c>
    </row>
    <row r="31" spans="1:3" x14ac:dyDescent="0.3">
      <c r="A31">
        <v>30</v>
      </c>
      <c r="B31" s="40" t="s">
        <v>130</v>
      </c>
      <c r="C31" s="40" t="s">
        <v>131</v>
      </c>
    </row>
    <row r="32" spans="1:3" x14ac:dyDescent="0.3">
      <c r="A32">
        <v>31</v>
      </c>
      <c r="B32" s="40" t="s">
        <v>132</v>
      </c>
      <c r="C32" s="40" t="s">
        <v>133</v>
      </c>
    </row>
    <row r="33" spans="1:3" x14ac:dyDescent="0.3">
      <c r="A33">
        <v>32</v>
      </c>
      <c r="B33" s="40" t="s">
        <v>134</v>
      </c>
      <c r="C33" s="40" t="s">
        <v>135</v>
      </c>
    </row>
    <row r="34" spans="1:3" x14ac:dyDescent="0.3">
      <c r="A34">
        <v>33</v>
      </c>
      <c r="B34" s="40" t="s">
        <v>136</v>
      </c>
      <c r="C34" s="40" t="s">
        <v>137</v>
      </c>
    </row>
    <row r="35" spans="1:3" x14ac:dyDescent="0.3">
      <c r="A35">
        <v>34</v>
      </c>
      <c r="B35" s="40" t="s">
        <v>145</v>
      </c>
      <c r="C35" s="40" t="s">
        <v>146</v>
      </c>
    </row>
    <row r="36" spans="1:3" x14ac:dyDescent="0.3">
      <c r="A36">
        <v>35</v>
      </c>
      <c r="B36" s="40" t="s">
        <v>148</v>
      </c>
      <c r="C36" s="40" t="s">
        <v>149</v>
      </c>
    </row>
    <row r="37" spans="1:3" x14ac:dyDescent="0.3">
      <c r="A37">
        <v>36</v>
      </c>
      <c r="B37" s="40" t="s">
        <v>150</v>
      </c>
      <c r="C37" s="40" t="s">
        <v>151</v>
      </c>
    </row>
    <row r="38" spans="1:3" x14ac:dyDescent="0.3">
      <c r="A38">
        <v>37</v>
      </c>
      <c r="B38" s="40" t="s">
        <v>119</v>
      </c>
      <c r="C38" s="40" t="s">
        <v>95</v>
      </c>
    </row>
    <row r="39" spans="1:3" s="40" customFormat="1" x14ac:dyDescent="0.3">
      <c r="A39" s="40">
        <v>38</v>
      </c>
      <c r="B39" s="40" t="s">
        <v>362</v>
      </c>
      <c r="C39" s="40" t="s">
        <v>363</v>
      </c>
    </row>
    <row r="40" spans="1:3" x14ac:dyDescent="0.3">
      <c r="A40">
        <v>39</v>
      </c>
      <c r="B40" s="40" t="s">
        <v>160</v>
      </c>
      <c r="C40" s="40" t="s">
        <v>161</v>
      </c>
    </row>
    <row r="41" spans="1:3" x14ac:dyDescent="0.3">
      <c r="A41">
        <v>40</v>
      </c>
      <c r="B41" s="40" t="s">
        <v>167</v>
      </c>
      <c r="C41" s="40" t="s">
        <v>168</v>
      </c>
    </row>
    <row r="42" spans="1:3" x14ac:dyDescent="0.3">
      <c r="A42">
        <v>41</v>
      </c>
      <c r="B42" s="40" t="s">
        <v>169</v>
      </c>
      <c r="C42" s="40" t="s">
        <v>170</v>
      </c>
    </row>
    <row r="43" spans="1:3" x14ac:dyDescent="0.3">
      <c r="A43">
        <v>42</v>
      </c>
      <c r="B43" s="40" t="s">
        <v>172</v>
      </c>
      <c r="C43" s="40" t="s">
        <v>171</v>
      </c>
    </row>
    <row r="44" spans="1:3" x14ac:dyDescent="0.3">
      <c r="A44">
        <v>43</v>
      </c>
      <c r="B44" s="40" t="s">
        <v>176</v>
      </c>
      <c r="C44" s="40" t="s">
        <v>188</v>
      </c>
    </row>
    <row r="45" spans="1:3" x14ac:dyDescent="0.3">
      <c r="A45">
        <v>44</v>
      </c>
      <c r="B45" s="40" t="s">
        <v>193</v>
      </c>
      <c r="C45" s="40" t="s">
        <v>194</v>
      </c>
    </row>
    <row r="46" spans="1:3" x14ac:dyDescent="0.3">
      <c r="A46">
        <v>45</v>
      </c>
      <c r="B46" s="40" t="s">
        <v>197</v>
      </c>
      <c r="C46" s="40" t="s">
        <v>198</v>
      </c>
    </row>
    <row r="47" spans="1:3" x14ac:dyDescent="0.3">
      <c r="A47">
        <v>46</v>
      </c>
      <c r="B47" s="40" t="s">
        <v>201</v>
      </c>
      <c r="C47" s="40" t="s">
        <v>217</v>
      </c>
    </row>
    <row r="48" spans="1:3" x14ac:dyDescent="0.3">
      <c r="A48">
        <v>47</v>
      </c>
      <c r="B48" s="40" t="s">
        <v>206</v>
      </c>
      <c r="C48" s="40" t="s">
        <v>202</v>
      </c>
    </row>
    <row r="49" spans="1:3" x14ac:dyDescent="0.3">
      <c r="A49">
        <v>48</v>
      </c>
      <c r="B49" s="40" t="s">
        <v>204</v>
      </c>
      <c r="C49" s="40" t="s">
        <v>205</v>
      </c>
    </row>
    <row r="50" spans="1:3" x14ac:dyDescent="0.3">
      <c r="A50">
        <v>49</v>
      </c>
      <c r="B50" s="40" t="s">
        <v>211</v>
      </c>
      <c r="C50" s="40" t="s">
        <v>212</v>
      </c>
    </row>
    <row r="51" spans="1:3" x14ac:dyDescent="0.3">
      <c r="A51">
        <v>50</v>
      </c>
      <c r="B51" s="40" t="s">
        <v>225</v>
      </c>
      <c r="C51" s="40" t="s">
        <v>226</v>
      </c>
    </row>
    <row r="52" spans="1:3" x14ac:dyDescent="0.3">
      <c r="A52">
        <v>51</v>
      </c>
      <c r="B52" s="40" t="s">
        <v>227</v>
      </c>
      <c r="C52" s="40" t="s">
        <v>228</v>
      </c>
    </row>
    <row r="53" spans="1:3" x14ac:dyDescent="0.3">
      <c r="A53">
        <v>52</v>
      </c>
      <c r="B53" s="40" t="s">
        <v>229</v>
      </c>
      <c r="C53" s="40" t="s">
        <v>230</v>
      </c>
    </row>
    <row r="54" spans="1:3" x14ac:dyDescent="0.3">
      <c r="A54">
        <v>53</v>
      </c>
      <c r="B54" s="40" t="s">
        <v>231</v>
      </c>
      <c r="C54" s="40" t="s">
        <v>232</v>
      </c>
    </row>
    <row r="55" spans="1:3" x14ac:dyDescent="0.3">
      <c r="A55">
        <v>54</v>
      </c>
      <c r="B55" s="40" t="s">
        <v>233</v>
      </c>
      <c r="C55" s="40" t="s">
        <v>234</v>
      </c>
    </row>
    <row r="56" spans="1:3" x14ac:dyDescent="0.3">
      <c r="A56">
        <v>55</v>
      </c>
      <c r="B56" s="40" t="s">
        <v>235</v>
      </c>
      <c r="C56" s="40" t="s">
        <v>236</v>
      </c>
    </row>
    <row r="57" spans="1:3" x14ac:dyDescent="0.3">
      <c r="A57">
        <v>56</v>
      </c>
      <c r="B57" s="40" t="s">
        <v>237</v>
      </c>
      <c r="C57" s="40" t="s">
        <v>238</v>
      </c>
    </row>
    <row r="58" spans="1:3" x14ac:dyDescent="0.3">
      <c r="A58">
        <v>57</v>
      </c>
      <c r="B58" s="40" t="s">
        <v>50</v>
      </c>
      <c r="C58" s="40" t="s">
        <v>239</v>
      </c>
    </row>
    <row r="59" spans="1:3" x14ac:dyDescent="0.3">
      <c r="A59">
        <v>58</v>
      </c>
      <c r="B59" s="40" t="s">
        <v>240</v>
      </c>
      <c r="C59" s="40" t="s">
        <v>241</v>
      </c>
    </row>
    <row r="60" spans="1:3" x14ac:dyDescent="0.3">
      <c r="A60">
        <v>59</v>
      </c>
      <c r="B60" s="40" t="s">
        <v>242</v>
      </c>
      <c r="C60" s="40" t="s">
        <v>243</v>
      </c>
    </row>
    <row r="61" spans="1:3" x14ac:dyDescent="0.3">
      <c r="A61">
        <v>60</v>
      </c>
      <c r="B61" s="40" t="s">
        <v>244</v>
      </c>
      <c r="C61" s="40" t="s">
        <v>245</v>
      </c>
    </row>
    <row r="62" spans="1:3" x14ac:dyDescent="0.3">
      <c r="A62">
        <v>61</v>
      </c>
      <c r="B62" s="40" t="s">
        <v>246</v>
      </c>
      <c r="C62" s="40" t="s">
        <v>247</v>
      </c>
    </row>
    <row r="63" spans="1:3" x14ac:dyDescent="0.3">
      <c r="A63">
        <v>62</v>
      </c>
      <c r="B63" s="40" t="s">
        <v>248</v>
      </c>
      <c r="C63" s="40" t="s">
        <v>249</v>
      </c>
    </row>
    <row r="64" spans="1:3" x14ac:dyDescent="0.3">
      <c r="A64">
        <v>63</v>
      </c>
      <c r="B64" s="40" t="s">
        <v>250</v>
      </c>
      <c r="C64" s="40" t="s">
        <v>251</v>
      </c>
    </row>
    <row r="65" spans="1:3" x14ac:dyDescent="0.3">
      <c r="A65">
        <v>64</v>
      </c>
      <c r="B65" s="40" t="s">
        <v>252</v>
      </c>
      <c r="C65" s="40" t="s">
        <v>253</v>
      </c>
    </row>
    <row r="66" spans="1:3" x14ac:dyDescent="0.3">
      <c r="A66">
        <v>65</v>
      </c>
      <c r="B66" s="40" t="s">
        <v>254</v>
      </c>
      <c r="C66" s="40" t="s">
        <v>255</v>
      </c>
    </row>
    <row r="67" spans="1:3" x14ac:dyDescent="0.3">
      <c r="A67">
        <v>66</v>
      </c>
      <c r="B67" s="40" t="s">
        <v>265</v>
      </c>
      <c r="C67" s="40" t="s">
        <v>266</v>
      </c>
    </row>
    <row r="68" spans="1:3" x14ac:dyDescent="0.3">
      <c r="A68">
        <v>67</v>
      </c>
      <c r="B68" s="40" t="s">
        <v>267</v>
      </c>
      <c r="C68" s="40" t="s">
        <v>303</v>
      </c>
    </row>
    <row r="69" spans="1:3" x14ac:dyDescent="0.3">
      <c r="A69">
        <v>68</v>
      </c>
      <c r="B69" s="40" t="s">
        <v>260</v>
      </c>
      <c r="C69" s="40" t="s">
        <v>261</v>
      </c>
    </row>
    <row r="70" spans="1:3" x14ac:dyDescent="0.3">
      <c r="A70">
        <v>69</v>
      </c>
      <c r="B70" s="40" t="s">
        <v>270</v>
      </c>
      <c r="C70" s="40" t="s">
        <v>271</v>
      </c>
    </row>
    <row r="71" spans="1:3" x14ac:dyDescent="0.3">
      <c r="A71">
        <v>70</v>
      </c>
      <c r="B71" s="40" t="s">
        <v>272</v>
      </c>
      <c r="C71" s="40" t="s">
        <v>273</v>
      </c>
    </row>
    <row r="72" spans="1:3" x14ac:dyDescent="0.3">
      <c r="A72">
        <v>71</v>
      </c>
      <c r="B72" s="40" t="s">
        <v>274</v>
      </c>
      <c r="C72" s="40" t="s">
        <v>275</v>
      </c>
    </row>
    <row r="73" spans="1:3" x14ac:dyDescent="0.3">
      <c r="A73">
        <v>72</v>
      </c>
      <c r="B73" s="40" t="s">
        <v>276</v>
      </c>
      <c r="C73" s="40" t="s">
        <v>277</v>
      </c>
    </row>
    <row r="74" spans="1:3" x14ac:dyDescent="0.3">
      <c r="A74">
        <v>73</v>
      </c>
      <c r="B74" s="40" t="s">
        <v>278</v>
      </c>
      <c r="C74" s="40" t="s">
        <v>159</v>
      </c>
    </row>
    <row r="75" spans="1:3" x14ac:dyDescent="0.3">
      <c r="A75">
        <v>74</v>
      </c>
      <c r="B75" s="40" t="s">
        <v>279</v>
      </c>
      <c r="C75" s="40" t="s">
        <v>280</v>
      </c>
    </row>
    <row r="76" spans="1:3" x14ac:dyDescent="0.3">
      <c r="A76">
        <v>75</v>
      </c>
      <c r="B76" s="40" t="s">
        <v>281</v>
      </c>
      <c r="C76" s="40" t="s">
        <v>282</v>
      </c>
    </row>
    <row r="77" spans="1:3" x14ac:dyDescent="0.3">
      <c r="A77">
        <v>76</v>
      </c>
      <c r="B77" t="s">
        <v>283</v>
      </c>
      <c r="C77" t="s">
        <v>284</v>
      </c>
    </row>
    <row r="78" spans="1:3" x14ac:dyDescent="0.3">
      <c r="A78">
        <v>77</v>
      </c>
      <c r="B78" t="s">
        <v>304</v>
      </c>
      <c r="C78" t="s">
        <v>305</v>
      </c>
    </row>
    <row r="79" spans="1:3" x14ac:dyDescent="0.3">
      <c r="A79">
        <v>78</v>
      </c>
      <c r="B79" t="s">
        <v>306</v>
      </c>
      <c r="C79" t="s">
        <v>307</v>
      </c>
    </row>
    <row r="80" spans="1:3" x14ac:dyDescent="0.3">
      <c r="A80">
        <v>79</v>
      </c>
      <c r="B80" t="s">
        <v>308</v>
      </c>
      <c r="C80" t="s">
        <v>309</v>
      </c>
    </row>
    <row r="81" spans="1:3" x14ac:dyDescent="0.3">
      <c r="A81">
        <v>80</v>
      </c>
      <c r="B81" t="s">
        <v>310</v>
      </c>
      <c r="C81" t="s">
        <v>311</v>
      </c>
    </row>
    <row r="82" spans="1:3" x14ac:dyDescent="0.3">
      <c r="A82">
        <v>81</v>
      </c>
      <c r="B82" t="s">
        <v>312</v>
      </c>
      <c r="C82" t="s">
        <v>313</v>
      </c>
    </row>
    <row r="83" spans="1:3" x14ac:dyDescent="0.3">
      <c r="A83">
        <v>82</v>
      </c>
      <c r="B83" t="s">
        <v>314</v>
      </c>
      <c r="C83" t="s">
        <v>315</v>
      </c>
    </row>
    <row r="84" spans="1:3" x14ac:dyDescent="0.3">
      <c r="A84">
        <v>83</v>
      </c>
      <c r="B84" t="s">
        <v>316</v>
      </c>
      <c r="C84" t="s">
        <v>317</v>
      </c>
    </row>
    <row r="85" spans="1:3" x14ac:dyDescent="0.3">
      <c r="A85">
        <v>84</v>
      </c>
      <c r="B85" t="s">
        <v>318</v>
      </c>
      <c r="C85" t="s">
        <v>319</v>
      </c>
    </row>
    <row r="86" spans="1:3" x14ac:dyDescent="0.3">
      <c r="A86">
        <v>85</v>
      </c>
      <c r="B86" t="s">
        <v>479</v>
      </c>
      <c r="C86" t="s">
        <v>480</v>
      </c>
    </row>
    <row r="87" spans="1:3" x14ac:dyDescent="0.3">
      <c r="A87">
        <v>86</v>
      </c>
      <c r="B87" t="s">
        <v>320</v>
      </c>
      <c r="C87" t="s">
        <v>321</v>
      </c>
    </row>
    <row r="88" spans="1:3" x14ac:dyDescent="0.3">
      <c r="A88">
        <v>87</v>
      </c>
      <c r="B88" t="s">
        <v>322</v>
      </c>
      <c r="C88" t="s">
        <v>323</v>
      </c>
    </row>
    <row r="89" spans="1:3" x14ac:dyDescent="0.3">
      <c r="A89">
        <v>88</v>
      </c>
      <c r="B89" t="s">
        <v>324</v>
      </c>
      <c r="C89" t="s">
        <v>325</v>
      </c>
    </row>
    <row r="90" spans="1:3" x14ac:dyDescent="0.3">
      <c r="A90">
        <v>89</v>
      </c>
      <c r="B90" t="s">
        <v>326</v>
      </c>
      <c r="C90" t="s">
        <v>327</v>
      </c>
    </row>
    <row r="91" spans="1:3" x14ac:dyDescent="0.3">
      <c r="A91">
        <v>90</v>
      </c>
      <c r="B91" t="s">
        <v>328</v>
      </c>
      <c r="C91" t="s">
        <v>151</v>
      </c>
    </row>
    <row r="92" spans="1:3" x14ac:dyDescent="0.3">
      <c r="A92">
        <v>91</v>
      </c>
      <c r="B92" t="s">
        <v>329</v>
      </c>
      <c r="C92" t="s">
        <v>330</v>
      </c>
    </row>
    <row r="93" spans="1:3" x14ac:dyDescent="0.3">
      <c r="A93">
        <v>92</v>
      </c>
      <c r="B93" t="s">
        <v>331</v>
      </c>
      <c r="C93" t="s">
        <v>332</v>
      </c>
    </row>
    <row r="94" spans="1:3" x14ac:dyDescent="0.3">
      <c r="A94">
        <v>93</v>
      </c>
      <c r="B94" t="s">
        <v>333</v>
      </c>
      <c r="C94" t="s">
        <v>334</v>
      </c>
    </row>
    <row r="95" spans="1:3" x14ac:dyDescent="0.3">
      <c r="A95">
        <v>94</v>
      </c>
      <c r="B95" t="s">
        <v>335</v>
      </c>
      <c r="C95" t="s">
        <v>336</v>
      </c>
    </row>
    <row r="96" spans="1:3" x14ac:dyDescent="0.3">
      <c r="A96">
        <v>95</v>
      </c>
      <c r="B96" t="s">
        <v>337</v>
      </c>
      <c r="C96" t="s">
        <v>338</v>
      </c>
    </row>
    <row r="97" spans="1:3" x14ac:dyDescent="0.3">
      <c r="A97">
        <v>96</v>
      </c>
      <c r="B97" t="s">
        <v>339</v>
      </c>
      <c r="C97" t="s">
        <v>340</v>
      </c>
    </row>
    <row r="98" spans="1:3" x14ac:dyDescent="0.3">
      <c r="A98">
        <v>97</v>
      </c>
      <c r="B98" t="s">
        <v>341</v>
      </c>
      <c r="C98" t="s">
        <v>342</v>
      </c>
    </row>
    <row r="99" spans="1:3" x14ac:dyDescent="0.3">
      <c r="A99">
        <v>98</v>
      </c>
      <c r="B99" t="s">
        <v>343</v>
      </c>
      <c r="C99" t="s">
        <v>344</v>
      </c>
    </row>
    <row r="100" spans="1:3" x14ac:dyDescent="0.3">
      <c r="A100">
        <v>99</v>
      </c>
      <c r="B100" t="s">
        <v>345</v>
      </c>
      <c r="C100" t="s">
        <v>346</v>
      </c>
    </row>
    <row r="101" spans="1:3" x14ac:dyDescent="0.3">
      <c r="A101">
        <v>100</v>
      </c>
      <c r="B101" t="s">
        <v>347</v>
      </c>
      <c r="C101" t="s">
        <v>348</v>
      </c>
    </row>
    <row r="102" spans="1:3" x14ac:dyDescent="0.3">
      <c r="A102">
        <v>101</v>
      </c>
      <c r="B102" t="s">
        <v>349</v>
      </c>
      <c r="C102" t="s">
        <v>350</v>
      </c>
    </row>
    <row r="103" spans="1:3" x14ac:dyDescent="0.3">
      <c r="A103">
        <v>102</v>
      </c>
      <c r="B103" t="s">
        <v>351</v>
      </c>
      <c r="C103" t="s">
        <v>352</v>
      </c>
    </row>
    <row r="104" spans="1:3" x14ac:dyDescent="0.3">
      <c r="A104">
        <v>103</v>
      </c>
      <c r="B104" t="s">
        <v>353</v>
      </c>
      <c r="C104" t="s">
        <v>354</v>
      </c>
    </row>
    <row r="105" spans="1:3" x14ac:dyDescent="0.3">
      <c r="A105">
        <v>104</v>
      </c>
      <c r="B105" t="s">
        <v>355</v>
      </c>
      <c r="C105" t="s">
        <v>356</v>
      </c>
    </row>
    <row r="106" spans="1:3" x14ac:dyDescent="0.3">
      <c r="A106">
        <v>105</v>
      </c>
      <c r="B106" t="s">
        <v>357</v>
      </c>
      <c r="C106" t="s">
        <v>358</v>
      </c>
    </row>
    <row r="107" spans="1:3" x14ac:dyDescent="0.3">
      <c r="A107">
        <v>106</v>
      </c>
      <c r="B107" t="s">
        <v>359</v>
      </c>
      <c r="C107" t="s">
        <v>360</v>
      </c>
    </row>
    <row r="108" spans="1:3" x14ac:dyDescent="0.3">
      <c r="A108">
        <v>107</v>
      </c>
      <c r="B108" t="s">
        <v>361</v>
      </c>
      <c r="C108" t="s">
        <v>366</v>
      </c>
    </row>
    <row r="109" spans="1:3" x14ac:dyDescent="0.3">
      <c r="A109">
        <v>108</v>
      </c>
      <c r="B109" t="s">
        <v>374</v>
      </c>
      <c r="C109" t="s">
        <v>375</v>
      </c>
    </row>
    <row r="110" spans="1:3" x14ac:dyDescent="0.3">
      <c r="A110">
        <v>109</v>
      </c>
      <c r="B110" t="s">
        <v>376</v>
      </c>
      <c r="C110" t="s">
        <v>377</v>
      </c>
    </row>
    <row r="111" spans="1:3" x14ac:dyDescent="0.3">
      <c r="A111">
        <v>110</v>
      </c>
      <c r="B111" t="s">
        <v>378</v>
      </c>
      <c r="C111" t="s">
        <v>379</v>
      </c>
    </row>
    <row r="112" spans="1:3" x14ac:dyDescent="0.3">
      <c r="A112">
        <v>111</v>
      </c>
      <c r="B112" t="s">
        <v>380</v>
      </c>
      <c r="C112" t="s">
        <v>382</v>
      </c>
    </row>
    <row r="113" spans="1:3" x14ac:dyDescent="0.3">
      <c r="A113">
        <v>112</v>
      </c>
      <c r="B113" t="s">
        <v>403</v>
      </c>
      <c r="C113" t="s">
        <v>404</v>
      </c>
    </row>
    <row r="114" spans="1:3" x14ac:dyDescent="0.3">
      <c r="A114">
        <v>113</v>
      </c>
      <c r="B114" t="s">
        <v>405</v>
      </c>
      <c r="C114" t="s">
        <v>406</v>
      </c>
    </row>
    <row r="115" spans="1:3" x14ac:dyDescent="0.3">
      <c r="A115">
        <v>114</v>
      </c>
      <c r="B115" t="s">
        <v>381</v>
      </c>
      <c r="C115" t="s">
        <v>382</v>
      </c>
    </row>
    <row r="116" spans="1:3" x14ac:dyDescent="0.3">
      <c r="A116">
        <v>115</v>
      </c>
      <c r="B116" t="s">
        <v>423</v>
      </c>
      <c r="C116" t="s">
        <v>424</v>
      </c>
    </row>
    <row r="117" spans="1:3" x14ac:dyDescent="0.3">
      <c r="A117">
        <v>116</v>
      </c>
      <c r="B117" t="s">
        <v>426</v>
      </c>
      <c r="C117" t="s">
        <v>425</v>
      </c>
    </row>
    <row r="118" spans="1:3" x14ac:dyDescent="0.3">
      <c r="A118">
        <v>117</v>
      </c>
      <c r="B118" t="s">
        <v>427</v>
      </c>
      <c r="C118" t="s">
        <v>117</v>
      </c>
    </row>
    <row r="119" spans="1:3" x14ac:dyDescent="0.3">
      <c r="A119">
        <v>118</v>
      </c>
      <c r="B119" t="s">
        <v>439</v>
      </c>
      <c r="C119" t="s">
        <v>440</v>
      </c>
    </row>
    <row r="120" spans="1:3" x14ac:dyDescent="0.3">
      <c r="A120">
        <v>119</v>
      </c>
      <c r="B120" t="s">
        <v>444</v>
      </c>
      <c r="C120" t="s">
        <v>445</v>
      </c>
    </row>
    <row r="121" spans="1:3" x14ac:dyDescent="0.3">
      <c r="A121">
        <v>120</v>
      </c>
      <c r="B121" t="s">
        <v>460</v>
      </c>
      <c r="C121" t="s">
        <v>461</v>
      </c>
    </row>
    <row r="122" spans="1:3" x14ac:dyDescent="0.3">
      <c r="A122">
        <v>121</v>
      </c>
      <c r="B122" t="s">
        <v>462</v>
      </c>
      <c r="C122" t="s">
        <v>463</v>
      </c>
    </row>
    <row r="123" spans="1:3" x14ac:dyDescent="0.3">
      <c r="A123">
        <v>122</v>
      </c>
      <c r="B123" t="s">
        <v>487</v>
      </c>
      <c r="C123" t="s">
        <v>488</v>
      </c>
    </row>
    <row r="124" spans="1:3" x14ac:dyDescent="0.3">
      <c r="A124">
        <v>123</v>
      </c>
      <c r="B124" t="s">
        <v>489</v>
      </c>
      <c r="C124" t="s">
        <v>490</v>
      </c>
    </row>
    <row r="125" spans="1:3" x14ac:dyDescent="0.3">
      <c r="A125">
        <v>124</v>
      </c>
      <c r="B125" t="s">
        <v>491</v>
      </c>
      <c r="C125" t="s">
        <v>492</v>
      </c>
    </row>
  </sheetData>
  <autoFilter ref="C1:C122"/>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2018-01-15T10:42:42Z</dcterms:modified>
</cp:coreProperties>
</file>