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bookViews>
  <sheets>
    <sheet name="Ротапост" sheetId="3" r:id="rId1"/>
    <sheet name="Прод" sheetId="6" r:id="rId2"/>
    <sheet name="Лист1" sheetId="12" r:id="rId3"/>
    <sheet name="BufferList" sheetId="11" state="hidden" r:id="rId4"/>
    <sheet name="Отложенные" sheetId="10" r:id="rId5"/>
    <sheet name="Исключения" sheetId="8" r:id="rId6"/>
    <sheet name="Ключи" sheetId="9" r:id="rId7"/>
  </sheets>
  <functionGroups builtInGroupCount="18"/>
  <definedNames>
    <definedName name="_xlnm._FilterDatabase" localSheetId="5" hidden="1">Исключения!$C$1:$C$25</definedName>
    <definedName name="_xlnm._FilterDatabase" localSheetId="2" hidden="1">Лист1!$A$1:$D$15</definedName>
    <definedName name="_xlnm._FilterDatabase" localSheetId="1" hidden="1">Прод!$A$1:$A$53</definedName>
    <definedName name="_xlnm._FilterDatabase" localSheetId="0" hidden="1">Ротапост!$A$25:$A$25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<sst xmlns="http://schemas.openxmlformats.org/spreadsheetml/2006/main" count="326" uniqueCount="271">
  <si>
    <t>Ссылка</t>
  </si>
  <si>
    <t>Ключевое слово</t>
  </si>
  <si>
    <t>Перевод</t>
  </si>
  <si>
    <t>Уникальность</t>
  </si>
  <si>
    <t>Success</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</si>
  <si>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</si>
  <si>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</si>
  <si>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</si>
  <si>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</si>
  <si>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</si>
  <si>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</si>
  <si>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</si>
  <si>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</si>
  <si>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</si>
  <si>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</si>
  <si>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</si>
  <si>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</si>
  <si>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</si>
  <si>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</si>
  <si>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</si>
  <si>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</si>
  <si>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</si>
  <si>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</si>
  <si>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</si>
  <si>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</si>
  <si>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</si>
  <si>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</si>
  <si>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</si>
  <si>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</si>
  <si>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</si>
  <si>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</si>
  <si>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</si>
  <si>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</si>
  <si>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</si>
  <si>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</si>
  <si>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</si>
  <si>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</si>
  <si>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</si>
  <si>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</si>
  <si>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</si>
  <si>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</si>
  <si>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</si>
  <si>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</si>
  <si>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</si>
  <si>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</si>
  <si>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</si>
  <si>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</si>
  <si>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</si>
  <si>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</si>
  <si>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</si>
  <si>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</si>
  <si>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</si>
  <si>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</si>
  <si>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</si>
  <si>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</si>
  <si>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</si>
  <si>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</si>
  <si>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</si>
  <si>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</si>
  <si>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</si>
  <si>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Как выбрать квартиру.</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</si>
  <si>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</si>
  <si>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</si>
  <si>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</si>
  <si>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</si>
  <si>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</si>
  <si>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</si>
  <si>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</si>
  <si>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</si>
  <si>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</si>
  <si>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</si>
  <si>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</si>
  <si>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</si>
  <si>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</si>
  <si>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</si>
  <si>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</si>
  <si>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</si>
  <si>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</si>
  <si>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</si>
  <si>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Как выполняется перевозка грузов.</t>
  </si>
  <si>
    <t>Как правильно отбирать семена.</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</si>
  <si>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</si>
  <si>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</si>
  <si>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</si>
  <si>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</si>
  <si>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</si>
  <si>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</si>
  <si>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</si>
  <si>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</si>
  <si>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</si>
  <si>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</si>
  <si>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</si>
  <si>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</si>
  <si>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</si>
  <si>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</si>
  <si>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</si>
  <si>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</si>
  <si>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</si>
  <si>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</si>
  <si>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</si>
  <si>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</si>
  <si>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</si>
  <si>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</si>
  <si>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</si>
  <si>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</si>
  <si>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</si>
  <si>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</si>
  <si>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ExpiresAt</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</si>
  <si>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</si>
  <si>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</si>
  <si>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</si>
  <si>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</si>
  <si>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</si>
  <si>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</si>
  <si>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</si>
  <si>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</si>
  <si>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</si>
  <si>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</si>
  <si>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</si>
  <si>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</si>
  <si>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</si>
  <si>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</si>
  <si>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</si>
  <si>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</si>
  <si>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</si>
  <si>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</si>
  <si>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</si>
  <si>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</si>
  <si>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</si>
  <si>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</si>
  <si>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</si>
  <si>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</si>
  <si>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</si>
  <si>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</si>
  <si>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</si>
  <si>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</si>
  <si>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</si>
  <si>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</si>
  <si>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</si>
  <si>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</si>
  <si>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</si>
  <si>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</si>
  <si>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</si>
  <si>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</si>
  <si>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</si>
  <si>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В работе</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</si>
  <si>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</si>
  <si>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</si>
  <si>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</si>
  <si>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</si>
  <si>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</si>
  <si>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</si>
  <si>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</si>
  <si>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</si>
  <si>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</si>
  <si>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</si>
  <si>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</si>
  <si>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</si>
  <si>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</si>
  <si>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</si>
  <si>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</si>
  <si>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</si>
  <si>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</si>
  <si>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</si>
  <si>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сайт</t>
  </si>
  <si>
    <t>Как создается сайт.</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</si>
  <si>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</si>
  <si>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</si>
  <si>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</si>
  <si>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</si>
  <si>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</si>
  <si>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</si>
  <si>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</si>
  <si>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</si>
  <si>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</si>
  <si>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</si>
  <si>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</si>
  <si>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</si>
  <si>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</si>
  <si>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</si>
  <si>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</si>
  <si>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</si>
  <si>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</si>
  <si>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</si>
  <si>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</si>
  <si>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</si>
  <si>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</si>
  <si>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</si>
  <si>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</si>
  <si>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</si>
  <si>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</si>
  <si>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</si>
  <si>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</si>
  <si>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</si>
  <si>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</si>
  <si>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</si>
  <si>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</si>
  <si>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</si>
  <si>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</si>
  <si>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</si>
  <si>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</si>
  <si>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</si>
  <si>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</si>
  <si>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</si>
  <si>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</si>
  <si>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</si>
  <si>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</si>
  <si>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</si>
  <si>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</si>
  <si>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</si>
  <si>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</si>
  <si>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YES</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</si>
  <si>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</si>
  <si>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</si>
  <si>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</si>
  <si>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</si>
  <si>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</si>
  <si>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</si>
  <si>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</si>
  <si>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</si>
  <si>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</si>
  <si>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Максим</t>
  </si>
  <si>
    <t>d5cc2917-2128-4f9d-a58d-b5d761b71b57</t>
  </si>
  <si>
    <t>Заявки в работе</t>
  </si>
  <si>
    <t>Postovoi</t>
  </si>
  <si>
    <t>fledur.org.ua</t>
  </si>
  <si>
    <t>Где применяются электрические генераторы.</t>
  </si>
  <si>
    <t>посвящается</t>
  </si>
  <si>
    <t>http://ve4e.com.ua/de-zastosovuyutsya-elektrichni-generatori/</t>
  </si>
  <si>
    <t>Обработано</t>
  </si>
  <si>
    <t>&lt;a href="http://nikator.com.ua/catalog/mebel-medicinskaya" title="Медицинская мебель"&gt;Медицинская мебель&lt;/a&gt;</t>
  </si>
  <si>
    <t>Постовой должен быть окружен тематическим текстом
Постовой ближе к началу статьи
Постовой должен быть в новой статье
Только один постовой на страницу
Статья должна быть размером более 2 000 символов
Только уникальный контент
Без Sape и подобных бирж
Без слов "Спонсор", "Реклама" и подобных
Спасибо!</t>
  </si>
  <si>
    <t>gv.org.ua</t>
  </si>
  <si>
    <t>2017-12-26T12:32:42</t>
  </si>
  <si>
    <t>2017-12-26T12:42:51</t>
  </si>
  <si>
    <t>2018-01-02T12:42:51</t>
  </si>
  <si>
    <t>http://nikator.com.ua/catalog/mebel-medicinskaya</t>
  </si>
  <si>
    <t>&lt;a href="http://nikator.com.ua/" title="медицинское оборудование"&gt;медицинское оборудование&lt;/a&gt;</t>
  </si>
  <si>
    <t>2017-12-26T12:42:52</t>
  </si>
  <si>
    <t>2018-01-02T12:42:52</t>
  </si>
  <si>
    <t>http://nikator.com.ua/</t>
  </si>
  <si>
    <t>купить медицинскую мебель</t>
  </si>
  <si>
    <t>мебель медицинская,мебель медицинская киев, мебель медицинская киев,мебель медицинская, купить медицинскую мебель, купити медичні меблі, медичні меблі, медицинская мебель на укриане,штативы медицинские, ширмы медицинские, тележки медицинские, столы медицинские, ростомеры, шкафы медицинские, банкетки медицинские, стулья медицинские, тумбы медицинские,кресла медицинские,прочие изделия, штативы, ширмы, тележки, столы, ростомеры, шкафы медицинские, банкетки, стулья, тумбы,кресла, кушетки и массажные столы,матрасы,кровати медицинские</t>
  </si>
  <si>
    <t>https://www.initial.com.ua/1322226694-soft-corner-3nd-w-s-1.jpg</t>
  </si>
  <si>
    <t>nikator | медицинское оборудование</t>
  </si>
  <si>
    <t>узи аппараты цены, медоборудование купить,узи аппараты general electric, узи аппараты филипс,узи аппараты медисон, узи аппараты китай, узи аппараты тошиба,аппараты узи цена,аппараты узи виды,аппараты узи алока,аппараты узи украина,мед оборудование, аппараты узи, мебель медицинская, медтехника, терапия, стерилизаторы, дефибрилляторы, медицинское оборудование, аквадистиляторы, хирургическое оборудование, колькоскопы, лор оборудование,неонатология, носилки, эндоскопическое оборудование, стоматологическое оборудование, sonosite, аквадистилятор,концентратор кислорода портативный, продам кислородный концентратор, монитор фетальный, стерильные перчатки, катетеры урологические, медоборудование,медичне обладнаняя, медтехніка, купити медтехніку,пульсоксиметр украина, кушетки</t>
  </si>
  <si>
    <t>медоборудование</t>
  </si>
  <si>
    <t>Виды оборудования для медучтереждений.</t>
  </si>
  <si>
    <t>https://images.by.prom.st/63655891_armstrong_medicinskyi.png</t>
  </si>
  <si>
    <t>https://www.initial.com.ua/kak-vyibrat-mebel-dlya-doma.html</t>
  </si>
  <si>
    <t xml:space="preserve">Toggle Menu _x000D_
 ГЛАВНАЯ _x000D_
ДИЗАЙН В ДОМЕдизайн интерьера в доме_x000D_
ДИЗАЙН В ОФИСЕдизайн интерьера в офисе_x000D_
РЕМОНТв квартире_x000D_
ЗАГОРОДНЫЙ ДОМземельный участок_x000D_
ЭЛЕКТРИКАзаметки электрика_x000D_
ТЕХНИКА ДЛЯ ДОМАтехника и аксессуары_x000D_
Мебель для дома и офиса_x000D_
Благоустройство территории_x000D_
Готовые дизайн проекты_x000D_
Контакты_x000D_
Карта сайта_x000D_
Как выбрать мебель для дома_x000D_
Мебель для дома и офиса _x000D_
Категория: Мебель для дома и офиса Дата публикации: 06 окт 2017 _x000D_
Рано или поздно вопрос о покупке мебели для дома становится актуальным для каждой семьи._x000D_
Для многих приобретение имущества длительного пользования является сложным и трудным, ведь торговые представители могут предложить достаточно обширное поле для выбора и тут уже, как говорится, глаза разбегаются. Для того чтоб этого не случилось, стоит основательно подготовиться к решению этой проблемы._x000D_
Общие советы по выбору медели для дома_x000D_
Вначале необходимо определиться с проектировкой комнат и цветовой гаммой, выбрать приемлемый стиль. Стоит помнить, что цветовое решение по-своему влияет на настроение._x000D_
_x000D_
И использование слишком ярких цветов в зонах, направленных на отдых, не будет корректно. Так же, при выборе мебели учитываются потребности каждого члена семьи. Например, грамотное наполнение детской не только обрадует малыша, но и во многом защитит его от возможных травм и ушибов._x000D_
_x000D_
Гостиная по максимуму должна отвечать требованиям каждого, кто окажется в этой зоне. Прихожая с минимальным набором предметов интерьера, но, как и в гостиной, максимальным функционалом. А для зоны отдыха (спальня) основным условием является прочная, удобная кровать. _x000D_
Критерии, на которые стоит обратить внимание при выборе медели:_x000D_
1. Функциональность. Очень важный момент, особенно для владельцев малогабаритных квартир. Сейчас предоставляется огромный выбор разнообразной трансформирующейся мебели. Она раздвигается, меняют свою форму, подстраиваясь под нужды каждого. Даже самый искушенный клиент найдет себе мебель по душе._x000D_
_x000D_
_x000D_
2. Размер. Да-да, тот самый момент, когда размер имеет значение! Не стоит покупать мебель не по размеру. Лучше оставить больше пространства, а о прилегающих вплотную друг к другу дивану и креслу стоит забыть._x000D_
_x000D_
3. Материал. Определить качество материалов, например ДСП, достаточно непросто. Однако обратить внимание на рыхлость, значительную сухость сырья или на наличие сколов и царапин может каждый._x000D_
Определяясь с обивкой, лучше всего ориентироваться на то, в каких условиях будет проходить эксплуатация. Например, если есть дети, то лучшим решением будет материал, который можно легко очистить. Так же должного внимания заслуживает фурнитура._x000D_
_x000D_
_x000D_
4. Цвет. Само собой, при выборе цвета следует обратить внимание на гармоничное сочетание предметов интерьера. Лучше всего ознакомится с дополнительной информацией о хорошем сочетании цветов, но можно также положиться на собственный вкус и предпочтения._x000D_
_x000D_
_x000D_
5. Стоимость. Самый щекотливый момент – финансовая сторона. Однако не следует этот критерий делать основным и покупать то, на что хватит. Не стоит покупать слишком дешевые вещи. Ведь всем известно: скупой платит дважды._x000D_
_x000D_
_x000D_
После определения всех критериев выбора мебели для дома можно приступать к покупке. Для того, чтобы не ограничивать себя в выборе по модельному ряду и цветам, рекомендуем делать выбор мебели в интернет магазине "Мебельмарт", где представлено большое количество различной мебели для дома и офиса._x000D_
_x000D_
Очень важно правильно подойти к решению подобного вопроса и, конечно, не нужно забывать о собственных вкусах и пожеланиях. А уж после остается наслаждаться полученным результатом от приложенных усилий._x000D_
_x000D_
_x000D_
Похожие публикации_x000D_
Возможно вам будет интересно _x000D_
 _x000D_
Строим баню своими руками: как сделать внутреннюю отделку - материалы, советы, инструкции_x000D_
 _x000D_
Выбираем входную дверь в квартиру_x000D_
 _x000D_
Штаб-квартира рекрутингового агентства Snagajob_x000D_
Мебель для дома_x000D_
 _x000D_
Выбор перегородок для зонирования рабочих мест обсуждаем варианты и делимся опытом_x000D_
5 out of 5 _x000D_
 _x000D_
Добро пожаловать в котельную – удивительный стеллаж LIBRA из картона и водопроводных труб от компании Capolinea, Италия_x000D_
5 out of 5 _x000D_
 _x000D_
Женский взгляд на независимость – смелый журнальный столик Tiers tables от Patricia Urquiola_x000D_
5 out of 5 _x000D_
Техника для дома_x000D_
Как выбрать хорошую дрель для домашнего использования?_x000D_
Удобно, когда в доме есть все необходимое. При выпол..._x000D_
01.09.2017г. _x000D_
Как подобрать электропилу_x000D_
Строительство, садовый участок, ремонтный процесс, л..._x000D_
29.08.2017г. _x000D_
Стиральные машины ARDO: причины поломки и стоимость ремонта_x000D_
Даже самая хорошая и качественная бытовая техника им..._x000D_
14.11.2017г. _x000D_
Фильтры для очистки воды дома_x000D_
В современных домах водопроводные системы не снабжен..._x000D_
09.08.2017г. _x000D_
Цены на кондиционеры зимой_x000D_
Приобретение кондиционера – ответственное меро..._x000D_
01.11.2015г. _x000D_
Как выбрать швейную машинку_x000D_
Как выбрать швейную машинку?_x000D_
То..._x000D_
14.12.2017г. _x000D_
Как выбрать фритюрницу_x000D_
Наверное, каждый ч..._x000D_
14.08.2015г. _x000D_
Универсальный кухонный комбайн Jaipan_x000D_
Работа на кухне еще никогда не доставляла столько ра..._x000D_
18.03.2017г. _x000D_
Какой бойлер выбрать ? Виды и все нюансы_x000D_
Задумались над покупкой бойлера ? Или сменой ..._x000D_
07.12.2017г. _x000D_
Обзор соковыжималок для моркови_x000D_
Вы решили, что пришло время сделать что-то для вашег..._x000D_
18.03.2017г. _x000D_
Портативный солярий для дома_x000D_
В современном мире стремление женщин к совершенству ..._x000D_
07.08.2017г. _x000D_
Как выбрать хороший ноутбук_x000D_
Как среди всего многообразия ноутбуков выбрать тот, ..._x000D_
07.08.2017г. _x000D_
Электрочайники от 'Russell Hobbs'_x000D_
Если вы подыскиваете лучший электрочайник для своего..._x000D_
21.02.2017г. _x000D_
Как научиться танцевать во взрослом возрасте_x000D_
Танцы – это отличный способ приобрести здоровье, кра..._x000D_
10.08.2016г. _x000D_
Самостоятельная установка стиральной машины_x000D_
У каждого человека после приобретения стиральной маш..._x000D_
13.09.2017г. _x000D_
РЕМОНТ В КВАРТИРЕ_x000D_
 _x000D_
Подготовка к ремонту: практические советы _x000D_
«Ремонт нельзя закончить, его можно только приостановить» - все мы по…_x000D_
24.12.2017г. _x000D_
 _x000D_
Лайфхаки для уборки: как убрать неприятный запах _x000D_
Несколько ценных советов для уборки на каждый ден…_x000D_
22.12.2017г. _x000D_
 _x000D_
Усилитель Ibanez IBZ10B _x000D_
Для тех кто играет ... или история об одной музыкальном усилителе._x000D_
14.12.2017г. _x000D_
 _x000D_
Шторы современный дизайн фото _x000D_
Когда в идеально обустроенном и обставленном дом…_x000D_
14.12.2017г. _x000D_
 _x000D_
Уход за мрамором _x000D_
13.12.2017г. _x000D_
 _x000D_
Отдельно стоящие ванны _x000D_
Отдельно стоящие ванны, особенно ванны с лапами ногами, всегда имели …_x000D_
11.12.2017г. _x000D_
 _x000D_
Преимущества 3D полов _x000D_
 _x000D_
Преимущества 3D полов_x000D_
09.12.2017г. _x000D_
ЗАГОРОДНЫЙ ДОМ_x000D_
 _x000D_
Технология железобетонных конструкций _x000D_
Железобетонные конструкции в строительств…_x000D_
24.12.2017г. _x000D_
 _x000D_
Укладка битумной черепицы _x000D_
Как же правильно сделать монтаж битумной …_x000D_
20.12.2017г. _x000D_
 _x000D_
Загородные дома и их особенности _x000D_
Загородные …_x000D_
17.12.2017г. _x000D_
 _x000D_
Обновление старого дома _x000D_
Старые дома часто хорошо и качественно построены…_x000D_
16.12.2017г. _x000D_
 _x000D_
Баня с беседкой _x000D_
Сегодня мы решили познаком…_x000D_
05.12.2017г. _x000D_
 _x000D_
Мясо на гриле _x000D_
Что может быть лучше вкусного мяса в компании любимой семьи и друзей на выход…_x000D_
02.12.2017г. _x000D_
 _x000D_
Печка булерьян _x000D_
Зима уже близко, а холод в домах с повышением тар…_x000D_
30.11.2017г. _x000D_
© All Rights Reserved _x000D_
 </t>
  </si>
  <si>
    <t xml:space="preserve"> Для многих приобретение имущества длительного пользования является сложным и трудным, ведь торговые представители могут предложить достаточно обширное поле для выбора и тут уже, как говорится, глаза разбегаются. Для того чтоб этого не случилось, стоит основательно подготовиться к решению этой проблемы._x000D_ Вначале необходимо определиться с проектировкой комнат и цветовой гаммой, выбрать приемлемый стиль. Стоит помнить, что цветовое решение по-своему влияет на настроение._x000D_ И использование слишком ярких цветов в зонах, направленных на отдых, не будет корректно. Так же, при выборе мебели учитываются потребности каждого члена семьи. Например, грамотное наполнение детской не только обрадует малыша, но и во многом защитит его от возможных травм и ушибов._x000D_ Функциональность. Очень важный момент, особенно для владельцев малогабаритных квартир. Сейчас предоставляется огромный выбор разнообразной трансформирующейся мебели. Она раздвигается, меняют свою форму, подстраиваясь под нужды каждого. Даже самый искушенный клиент найдет себе мебель по душе._x000D_ Размер. Да-да, тот самый момент, когда размер имеет значение! Не стоит покупать мебель не по размеру. Лучше оставить больше пространства, а о прилегающих вплотную друг к другу дивану и креслу стоит забыть._x000D_ Материал. Определить качество материалов, например ДСП, достаточно непросто. Однако обратить внимание на рыхлость, значительную сухость сырья или на наличие сколов и царапин может каждый._x000D_ Определяясь с обивкой, лучше всего ориентироваться на то, в каких условиях будет проходить эксплуатация. Например, если есть дети, то лучшим решением будет материал, который можно легко очистить. Так же должного внимания заслуживает фурнитура._x000D_ Цвет. Само собой, при выборе цвета следует обратить внимание на гармоничное сочетание предметов интерьера. Лучше всего ознакомится с дополнительной информацией о хорошем сочетании цветов, но можно также положиться на собственный вкус и предпочтения._x000D_ Стоимость. Самый щекотливый момент – финансовая сторона. Однако не следует этот критерий делать основным и покупать то, на что хватит. Не стоит покупать слишком дешевые вещи. Ведь всем известно: скупой платит дважды._x000D_ После определения всех критериев выбора мебели для дома можно приступать к покупке. Для того, чтобы не ограничивать себя в выборе по модельному ряду и цветам, рекомендуем делать выбор мебели в интернет магазине "Мебельмарт", где представлено большое количество различной мебели для дома и офиса._x000D_ Очень важно правильно подойти к решению подобного вопроса и, конечно, не нужно забывать о собственных вкусах и пожеланиях. А уж после остается наслаждаться полученным результатом от приложенных усилий._x000D_</t>
  </si>
  <si>
    <t xml:space="preserve"> Для многих приобретение имущества длительного пользования является сложным и трудным, ведь торговые представители могут предложить достаточно обширное поле для выбора и тут уже, как говорится, глаза разбегаются. Для того чтоб этого не случилось, стоит основательно подготовиться к решению этой проблемы._x000D_ Вначале необходимо определиться с проектировкой комнат и цветовой гаммой, выбрать приемлемый стиль. Стоит помнить, что цветовое решение по-своему влияет на настроение._x000D_ И использование слишком ярких цветов в зонах, направленных на отдых, не будет корректно. Так же, при выборе мебели учитываются потребности каждого члена семьи. Например, грамотное наполнение детской не только обрадует малыша, но и во многом защитит его от возможных травм и ушибов._x000D_ Функциональность. Очень важный момент, особенно для владельцев малогабаритных квартир. Сейчас предоставляется огромный выбор разнообразной трансформирующейся мебели. Она раздвигается, меняют свою форму, подстраиваясь под нужды каждого. Даже самый искушенный клиент найдет себе мебель по душе._x000D_ Размер. Да-да, тот самый момент, когда размер имеет значение! Не стоит покупать мебель не по размеру. Лучше оставить больше пространства, а о прилегающих вплотную друг к другу дивану и креслу стоит забыть._x000D_ Материал. Определить качество материалов, например ДСП, достаточно непросто. Однако обратить внимание на рыхлость, значительную сухость сырья или на наличие сколов и царапин может каждый._x000D_ Определяясь с обивкой, лучше всего ориентироваться на то, в каких условиях будет проходить эксплуатация. Например, если есть дети, то лучшим решением будет материал, который можно легко очистить. Так же должного внимания заслуживает фурнитура._x000D_ Цвет. Само собой, при выборе цвета следует обратить внимание на гармоничное сочетание предметов интерьера. Самый щекотливый момент – финансовая сторона. </t>
  </si>
  <si>
    <t xml:space="preserve">Для багатьох придбання майна тривалого користування є складним і важким, адже торгові представники можуть запропонувати досить широке поле для вибору і тут вже, як кажуть, очі розбігаються. Для того щоб цього не сталося, варто ґрунтовно підготуватися до вирішення цієї проблеми. Спочатку необхідно визначитися з проектуванням кімнат і колірною гамою, вибрати прийнятний спосіб. Варто пам'ятати, що колірне рішення по-своєму впливає на настрій. І використання занадто яскравих кольорів в зонах, спрямованих на відпочинок, не буде коректно. Так само, при виборі меблів враховуються потреби кожного члена сім'ї. Наприклад, грамотне наповнення дитячої не тільки потішить дитину, але й багато в чому захистить його від можливих травм і ударів. Функціональність. Дуже важливий момент, особливо для власників малогабаритних квартир. Зараз надається величезний вибір різноманітної меблів. Вона розкривається, змінюють свою форму, підлаштовуючись під потреби кожного. Навіть самий досвідчений клієнт знайде собі меблі по душі. Розмір. Так-так, той самий момент, коли розмір має значення! Не варто купувати меблі не за розміром. Краще залишити більше простору, а про прилягають впритул один до одного дивана і крісла варто забути. Матеріал. Визначити якість матеріалів, наприклад ДСП, досить непросто. Однак звернути увагу на рихлість, значну сухість сировини або на наявність сколів та подряпин може кожен. Так само належної уваги заслуговує фурнітура. Колір. </t>
  </si>
  <si>
    <t>Як вибрати меблі для дому.</t>
  </si>
  <si>
    <t>[caption id="" align="aligncenter" width="350"]&lt;img src="https://www.initial.com.ua/1322226694-soft-corner-3nd-w-s-1.jpg" alt="" width="350" height="300" /&gt; Як вибрати меблі для дому.[/caption]    Для багатьох придбання майна тривалого користування є складним і важким, адже торгові представники можуть запропонувати досить широке поле для вибору і тут вже, як кажуть, очі розбігаються. Для того щоб цього не сталося, варто ґрунтовно підготуватися до вирішення цієї проблеми. Спочатку необхідно визначитися з проектуванням кімнат і колірною гамою, вибрати прийнятний спосіб. Варто пам'ятати, що колірне рішення по-своєму впливає на настрій. І використання занадто яскравих кольорів в зонах, спрямованих на відпочинок, не буде коректно. Так само, при виборі меблів враховуються потреби кожного члена сім'ї. Також ви можете знайти все необхідне на ресурсі &lt;a href="http://nikator.com.ua/catalog/mebel-medicinskaya" title="Медицинская мебель"&gt;Медицинская мебель&lt;/a&gt;._x000D_
    Наприклад, грамотне наповнення дитячої не тільки потішить дитину, але й багато в чому захистить його від можливих травм і ударів. Функціональність. Дуже важливий момент, особливо для власників малогабаритних квартир. Зараз надається величезний вибір різноманітної меблів. Вона розкривається, змінюють свою форму, підлаштовуючись під потреби кожного. Навіть самий досвідчений клієнт знайде собі меблі по душі. Розмір. Так-так, той самий момент, коли розмір має значення! Не варто купувати меблі не за розміром. Краще залишити більше простору, а про прилягають впритул один до одного дивана і крісла варто забути. _x000D_
     Матеріал. Визначити якість матеріалів, наприклад ДСП, досить непросто. Однак звернути увагу на рихлість, значну сухість сировини або на наявність сколів та подряпин може кожен. Визначаючись з оббивкою, краще всього орієнтуватися на те, в яких умовах буде проходити експлуатація. Наприклад, якщо є діти, то кращим рішенням буде матеріал, який можна легко очистити. Так само належної уваги заслуговує фурнітура. Колір. Само собою, при виборі кольору слід звернути увагу на гармонійне поєднання предметів інтер'єру. Самий делікатний момент – фінансова сторона.</t>
  </si>
  <si>
    <t>http://gv.org.ua/yak-vibrati-mebli-dlya-domu/</t>
  </si>
  <si>
    <t>http://spasibo.od.ua/%D0%BF%D1%80%D0%BE%D0%B5%D0%BA%D1%82%D1%8B/%D0%BE%D0%B1%D0%BE%D1%80%D1%83%D0%B4%D0%BE%D0%B2%D0%B0%D0%BD%D0%B8%D0%B5-%D0%B2-%D0%BC%D0%B5%D0%B4%D0%B8%D1%86%D0%B8%D0%BD%D1%81%D0%BA%D0%B8%D0%B5-%D1%83%D1%87%D1%80%D0%B5%D0%B6%D0%B4%D0%B5%D0%BD/</t>
  </si>
  <si>
    <t>Small Text</t>
  </si>
  <si>
    <t>http://investmed.pro/category/chto-my-predlagaem/prodazha-meditsinskogo-oborudovaniya/</t>
  </si>
  <si>
    <t xml:space="preserve"> _x000D_
+7(499)707-76-32_x000D_
info@investmed.org_x000D_
+7(495)380-48-38_x000D_
project@investmed.pro_x000D_
Основное меню Перейти к содержимому _x000D_
О компании _x000D_
Кто мы такие_x000D_
Наш опыт _x000D_
ПРОЕКТИРОВАНИЕ_x000D_
Строительство и ремонт_x000D_
МОДУЛИ ЧИСТЫХ ПОМЕЩЕНИЙ_x000D_
Вакансии_x000D_
Что мы предлагаем _x000D_
Проектирование медицинских учреждений, в т.ч. ОВиК, СКС, ЭС, МГ, пожарная сигнализация._x000D_
Строительство медицинских учреждений, в т.ч. ОВиК, СКС, ЭС, МГ, пожарная сигнализация._x000D_
Проектирование и строительство чистых помещений_x000D_
Оснащение медицинских учреждений_x000D_
Ремонт и обслуживание медицинской техники_x000D_
Проектирование и монтаж слаботочных систем_x000D_
Медицинское оборудование_x000D_
Расходные материалы _x000D_
Дыхательные фильтры и фильтры для очистки воды Pall_x000D_
Расходники для «Горного воздуха»_x000D_
Оборудование для физиотерапии и реабилитации_x000D_
Натронная известь_x000D_
Лейкоцитарные системы и фильтры_x000D_
Инфузионные и трансфузионные фильтры_x000D_
Специальные предложения_x000D_
Контакты_x000D_
Проектирование и строительство_x000D_
Поставка_x000D_
оборудования_x000D_
Дыхательные фильтры и фильтры для очистки воды Pall_x000D_
Оборудование для физиотерапии и реабилитации_x000D_
Расходники для "Горного воздуха"_x000D_
Натронная_x000D_
известь_x000D_
Лейкоцитарные системы и фильтры_x000D_
Инфузионные и трансфузионные фильтры_x000D_
_x000D_
_x000D_
Оснащение медицинских учреждений | Поставка медицинского оборудования_x000D_
Аппарат подачи оксида азота NOXBOX  ⇓Март 31, 2017 admin _x000D_
Аппарат подачи оксида азота NOXBOX_x000D_
В связи с ростом во всем мире количества операционных вмешательств на сердце и легких, а также быстрый рост трансплантации донорских сердец пациента, неизбежно растет интерес к такому важному компоненту защиты пациента от тяжелых осложнений, как система подачи оксида азота (NO терапия). Компания Bedfont предлагает современное надежное и безопасное оборудование для этих целей.За коммерческими предложениями обращаться по тел.: 8(495) 380-48-38_x000D_
Компания АО «Инвестмед» является эксклюзивным представителем в России компании NOxBOX (Великобритания) – производителя системы подачи оксида азота NOxBOX Mobile._x000D_
Окись азота вводится в качестве селективного легочного сосудорасширяющего средства для таких состояний как:_x000D_
Устойчивая гипертензия легких у новорожденных_x000D_
Синдром острой дыхательной недостаточности у взрослых_x000D_
Острые состояния у пациентов после операций на сердце_x000D_
NOxBOX Mobile предназначен для использования квалифицированными медиками в медицинских помещениях для ввода окиси азота (NO) в дыхательный контур пациента, проходящего терапию вдыханием окиси азота. При использовании в сочетании с монитором терапии вдыханием NO NOxBOXO2 прибор становится компонентом в системе подачи и контроля окиси азота._x000D_
Система крепится на тележке из малоуглеродистой стали с эпоксидным покрытием, которую нужно располагать рядом с прикроватным вентилятором пациента._x000D_
Во избежание внезапного прекращения терапии NO, что может оказаться очень вредным для пациента, в NOxBOX Mobile предусмотрена установка двух 10-литровых баллонов с NO и система смены баллонов с NO. Таким образом оба баллона можно установить одновременно так, что если газ в одном баллоне закончится подача NO пациенту не прекратится._x000D_
Возможность мониторинга обеспечивается NOxBOXO2, аппарат получает питание от сети и имеет резервный источник питания. Аккумуляторы NOxBOXO2 можно заряжать через сетевой трансформатор.  МониторNOxBOXO2 с помощью электрохимической технологии исследует образец газа, а микропроцессор преобразует выходное напряжение сенсора в соответствующие цифры, выводимые в качестве результата анализа._x000D_
 _x000D_
Диапазон мониторинга_x000D_
МониторДиапазон измеренийЧувствительность _x000D_
NOxBOX+ NO0-200 ‰Шаг в 0.1 ‰. Возможная чувствительность анализа 0.2 ‰ (20 частей на миллиард)._x000D_
NO2 0-50 ‰_x000D_
 NO0-99.9 ‰  _x000D_
NOxBOXO2   Шаг в 0.1 ‰ (NO и NO2). Возможная чувствительность анализа 0.2 ‰ (20 частей на миллиард). _x000D_
NO2 0-19,9 ‰ _x000D_
O2 0-99.9% _x000D_
_x000D_
 _x000D_
Датчик защищен от высокого уровня конденсата влажности, который может его повредить. Для этого имеется система кондиционирования образцов до попадания газа на датчик. _x000D_
В аппарате подачи оксида азота NOxBOX+ предусмотрены два уровня тревоги – низкий и высокий для NO, и высокий уровень тревоги для NO2. Сигнал тревоги предупреждает врача о концентрациях, находящихся за пределами допустимого диапазона. _x000D_
В аппарате подачи оксида азота NOxBOX2 предусмотрены несколько уровней тревоги – низкий и высокий для NO, высокий для NO2 и низкий уровень тревоги для O2. Сигнал тревоги предупреждает врача о концентрациях, находящихся за пределами допустимого диапазона. _x000D_
Для предупреждения персонала об утечке NO можно опционально установить детекторы газа в окружающем воздухе (NOxAIR). Специальные мониторы NO и NO2 постоянно анализируют окружающий воздух на предмет наличия очень малых концентраций этих газов. Сигналы тревоги указывают на превышение заданной предельной концентрации._x000D_
Ультразвуковые системы Esaote  ⇓Сентябрь 29, 2016 seo _x000D_
УЛЬТРАЗВУКОВЫЕ СИСТЕМЫ ESAOTE, ИТАЛИЯ_x000D_
Аппараты MyLab – ультразвуковые системы экспертного класса с возможностью объемного сканирования в реальном масштабном времени, обладающие непревзойденным качеством изображения и рядом уникальных функций во всех режимах._x000D_
  MyLab Class C – ультразвуковой аппарат премиум класса с расширенной модульной архитектурой, последним поколением технологий формирования луча и фокусировки, с увеличенным частотным режимом. Монитор MyLab Class C 19 дюймов с уникальной технологией Opti-Light, которая соотносит освещенность экрана с освещенностью в помещении, выставляя уровень яркости на сенсорной панели._x000D_
MyLab Seven – ультразвуковой аппарат экспертного класса с цветным широкоформатным поворотным жидкокристаллическим монитором, с возможностью перемещения и автономной работой до 30 минут. В комплект входит 4 бесштырьковых коннектора для электронных датчиков._x000D_
  MyLab Alpha – портативный ультразвуковой аппарат премиум класса с цветным широкоформатным поворотным жидкокристаллическим монитором, с возможностью перемещения и автономной работой до 60 минут. В комплект входит 2 бесштырьковых коннектора для электронных датчиков и порт для карандашного датчика._x000D_
 MyLab Twice – портативный ультразвуковой аппарат с системой MyLabSat, позволяющей проводить диагностические процедуры одновременно у нескольких пациентов. Датчики с частотой до 22 MHz дают возможность еще лучше обследовать поверхностные и подкожные образования и проводить поверхностные инвазивные процедуры. _x000D_
  MyLab Touch – портативный ультразвуковой аппарат нового поколения с 12-дюймовым сенсорным TFT LCD монитором, с возможностью перемещения и автономным питанием до 1,5 часов._x000D_
_x000D_
Стерилизация и дезинфекция Cisa  ⇓Сентябрь 29, 2016 seo _x000D_
СТЕРИЛИЗАЦИЯ И ДЕЗИНФЕКЦИЯ CISA, ИТАЛИЯ_x000D_
Компания АО «Инвестмед» предлагает оборудование производства CISA (Италия). Оборудование является современным, отвечающим всем международным стандартам качества, и представляет полный диапазон оборудования для дезинфекции и стерилизации._x000D_
 Низкотемпературные плазменные стерилизаторы SPS_x000D_
(с объемом камеры 142 и 314 литров)Стерилизация гибких и жестких эндоскопов (ERS) и система для их стерильного хранения (ESS)_x000D_
_x000D_
Моечно-дезинфекционные машины_x000D_
(объемы камер: 205, 225, 270 и 355 литров) Паровые стерилизаторы_x000D_
 _x000D_
 Дезинфекционные камеры для тележек, кроватей и паро-формальдегидные стерилизаторы для матрацев_x000D_
 _x000D_
_x000D_
Аспираторы и ингаляторы Nouvag  ⇓Сентябрь 29, 2016 seo _x000D_
АСПИРАТОРЫ, ИНГАЛЯТОРЫ И МОТОРНЫЕ СИСТЕМЫ NOUVAG, ШВЕЙЦАРИЯ_x000D_
Компания Nouvag была основана в 1971 году как небольшое частное производство, но на сегодняшний день это один из ведущих производителей оборудования для медицины и стоматологии в своем классе._x000D_
ВАКУУМНЫЕ АСПИРАТОРЫ для:_x000D_
Хирургии_x000D_
Реанимации_x000D_
Интенсивной терапии_x000D_
Акушерства и гинекологии_x000D_
Оториноларингологии_x000D_
Липоксации и др._x000D_
VACUSON 18_x000D_
VACUSON 40VACUSON 60_x000D_
УЛЬТРАЗВУКОВОЙ ИНГАЛЯТОРМОТОРНАЯ СИСТЕМА MD 30СИСТЕМА ДЛЯ ЛИПОСАКЦИИ VACUSON 60 LP_x000D_
  _x000D_
Челюстно-лицевой хирургии_x000D_
Оториноларингологии_x000D_
Микрохирургии_x000D_
Стоматологии_x000D_
Пластической хирургии_x000D_
Хирургии кисти_x000D_
Комбустиологии_x000D_
_x000D_
С процессорным контролем функций, подогревом аэрозоля. Пригоден для длительной работы._x000D_
_x000D_
Автоматизированные инфузионные системы B.Braun  ⇓Сентябрь 29, 2016 seo _x000D_
АВТОМАТИЗИРОВАННЫЕ ИНФУЗИОННЫЕ СИСТЕМЫ B.BRAUN, ГЕРМАНИЯ_x000D_
B.Braun (Германия) – производитель универсальных автоматизированных инфузионных систем, которые позволяют использовать один насос для всех видов инфузии._x000D_
B.BRAUN Space – это:_x000D_
Максимально эффективное использование пространства_x000D_
Высокая безопасность_x000D_
Простота и гибкость конфигурации_x000D_
Простота передачи данных_x000D_
Надежная связь с пациентом_x000D_
_x000D_
 Инфузомат Space – автоматическое перекрытие инфузионной линии при ее извлечении_x000D_
Новый Инфузомат Space имеет двойную систему защиты с двумя прерывателями свободного тока. Один из них находится в насосе, другой встроен в инфузионную систему Инфузомат Спэйс. Надежное предотвращение свободного потока жидкости обеспечивается даже в том случае, если роликовый зажим на системе не был закрыт перед ее извлечением._x000D_
Два датчика давления – на входе и выходе насоса – обеспечивают полный контроль инфузии, УЗ-датчик воздуха вместе с опциональным датчиком капель повышают эффективность всесторонней системы безопасности._x000D_
Точность инфузии +/- 5._x000D_
_x000D_
Перфузор Space – удобная и безопасная смена шприца_x000D_
Инновационный механизм привода насоса Перфузор Спейс отличается не только прекрасными стартовыми характеристиками и равномерностью инфузии, но и высокой безопасностью при введении медикаментов и исключительным удобством при смене шприца._x000D_
Фиксатор плунжера предотвращает свободный ток жидкости._x000D_
Увеличительное стекло передней панели, независимая подсветка экрана, кнопок и шприца улучшают визуализацию при любых условия эксплуатации._x000D_
_x000D_
Станция Space – мобильная модульная система_x000D_
Рациональное использование пространства и мобильность компактной и легкой конструкции_x000D_
Экономия времени за счет простоты установки и извлечения насосов_x000D_
Централизованное электропитание и подключение к компьютерной сети сокращает количество проводов_x000D_
Любое соотношение перистальтических и шприцевых насосов_x000D_
_x000D_
 Станция Spase МРТ предназначена для пространственной и функциональной организации инфузионных насосов Space. До четырех инфузионных насосов, в любом соотношении шприцевых и перистальтических, может быть установлено в одну станцию. Все, что необходимо для их интеграции это нажать одну кнопку. Надежная фиксация, единое электропитание и быстрое извлечение насоса при необходимости. Изолирует насосы от внешнего магнитного поля и обеспечивает высокое качество изображения. Встроенный датчик позволяет расположить станцию наиболее безопасно и близко к пациенту. _x000D_
 Брауностат U предназначен для стационарного и мобильного использования._x000D_
Крепление до трех насосов_x000D_
Настраиваемая по высоте (1260 -2200 мм) инфузионная стойка с подвесами для четырех инфузионных флаконов_x000D_
Емкость для жидкости_x000D_
Максимальная нагрузка 40 кПа_x000D_
Устойчивое основание с пятью колесами, два из которых снабжены стопорами._x000D_
_x000D_
_x000D_
Цифровая рентгенография и цифровая маммография Fujifilm  ⇓Сентябрь 29, 2016 seo _x000D_
ЦИФРОВАЯ РЕНТГЕНОГРАФИЯ FUJIFILM, ЯПОНИЯ_x000D_
Цифровой рентгенографический комплекс FDR AcSelerate – это система, ядром которой является новый плоский детектор (FPD), из аморфного селена, размером 43х43 см, с прямым преобразованием сигнала, отличающийся высокой эффективностью регистрации излучения. Он позволяет более эффективно использовать энергию рентгеновского излучения и получать изображения высокого качества благодаря улучшенной функции передачи модуляции и более высокой квантовой эффективности детектора. Все это способствует существенному снижению лучевой нагрузки на пациента._x000D_
Установка системы AcSelerate позволяет повысить скорость обработки изображений. Просмотреть изображение на консоли Advance можно уже через 2 секунды после его получения. Минимальный интервал между экспозициями сокращен приблизительно до 4 секунд. Консоль Advance подходит для систем FDR и FCR. _x000D_
  FCR Capsula XLII – компактный однокассетный считыватель, оснащенный дополнительной функцией считывания с разрешением 50 микрон для пластин HR-V, что позволяет детальнее визуализировать более мелкие структуры. Благодаря этому она отлично подходит, в том числе и для маммографических исследований. Высокая скорость обработки — приблизительно до 94 IP-пластин в час; время до появления изображения на экране консоли управления CR Console составляет около 23 секунд. Имеет поддержку различных размеров диагностических изображений (7 размеров кассет для рентгенографии, включая 15х30 см, и 2 размера кассет для маммографии)._x000D_
FCR Protect CS – считыватель, созданный специально для маммографии, который имеет двухстороннюю технологию считывания с разрешением 20 точек/мм для получения высококачественного цифрового рентгеновского изображения. Одновременно с маммографическими изображениями FCR PROFECT CS может обрабатывать стандартные рентгеновские снимки, что делает его универсальным решением для отделения лучевой диагностики._x000D_
 FCR Go – это цифровой передвижной аппарат с возможностью быстро и с большой точностью выполнить рентгенографию и проанализировать снимки практически в любом месте лечебного учреждения. Двухмоторный привод с возможностью регулировки скорости перемещения позволяет легко управлять аппаратом и обеспечивает превосходную мобильность даже в самых узких местах. Благодаря низкому уровню шума аппарат можно спокойно перемещать даже в ночные часы. Расположенный на передней панели датчик касания автоматически срабатывает при контакте с препятствием, мгновенно блокируя перемещение аппарата. Телескопический штатив трубки легко выдвигается и точно устанавливается в нужное положение. Расширенный диапазон горизонтального и вертикального перемещения штатива позволяет выполнять съемку на больших расстояниях с сохранением высокого качества изображений. Рентгеновская трубка также может перемещаться в горизонтальном и вертикальном направлениях для позиционирования даже при диагональном положении штатива._x000D_
 Amulet – это современный цифровой маммограф с плоскопанельным детектором прямого преобразования (FPD) с размером пикселя 50 микрон. Система обеспечивает высокое качество изображения, которое достигается использованием уникальной технологии формирования изображения FUJIFILM и предлагает оптимизированный рабочий процесс. Плоскопанельный детектор прямого преобразования содержит в себе двойной слой аморфного селена (a-Se) и вместо тонкопленочных транзисторов (TFT) использует технологию прямого оптического переключения для более эффективного считывания сигнала с меньшим уровнем шумов. При помощи технологии прямого оптического переключения (Digital Optical Switching) достигается большее значение DQE даже при размере пикселя 50 микрон._x000D_
 Плоскопанельный детектор для цифровой ренгенографии FDR D-EVO – это самый легкий плоскопанельный детектор размером 35 x 43 см, толщина 14 мм, при массе всего 2,8 кг. Система работает быстро и эффективно, – передача изображения на консоль сбора данных занимает всего три секунды, а время цикла составляет девять секунд. Патентованная технология Fujifilm – Irradiation Side Sampling (ISS) – повышает четкость изображений и уменьшает лучевую нагрузку._x000D_
_x000D_
Электронная видеоэндоскопическая система Fujifilm  ⇓Сентябрь 29, 2016 seo _x000D_
ЭЛЕКТРОННАЯ ВИДЕОЭНДОСКОПИЧЕСКАЯ СИСТЕМА FUJIFILM, ЯПОНИЯ_x000D_
FUJIFILM (Япония) – производитель гибкой эндоскопии. Среди инноваций стоит отметить эндоскопы для трансназальной и двухбаллонной эндоскопии, а также технологию FICE (технология спектрального цветового выделения). Также среди продукции компании представлены системы цифровой маммографии, фиброволоконные эндоскопы, видеоэндоскопы, электронные видеоэндоскопические системы, мобильные рентгены и ультразвуковые аппараты._x000D_
Электронная видеоэндоскопическая система ЕРХ–4450 HD построена на базе современных технологий и открывает новые диагностические возможности, обеспечивает высокую четкость и широкие возможности обработки изображений, предоставляет дружественный интерфейс пользователя и оптимизированные сетевые возможности._x000D_
Технология FICE _x000D_
Процессор VP-4450HD поддерживает технологию спектральной обработки изображений (FICE) для оптимизации эндоскопических исследований, которая базируется на различении волновых характеристик источников света. Аналогичная технология используется для анализа спутниковых снимков, — при эндоскопии она позволяет получать изображения, которые содержат только определенные длины волн, и тем самым выявлять значимые характеристики тканей и сосудов. Для использования данной технологии в системе предусмотрено десять шаблонов спектральной настройки для разных эндоскопических зон. Комплексная диагностика нужной зоны осуществляется с помощью выбора соответствующих шаблонов. Различные режимы просмотра полученных изображений делают FICE важным инструментом при проведении рутинных обследований._x000D_
Режимы двойного просмотра и записи _x000D_
Режимы двойного просмотра позволяют осуществлять одновременный вывод на экран обычного и FICE изображения. Параллельный просмотр двух изображений дает больше информации для исследования и диагностики. Также при работе в режиме FICE система EPX-4450HD может автоматически записывать обычное и FICE изображение на карту памяти стандарта CF (Compact Flash)._x000D_
Функция «картинка в картинке» (Р in P) Неподвижное изображение или видео в режиме реального времени позволяют открыть на экране дополнительное окно с уменьшенным изображением, чтобы не потерять из виду важную информацию при исследовании желудочно-кишечного тракта. При работе с неподвижным изображением можно включить или отключить режим FICE, что расширяет возможности диагностики._x000D_
Фотометрический режим Фотометрический режим позволяет в автоматическом режиме управления выставлять оптимальный уровень освещенности, корректируя его с учетом позиции эндоскопа, что дает возможность видеть четкую картину при изменении расстояния до исследуемой зоны._x000D_
Аппараты ИВЛ для искусственной вентиляции легких MAQUET  ⇓Сентябрь 29, 2016 seo _x000D_
АППАРАТЫ ИВЛ ДЛЯ ИСКУССТВЕННОЙ ВЕНТИЛЯЦИИ ЛЕГКИХ MAQUET. ГЕРМАНИЯ / ШВЕЦИЯ_x000D_
Аппарат ИВЛ SERVO-i – обеспечивает как инвазивную, так и неинвазивную вентиляцию, может быть адаптирован для использования в помещении для МРТ исследований, имеет четыре основные конфигурации: SERVO-i Infant, SERVO-i Adult и два варианта SERVO-i Universal. Дооснащение происходит путем замены программного обеспечения и функциональных модулей. _x000D_
Аппарат ИВЛ SERVO-s – обеспечивает как инвазивную, так и неинвазивную вентиляцию, идеален для крепления на полку и внутрибольничной транспортировки, имеет встроенный ультразвуковой датчик потока. Аппарат может быть доукомплектован эргономичной тележкой._x000D_
_x000D_
Аппараты для проведения искусственного кровообращения MAQUET  ⇓Сентябрь 29, 2016 seo _x000D_
АППАРАТЫ ДЛЯ ПРОВЕДЕНИЯ ИСКУССТВЕННОГО КРОВООБРАЩЕНИЯ MAQUET. ГЕРМАНИЯ / ШВЕЦИЯ_x000D_
CARDIOHELP-i – самый маленький в мире переносной аппарат искусственного кровообращения. Он предназначен для использования в интервенционной кардиологии, в палатах интенсивной терапии, кардиохирургии и травматологических отделениях. _x000D_
 АИК HL 20 – сложная технология современной перфузиологии с возможностями четкого обзора и манипулирования приборами для безопасного лечения пациентов и эффективной работой оператора._x000D_
HCU 30 – двухконтурный терморегулирующий аппарат для двухконтурного нагрева и охлаждения. _x000D_
 ROTAFLOW – насос, который может функционировать как автономный модульный аппарат или как модуль насоса, входящий в состав аппаратов искусственного кровообращения компании MAQUET. Может работать в режиме ручного управления._x000D_
BMU 40 – аппарат для мониторирования показателей крови, преимущества: снижение гемолиза, методики быстрой калибровки с помощью встроенного 2D сканера штрих-кодов и сенсорная панель высокого разрешения. _x000D_
_x000D_
Операционные столы MAQUET  ⇓Сентябрь 29, 2016 seo _x000D_
ОПЕРАЦИОННЫЕ СТОЛЫ MAQUET, ГЕРМАНИЯ / ШВЕЦИЯ_x000D_
MAQUET (Германия / Швеция)- производитель медицинского оборудования, медицинской техники и комплексных решений для оснащения операционных залов, палат интенсивной терапии и реанимации, сердечнососудистой хирургии._x000D_
Операционный стол MAGNUS 1180 – революционная разработка компании MAQUET, представляет собой систему, объединяющую операционный стол и средство транспортировки пациента. _x000D_
 Системный операционный стол ALPHAMAQUET 1150 имеет десять видов съемных столешниц, может комплектоваться как стационарными, так и мобильными колоннами._x000D_
Операционный стол ALPHAMAXX 1133 – позволяет использовать рентгеновскую дугу во время проведения операции. _x000D_
 Мобильный операционный стол ALPHASTAR 1132 предназначен для проведения операций в ортопедии, травматологии, гинекологии, урологии, сосудистой хирургии и нейрохирургии. Возможно использование расширенных возможностей использования С-дуги._x000D_
ALPHACLASSIC / BETACLASSIC 1118 – экономичные варианты операционных столов, регулировка осуществляется с помощью электрогидравлического (механо-гидравлического для BETACLASSIC) привода. Удобен для проведения урологических операций _x000D_
BETASTAR 1131 — Операционный стол среднего класса для самого широкого спектра требований. Реверсивный режим работы стола обеспечивает дополнительную свободу действий врачам в минимально-инвазивной, сердечно-сосудистой хирургии и при работе с рентгеновскими аппаратами._x000D_
_x000D_
Монитор Niccomo  ⇓Апрель 24, 2013 admin _x000D_
Монитор импедансной кардиографии модели Niccomo с принадлежностями (medis. Medizinische Messtechnik GmbH, ФРГ) это:_x000D_
Импедансная кардиография_x000D_
6 основных показателей жизнедеятельность_x000D_
Новый подход в области сердечно-сосудистой диагностики и контроля_x000D_
Первое устройство, объединяющее функциональное состояние сердца и артериальную скорость распространения пульсовой волны_x000D_
NEW! Теперь доступны две новые опции, позволяющие управлять инфузионной терапией у пациента через мониторинг реакции ударного объёма сердца на увеличение преднагрузки._x000D_
Область применения монитора Niccomo:_x000D_
Мониторное наблюдение_x000D_
Отделение интенсивной терапии_x000D_
Отделение скорой помощи_x000D_
Сердечная недостаточность_x000D_
Анестезиология_x000D_
Отделение интенсивного ухода за больными_x000D_
Педиатрия_x000D_
_x000D_
_x000D_
_x000D_
_x000D_
_x000D_
_x000D_
_x000D_
_x000D_
_x000D_
Система охлаждения пациента HICO  ⇓Апрель 24, 2013 admin _x000D_
Системы охлаждения пациента Hico обладают набором термостатов водяного типа._x000D_
Особенности:_x000D_
Совместима со всеми термостатами производителя._x000D_
Система охлаждения пациента Hico обеспечивает отличную передачу температуры с термостатов._x000D_
Можно точно контролировать температуру._x000D_
При возможных неисправностях обеспечивается полная защита пользователей и пациентов._x000D_
Для определения параметров работы используются специальные индикаторы._x000D_
Прочная и небольшая конструкция._x000D_
№ по каталогуКраткое описание аппарата_x000D_
540001Cистема охлаждения пациента Hico-variotherm 550 оснащена двумя разъемами для подключения термостатов. Устанавливать температуру можно в пределах 15-39°C_x000D_
590001Cистема охлаждения пациента Hico Aquatherm 660 ― имеет два разъема, температура от 35 до 39°C. Используется только для обогрева._x000D_
530001На Hypotherm 680 установлена пара коннекторов. Пределы температур ― от 15 до 35°C._x000D_
592900Консоль для Hico Aquatherm 660._x000D_
590002Стойка с пятью опорами (Hico Aquatherm 660)._x000D_
530002Стойка для модели 680 и 550._x000D_
_x000D_
Водяные термоматы противопролежные_x000D_
_x000D_
Система охлаждения пациента Hico требует использования водяных термостатов. Основные параметры этих моделей:_x000D_
Мягкость и эластичность._x000D_
Давление можно уменьшить до 52 процентов._x000D_
№ по каталогуРазмер водяного термомата_x000D_
550070100x50x4 см_x000D_
550071150x50x4 см_x000D_
550072185x85x4 см_x000D_
_x000D_
Для терапии_x000D_
_x000D_
Эластичный материал_x000D_
№ по каталогу&lt;Размер водяного термомата_x000D_
550030170×50 см_x000D_
55003192×50 см_x000D_
550032150×35 см_x000D_
55003592×35 см_x000D_
55003332×35 см_x000D_
_x000D_
_x000D_
_x000D_
Одеяла с обогревом и охлаждением_x000D_
_x000D_
Небольшая масса_x000D_
Мягкий материал_x000D_
Можно положить на или под человека_x000D_
№ по каталогуРазмер одеяла_x000D_
55003756×70 см_x000D_
550038120×70 см_x000D_
_x000D_
Наркозные аппараты  ⇓Апрель 24, 2013 admin _x000D_
Аппараты серии МК предназначены для проведения ингаляционной анестезии у детей и взрослых с применением кислородно-воздушной либо кислородно-закисной смесей и паров жидких анестетиков._x000D_
Аппараты для ингаляционной анестезии серии МК_x000D_
Аппарат МК-1 оборудован одним испарителем для жидких анестетиков и обеспечивает принудительную вентиляцию по объему, а также ручную вентиляцию и спонтанное дыхание пациента через аппарат. Возможны несколько вариантов исполнения этой модели – на мобильной тележке с двумя выдвижными ящиками, на мобильной тележке с одним выдвижным ящиком, а также портативный вариант, который можно установить на любом основании. Последний вариант может использоваться в работе мобильных полевых госпиталей, а также при чрезвычайных ситуациях._x000D_
_x000D_
_x000D_
Аппарат МК-1-1 оборудован двумя испарителями для жидких анестетиков и обеспечивает принудительную вентиляцию по объему, а также ручную вентиляцию и спонтанное дыхание пациента через аппарат. Кроме того, имеется встроенный электронный блок газоанализа и мониторирования параметров вентиляции._x000D_
_x000D_
_x000D_
Аппарат МК-1-2 обеспечит вашему пациенту не только анестезию, но и респираторную поддержку. Чем больше респираторных проблем у вашего пациента – тем больше показаний к проведению анестезии аппаратом МК-1-2. Аппарат работает как от централизованной газовой разводки (О2, N2O, воздух), так и от баллонов с газами (О2, N2O). При этом воздух подается от встроенного компрессора (опция). Высокоточный электроприводный анестезиологический вентилятор, полный набор современных режимов вентиляции по объему и давлению позволяет:_x000D_
отказаться от тотальной релаксации в тех случаях, где она не является обязательной;_x000D_
облегчает процесс восстановления спонтанного дыхания;_x000D_
обеспечивает респираторную поддержку в ближайшем послеоперационном периоде._x000D_
Аппарат МК-1-2 дает возможность мониторирования параметров вентиляции, полного газового мониторинга с определением концентрации компонентов анестетической смеси как на вдохе, так и на выдохе. Кроме того, в режиме реального времени проводится капнометрия и капнография, а также отражаются параметры легочной механики._x000D_
Большой дисплей с отображением задаваемых и мониторируемых параметров облегчает работу врача. Аппарат способен записать и сохранить мониторируемые параметры в течение 10 000 часов работы. Наличие встроенного аккумулятора дает возможность не менее 1 часа автономной работы. Информация о больном может быть передана на другие электронные устройства в режиме реального времени._x000D_
_x000D_
 _x000D_
Поставка оборудования со склада в течение 5-ти рабочих дней!_x000D_
Октябрь, 2017 _x000D_
Наша компания начала реконструкцию входной группы и главной лестницы в ФГБУ «ГНЦ Институт Иммунологии»...._x000D_
Октябрь 28, 2017 _x000D_
_x000D_
_x000D_
Апрель, 2017 _x000D_
Добрый день! Спешим сообщить Вам, что мы зарегистрировали нашу компанию на Портале поставщиков, в электронном магазине ЕАИСТ, для удобства работы достаточно большой категории зак..._x000D_
Апрель 17, 2017 _x000D_
_x000D_
_x000D_
Cентябрь, 2016 _x000D_
Завершены работы по ремонту помещений клинического подразделения, расположенного на 6-ом этаже ФГБУ «ГНЦ Институт Иммунологии»...._x000D_
Сентябрь 29, 2016 _x000D_
_x000D_
_x000D_
Все новости _x000D_
_x000D_
_x000D_
 _x000D_
Телефон: +7(495) 380-48-38, +7(499) 707-76-32 _x000D_
× _x000D_
Ваше имя: *  _x000D_
Номер телефона: *  _x000D_
E-Mail: *  _x000D_
Комментарий:  _x000D_
Запросить </t>
  </si>
  <si>
    <t xml:space="preserve"> предназначен для использования квалифицированными медиками в медицинских помещениях для ввода окиси азота (NO) в дыхательный контур пациента, проходящего терапию вдыханием окиси азота. При использовании в сочетании с монитором терапии вдыханием NO NOxBOXO2 прибор становится компонентом в системе подачи и контроля окиси азота._x000D_ Система крепится на тележке из малоуглеродистой стали с эпоксидным покрытием, которую нужно располагать рядом с прикроватным вентилятором пациента._x000D_ Во избежание внезапного прекращения терапии NO, что может оказаться очень вредным для пациента, в NOxBOX Mobile предусмотрена установка двух 10-литровых баллонов с NO и система смены баллонов с NO. Таким образом оба баллона можно установить одновременно так, что если газ в одном баллоне закончится подача NO пациенту не прекратится._x000D_ Возможность мониторинга обеспечивается NOxBOXO2, аппарат получает питание от сети и имеет резервный источник питания. Аккумуляторы NOxBOXO2 можно заряжать через сетевой трансформатор.  МониторNOxBOXO2 с помощью электрохимической технологии исследует образец газа, а микропроцессор преобразует выходное напряжение сенсора в соответствующие цифры, выводимые в качестве результата анализа._x000D_ Для предупреждения персонала об утечке NO можно опционально установить детекторы газа в окружающем воздухе (NOxAIR). Специальные мониторы NO и NO2 постоянно анализируют окружающий воздух на предмет наличия очень малых концентраций этих газов. Сигналы тревоги указывают на превышение заданной предельной концентрации._x000D_ Аппараты MyLab – ультразвуковые системы экспертного класса с возможностью объемного сканирования в реальном масштабном времени, обладающие непревзойденным качеством изображения и рядом уникальных функций во всех режимах._x000D_ ультразвуковой аппарат премиум класса с расширенной модульной архитектурой, последним поколением технологий формирования луча и фокусировки, с увеличенным частотным режимом. Монитор MyLab Class C 19 дюймов с уникальной технологией Opti-Light, которая соотносит освещенность экрана с освещенностью в помещении, выставляя уровень яркости на сенсорной панели._x000D_ ультразвуковой аппарат экспертного класса с цветным широкоформатным поворотным жидкокристаллическим монитором, с возможностью перемещения и автономной работой до 30 минут. В комплект входит 4 бесштырьковых коннектора для электронных датчиков._x000D_ портативный ультразвуковой аппарат премиум класса с цветным широкоформатным поворотным жидкокристаллическим монитором, с возможностью перемещения и автономной работой до 60 минут. В комплект входит 2 бесштырьковых коннектора для электронных датчиков и порт для карандашного датчика._x000D_ портативный ультразвуковой аппарат нового поколения с 12-дюймовым сенсорным TFT LCD монитором, с возможностью перемещения и автономным питанием до 1,5 часов._x000D_ Компания АО «Инвестмед» предлагает оборудование производства CISA (Италия). Оборудование является современным, отвечающим всем международным стандартам качества, и представляет полный диапазон оборудования для дезинфекции и стерилизации._x000D_ Компания Nouvag была основана в 1971 году как небольшое частное производство, но на сегодняшний день это один из ведущих производителей оборудования для медицины и стоматологии в своем классе._x000D_ Германия) – производитель универсальных автоматизированных инфузионных систем, которые позволяют использовать один насос для всех видов инфузии._x000D_ Новый Инфузомат Space имеет двойную систему защиты с двумя прерывателями свободного тока. Один из них находится в насосе, другой встроен в инфузионную систему Инфузомат Спэйс. Надежное предотвращение свободного потока жидкости обеспечивается даже в том случае, если роликовый зажим на системе не был закрыт перед ее извлечением._x000D_ Два датчика давления – на входе и выходе насоса – обеспечивают полный контроль инфузии, УЗ-датчик воздуха вместе с опциональным датчиком капель повышают эффективность всесторонней системы безопасности._x000D_ Инновационный механизм привода насоса Перфузор Спейс отличается не только прекрасными стартовыми характеристиками и равномерностью инфузии, но и высокой безопасностью при введении медикаментов и исключительным удобством при смене шприца._x000D_ Увеличительное стекло передней панели, независимая подсветка экрана, кнопок и шприца улучшают визуализацию при любых условия эксплуатации._x000D_ Цифровой рентгенографический комплекс FDR AcSelerate – это система, ядром которой является новый плоский детектор (FPD), из аморфного селена, размером 43х43 см, с прямым преобразованием сигнала, отличающийся высокой эффективностью регистрации излучения. Он позволяет более эффективно использовать энергию рентгеновского излучения и получать изображения высокого качества благодаря улучшенной функции передачи модуляции и более высокой квантовой эффективности детектора. Все это способствует существенному снижению лучевой нагрузки на пациента._x000D_ считыватель, созданный специально для маммографии, который имеет двухстороннюю технологию считывания с разрешением 20 точек/мм для получения высококачественного цифрового рентгеновского изображения. Одновременно с маммографическими изображениями FCR PROFECT CS может обрабатывать стандартные рентгеновские снимки, что делает его универсальным решением для отделения лучевой диагностики._x000D_ это цифровой передвижной аппарат с возможностью быстро и с большой точностью выполнить рентгенографию и проанализировать снимки практически в любом месте лечебного учреждения. Двухмоторный привод с возможностью регулировки скорости перемещения позволяет легко управлять аппаратом и обеспечивает превосходную мобильность даже в самых узких местах. Благодаря низкому уровню шума аппарат можно спокойно перемещать даже в ночные часы. Расположенный на передней панели датчик касания автоматически срабатывает при контакте с препятствием, мгновенно блокируя перемещение аппарата. Телескопический штатив трубки легко выдвигается и точно устанавливается в нужное положение. Расширенный диапазон горизонтального и вертикального перемещения штатива позволяет выполнять съемку на больших расстояниях с сохранением высокого качества изображений. Рентгеновская трубка также может перемещаться в горизонтальном и вертикальном направлениях для позиционирования даже при диагональном положении штатива._x000D_ это современный цифровой маммограф с плоскопанельным детектором прямого преобразования (FPD) с размером пикселя 50 микрон. Система обеспечивает высокое качество изображения, которое достигается использованием уникальной технологии формирования изображения FUJIFILM и предлагает оптимизированный рабочий процесс. Плоскопанельный детектор прямого преобразования содержит в себе двойной слой аморфного селена (a-Se) и вместо тонкопленочных транзисторов (TFT) использует технологию прямого оптического переключения для более эффективного считывания сигнала с меньшим уровнем шумов. При помощи технологии прямого оптического переключения (Digital Optical Switching) достигается большее значение DQE даже при размере пикселя 50 микрон._x000D_ Плоскопанельный детектор для цифровой ренгенографии FDR D-EVO – это самый легкий плоскопанельный детектор размером 35 x 43 см, толщина 14 мм, при массе всего 2,8 кг. Система работает быстро и эффективно, – передача изображения на консоль сбора данных занимает всего три секунды, а время цикла составляет девять секунд. Патентованная технология Fujifilm – Irradiation Side Sampling (ISS) – повышает четкость изображений и уменьшает лучевую нагрузку._x000D_ Япония) – производитель гибкой эндоскопии. Среди инноваций стоит отметить эндоскопы для трансназальной и двухбаллонной эндоскопии, а также технологию FICE (технология спектрального цветового выделения). Также среди продукции компании представлены системы цифровой маммографии, фиброволоконные эндоскопы, видеоэндоскопы, электронные видеоэндоскопические системы, мобильные рентгены и ультразвуковые аппараты._x000D_ Электронная видеоэндоскопическая система ЕРХ–4450 HD построена на базе современных технологий и открывает новые диагностические возможности, обеспечивает высокую четкость и широкие возможности обработки изображений, предоставляет дружественный интерфейс пользователя и оптимизированные сетевые возможности._x000D_ Процессор VP-4450HD поддерживает технологию спектральной обработки изображений (FICE) для оптимизации эндоскопических исследований, которая базируется на различении волновых характеристик источников света. Аналогичная технология используется для анализа спутниковых снимков, — при эндоскопии она позволяет получать изображения, которые содержат только определенные длины волн, и тем самым выявлять значимые характеристики тканей и сосудов. Для использования данной технологии в системе предусмотрено десять шаблонов спектральной настройки для разных эндоскопических зон. Комплексная диагностика нужной зоны осуществляется с помощью выбора соответствующих шаблонов. Различные режимы просмотра полученных изображений делают FICE важным инструментом при проведении рутинных обследований._x000D_ Функция «картинка в картинке» (Р in P) Неподвижное изображение или видео в режиме реального времени позволяют открыть на экране дополнительное окно с уменьшенным изображением, чтобы не потерять из виду важную информацию при исследовании желудочно-кишечного тракта. При работе с неподвижным изображением можно включить или отключить режим FICE, что расширяет возможности диагностики._x000D_ Фотометрический режим Фотометрический режим позволяет в автоматическом режиме управления выставлять оптимальный уровень освещенности, корректируя его с учетом позиции эндоскопа, что дает возможность видеть четкую картину при изменении расстояния до исследуемой зоны._x000D_ Аппарат ИВЛ SERVO-s – обеспечивает как инвазивную, так и неинвазивную вентиляцию, идеален для крепления на полку и внутрибольничной транспортировки, имеет встроенный ультразвуковой датчик потока. Аппарат может быть доукомплектован эргономичной тележкой._x000D_ АИК HL 20 – сложная технология современной перфузиологии с возможностями четкого обзора и манипулирования приборами для безопасного лечения пациентов и эффективной работой оператора._x000D_ насос, который может функционировать как автономный модульный аппарат или как модуль насоса, входящий в состав аппаратов искусственного кровообращения компании MAQUET. Может работать в режиме ручного управления._x000D_ Германия / Швеция)- производитель медицинского оборудования, медицинской техники и комплексных решений для оснащения операционных залов, палат интенсивной терапии и реанимации, сердечнососудистой хирургии._x000D_ Системный операционный стол ALPHAMAQUET 1150 имеет десять видов съемных столешниц, может комплектоваться как стационарными, так и мобильными колоннами._x000D_ Мобильный операционный стол ALPHASTAR 1132 предназначен для проведения операций в ортопедии, травматологии, гинекологии, урологии, сосудистой хирургии и нейрохирургии. Возможно использование расширенных возможностей использования С-дуги._x000D_ Операционный стол среднего класса для самого широкого спектра требований. Реверсивный режим работы стола обеспечивает дополнительную свободу действий врачам в минимально-инвазивной, сердечно-сосудистой хирургии и при работе с рентгеновскими аппаратами._x000D_ Теперь доступны две новые опции, позволяющие управлять инфузионной терапией у пациента через мониторинг реакции ударного объёма сердца на увеличение преднагрузки._x000D_ истема охлаждения пациента Hico Aquatherm 660 ― имеет два разъема, температура от 35 до 39°C. Используется только для обогрева._x000D_ Аппараты серии МК предназначены для проведения ингаляционной анестезии у детей и взрослых с применением кислородно-воздушной либо кислородно-закисной смесей и паров жидких анестетиков._x000D_ Аппарат МК-1 оборудован одним испарителем для жидких анестетиков и обеспечивает принудительную вентиляцию по объему, а также ручную вентиляцию и спонтанное дыхание пациента через аппарат. Возможны несколько вариантов исполнения этой модели – на мобильной тележке с двумя выдвижными ящиками, на мобильной тележке с одним выдвижным ящиком, а также портативный вариант, который можно установить на любом основании. Последний вариант может использоваться в работе мобильных полевых госпиталей, а также при чрезвычайных ситуациях._x000D_ Аппарат МК-1-1 оборудован двумя испарителями для жидких анестетиков и обеспечивает принудительную вентиляцию по объему, а также ручную вентиляцию и спонтанное дыхание пациента через аппарат. Кроме того, имеется встроенный электронный блок газоанализа и мониторирования параметров вентиляции._x000D_ Аппарат МК-1-2 дает возможность мониторирования параметров вентиляции, полного газового мониторинга с определением концентрации компонентов анестетической смеси как на вдохе, так и на выдохе. Кроме того, в режиме реального времени проводится капнометрия и капнография, а также отражаются параметры легочной механики._x000D_ Большой дисплей с отображением задаваемых и мониторируемых параметров облегчает работу врача. Аппарат способен записать и сохранить мониторируемые параметры в течение 10 000 часов работы. Наличие встроенного аккумулятора дает возможность не менее 1 часа автономной работы. Информация о больном может быть передана на другие электронные устройства в режиме реального времени._x000D_</t>
  </si>
  <si>
    <t xml:space="preserve"> предназначен для использования квалифицированными медиками в медицинских помещениях для ввода окиси азота (NO) в дыхательный контур пациента, проходящего терапию вдыханием окиси азота. При использовании в сочетании с монитором терапии вдыханием NO NOxBOXO2 прибор становится компонентом в системе подачи и контроля окиси азота._x000D_ Система крепится на тележке из малоуглеродистой стали с эпоксидным покрытием, которую нужно располагать рядом с прикроватным вентилятором пациента._x000D_ Во избежание внезапного прекращения терапии NO, что может оказаться очень вредным для пациента, в NOxBOX Mobile предусмотрена установка двух 10-литровых баллонов с NO и система смены баллонов с NO. Таким образом оба баллона можно установить одновременно так, что если газ в одном баллоне закончится подача NO пациенту не прекратится._x000D_ Возможность мониторинга обеспечивается NOxBOXO2, аппарат получает питание от сети и имеет резервный источник питания. Аккумуляторы NOxBOXO2 можно заряжать через сетевой трансформатор.  МониторNOxBOXO2 с помощью электрохимической технологии исследует образец газа, а микропроцессор преобразует выходное напряжение сенсора в соответствующие цифры, выводимые в качестве результата анализа._x000D_ Для предупреждения персонала об утечке NO можно опционально установить детекторы газа в окружающем воздухе (NOxAIR). Специальные мониторы NO и NO2 постоянно анализируют окружающий воздух на предмет наличия очень малых концентраций этих газов. В комплект входит 4 бесштырьковых коннектора для электронных датчиков._x000D_ портативный ультразвуковой аппарат премиум класса с цветным широкоформатным поворотным жидкокристаллическим монитором, с возможностью перемещения и автономной работой до 60 минут. Один из них находится в насосе, другой встроен в инфузионную систему Инфузомат Спэйс. </t>
  </si>
  <si>
    <t xml:space="preserve">призначений для використання досвідченими медиками у медичних приміщеннях для введення окису азоту (NO) в дихальний контур пацієнта, що проходить терапію вдихання окису азоту. При використанні в поєднанні з монітором терапії вдиханням NO NOxBOXO2 прилад стає компонентом у системі подачі і контролю окису азоту. Система кріпиться на візку з маловуглецевої сталі з епоксидним покриттям, яку потрібно розташовувати поруч з приліжкові вентилятором пацієнта. Щоб уникнути раптового припинення терапії NO, що може виявитися дуже шкідливим для пацієнта, в NOxBOX Mobile передбачена установка двох 10-літрових балонів з NO і система зміни балонів з NO. Таким чином обидва балона можна встановити одночасно так, що якщо газ в одному балоні закінчиться подача NO пацієнту не припиниться. Можливість моніторингу забезпечується NOxBOXO2, апарат одержує харчування від мережі і має резервне джерело живлення. Акумулятори NOxBOXO2 можна заряджати через мережевий трансформатор. МониторNOxBOXO2 з допомогою електрохімічної технології досліджує зразок газу, а мікропроцесор перетворює вихідну напругу сенсора у відповідні цифри, виведені в якості результату аналізу. Для попередження персоналу про витік NO опціонально можна встановити детектори газу в навколишньому повітрі (NOxAIR). Спеціальні монітори NO і NO2 постійно аналізують навколишній повітря на предмет наявності дуже малих концентрацій цих газів. В комплект входить 4 бесштырьковых коннектора для електронних датчиків. </t>
  </si>
  <si>
    <t>Види обладнання для медучтереждений.</t>
  </si>
  <si>
    <t>[caption id="" align="aligncenter" width="350"]&lt;img src="https://images.by.prom.st/63655891_armstrong_medicinskyi.png" alt="" width="350" height="300" /&gt; Види обладнання для медучтереждений.[/caption]    призначений для використання досвідченими медиками у медичних приміщеннях для введення окису азоту (NO) в дихальний контур пацієнта, що проходить терапію вдихання окису азоту. При використанні в поєднанні з монітором терапії вдиханням NO NOxBOXO2 прилад стає компонентом у системі подачі і контролю окису азоту. Система кріпиться на візку з маловуглецевої сталі з епоксидним покриттям, яку потрібно розташовувати поруч з приліжкові вентилятором пацієнта. Щоб уникнути раптового припинення терапії NO, що може виявитися дуже шкідливим для пацієнта, в NOxBOX Mobile передбачена установка двох 10-літрових балонів з NO і система зміни балонів з NO. Також ви можете знайти все необхідне на ресурсі &lt;a href="http://nikator.com.ua/" title="медицинское оборудование"&gt;медицинское оборудование&lt;/a&gt;._x000D_
    Таким чином обидва балона можна встановити одночасно так, що якщо газ в одному балоні закінчиться подача NO пацієнту не припиниться. Можливість моніторингу забезпечується NOxBOXO2, апарат одержує харчування від мережі і має резервне джерело живлення. Акумулятори NOxBOXO2 можна заряджати через мережевий трансформатор. МониторNOxBOXO2 з допомогою електрохімічної технології досліджує зразок газу, а мікропроцесор перетворює вихідну напругу сенсора у відповідні цифри, виведені в якості результату аналізу. Для попередження персоналу про витік NO опціонально можна встановити детектори газу в навколишньому повітрі (NOxAIR). _x000D_
     Спеціальні монітори NO і NO2 постійно аналізують навколишній повітря на предмет наявності дуже малих концентрацій цих газів. В комплект входить 4 бесштырьковых коннектора для електронних датчиків. портативний ультразвуковий апарат преміум класу з кольоровим широкоформатним поворотним рідкокристалічним монітором, з можливістю переміщення і автономною роботою до 60 хвилин. Один з них знаходиться в насосі, інший вбудований в інфузійну систему Інфузомат Спейс.</t>
  </si>
  <si>
    <t>ErrorPublic</t>
  </si>
  <si>
    <t>NeOK</t>
  </si>
  <si>
    <t>Отложить</t>
  </si>
  <si>
    <t>Отложен</t>
  </si>
  <si>
    <t>Ошибка публикации!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</si>
</sst>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FF00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59">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2" fillId="6" borderId="3" xfId="0" applyFont="1" applyFill="1" applyBorder="1" applyAlignment="1">
      <alignment horizontal="center" vertical="center" wrapText="1"/>
    </xf>
    <xf numFmtId="0" fontId="0" fillId="14" borderId="7" xfId="0" applyFill="1" applyBorder="1"/>
    <xf numFmtId="0" fontId="0" fillId="6" borderId="5" xfId="0" applyFill="1" applyBorder="1"/>
    <xf numFmtId="0" fontId="0" fillId="0" borderId="8" xfId="0" applyBorder="1" applyAlignment="1">
      <alignment horizontal="center"/>
    </xf>
    <xf numFmtId="0" fontId="2" fillId="13"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3"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3"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5"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3" fillId="5" borderId="10" xfId="0" applyFont="1" applyFill="1" applyBorder="1"/>
    <xf numFmtId="0" fontId="3" fillId="5" borderId="13" xfId="0" applyFont="1" applyFill="1" applyBorder="1"/>
    <xf numFmtId="0" fontId="8" fillId="0" borderId="12" xfId="0" applyFont="1" applyBorder="1" applyAlignment="1">
      <alignment horizontal="center" vertical="center"/>
    </xf>
    <xf numFmtId="0" fontId="8" fillId="0" borderId="14" xfId="0" applyFont="1" applyBorder="1" applyAlignment="1">
      <alignment horizontal="center" vertical="center"/>
    </xf>
    <xf numFmtId="22" fontId="8" fillId="0" borderId="15" xfId="0" applyNumberFormat="1" applyFont="1" applyBorder="1" applyAlignment="1">
      <alignment horizontal="center" vertical="center"/>
    </xf>
    <xf numFmtId="0" fontId="2" fillId="0" borderId="1" xfId="0" applyFont="1" applyBorder="1"/>
    <xf numFmtId="0" fontId="0" fillId="0" borderId="1" xfId="0" applyBorder="1"/>
    <xf numFmtId="0" fontId="0" fillId="0" borderId="16" xfId="0" applyFill="1" applyBorder="1"/>
    <xf numFmtId="0" fontId="3" fillId="0" borderId="0" xfId="0" applyFont="1" applyAlignment="1">
      <alignment horizontal="left"/>
    </xf>
    <xf numFmtId="0" fontId="3" fillId="2" borderId="2" xfId="0" applyFont="1" applyFill="1" applyBorder="1" applyAlignment="1">
      <alignment horizontal="center"/>
    </xf>
    <xf numFmtId="0" fontId="3" fillId="2" borderId="11"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xf numFmtId="22" fontId="0" fillId="18" borderId="0" xfId="0" applyNumberFormat="1" applyFill="1"/>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45720</xdr:rowOff>
        </xdr:from>
        <xdr:to>
          <xdr:col>3</xdr:col>
          <xdr:colOff>297180</xdr:colOff>
          <xdr:row>2</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xdr:row>
          <xdr:rowOff>152400</xdr:rowOff>
        </xdr:from>
        <xdr:to>
          <xdr:col>3</xdr:col>
          <xdr:colOff>335280</xdr:colOff>
          <xdr:row>4</xdr:row>
          <xdr:rowOff>144780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4</xdr:row>
          <xdr:rowOff>38100</xdr:rowOff>
        </xdr:from>
        <xdr:to>
          <xdr:col>1</xdr:col>
          <xdr:colOff>2423160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F36"/>
  <sheetViews>
    <sheetView tabSelected="1" zoomScale="80" zoomScaleNormal="80" workbookViewId="0">
      <selection activeCell="C23" sqref="C23"/>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6" ht="16.5" customHeight="1" thickBot="1" x14ac:dyDescent="0.35">
      <c r="A1" s="54" t="str">
        <f xml:space="preserve"> "Авторизация: " &amp; $F$2</f>
        <v>Авторизация: Максим</v>
      </c>
      <c r="B1" s="55"/>
      <c r="C1" s="40"/>
      <c r="D1" s="40"/>
      <c r="E1" s="43" t="s">
        <v>55</v>
      </c>
      <c r="F1" s="43" t="s">
        <v>44</v>
      </c>
    </row>
    <row r="2" spans="1:6" ht="15.6" x14ac:dyDescent="0.3">
      <c r="A2" s="45" t="s">
        <v>4</v>
      </c>
      <c r="B2" s="47" t="b">
        <v>1</v>
      </c>
      <c r="C2" s="40"/>
      <c r="D2" s="40"/>
      <c r="E2" s="50" t="s">
        <v>223</v>
      </c>
      <c r="F2" s="44" t="s">
        <v>221</v>
      </c>
    </row>
    <row r="3" spans="1:6" x14ac:dyDescent="0.3">
      <c r="A3" s="45" t="s">
        <v>5</v>
      </c>
      <c r="B3" s="48" t="s">
        <v>222</v>
      </c>
      <c r="C3" s="40"/>
      <c r="D3" s="40"/>
      <c r="E3" s="40"/>
      <c r="F3" s="40"/>
    </row>
    <row r="4" spans="1:6" ht="15" thickBot="1" x14ac:dyDescent="0.35">
      <c r="A4" s="46" t="s">
        <v>107</v>
      </c>
      <c r="B4" s="49">
        <v>43098.771527777775</v>
      </c>
      <c r="C4" s="41"/>
      <c r="D4" s="40"/>
      <c r="E4" s="40"/>
      <c r="F4" s="40"/>
    </row>
    <row r="5" spans="1:6" x14ac:dyDescent="0.3">
      <c r="A5" s="40"/>
      <c r="B5" s="40"/>
      <c r="C5" s="42"/>
      <c r="D5" s="40"/>
      <c r="E5" s="40"/>
      <c r="F5" s="40"/>
    </row>
    <row r="6" spans="1:6" x14ac:dyDescent="0.3">
      <c r="E6" s="40"/>
    </row>
    <row r="7" spans="1:6" x14ac:dyDescent="0.3">
      <c r="A7" s="2" t="s">
        <v>6</v>
      </c>
      <c r="B7" s="1">
        <v>28561581</v>
      </c>
      <c r="C7" s="1">
        <v>28561582</v>
      </c>
    </row>
    <row r="8" spans="1:6" x14ac:dyDescent="0.3">
      <c r="A8" s="2" t="s">
        <v>7</v>
      </c>
      <c r="B8" s="1" t="s">
        <v>224</v>
      </c>
      <c r="C8" s="1" t="s">
        <v>224</v>
      </c>
    </row>
    <row r="9" spans="1:6" x14ac:dyDescent="0.3">
      <c r="A9" s="2" t="s">
        <v>8</v>
      </c>
      <c r="B9" s="1" t="s">
        <v>230</v>
      </c>
      <c r="C9" s="1" t="s">
        <v>237</v>
      </c>
    </row>
    <row r="10" spans="1:6" x14ac:dyDescent="0.3">
      <c r="A10" s="2" t="s">
        <v>9</v>
      </c>
      <c r="B10" s="1" t="s">
        <v>231</v>
      </c>
      <c r="C10" s="1" t="s">
        <v>231</v>
      </c>
    </row>
    <row r="11" spans="1:6" x14ac:dyDescent="0.3">
      <c r="A11" s="2" t="s">
        <v>10</v>
      </c>
      <c r="B11" s="1" t="s">
        <v>232</v>
      </c>
      <c r="C11" s="1" t="s">
        <v>170</v>
      </c>
    </row>
    <row r="12" spans="1:6" x14ac:dyDescent="0.3">
      <c r="A12" s="2" t="s">
        <v>11</v>
      </c>
      <c r="B12" s="1"/>
      <c r="C12" s="1"/>
    </row>
    <row r="13" spans="1:6" x14ac:dyDescent="0.3">
      <c r="A13" s="2" t="s">
        <v>12</v>
      </c>
      <c r="B13" s="1">
        <v>50</v>
      </c>
      <c r="C13" s="1">
        <v>79</v>
      </c>
    </row>
    <row r="14" spans="1:6" x14ac:dyDescent="0.3">
      <c r="A14" s="2" t="s">
        <v>13</v>
      </c>
      <c r="B14" s="1" t="s">
        <v>233</v>
      </c>
      <c r="C14" s="1" t="s">
        <v>233</v>
      </c>
    </row>
    <row r="15" spans="1:6" x14ac:dyDescent="0.3">
      <c r="A15" s="2" t="s">
        <v>14</v>
      </c>
      <c r="B15" s="1" t="s">
        <v>234</v>
      </c>
      <c r="C15" s="1" t="s">
        <v>238</v>
      </c>
    </row>
    <row r="16" spans="1:6" x14ac:dyDescent="0.3">
      <c r="A16" s="2" t="s">
        <v>15</v>
      </c>
      <c r="B16" s="1"/>
      <c r="C16" s="1"/>
    </row>
    <row r="17" spans="1:5" x14ac:dyDescent="0.3">
      <c r="A17" s="2" t="s">
        <v>16</v>
      </c>
      <c r="B17" s="1"/>
      <c r="C17" s="1"/>
    </row>
    <row r="18" spans="1:5" x14ac:dyDescent="0.3">
      <c r="A18" s="2" t="s">
        <v>17</v>
      </c>
      <c r="B18" s="1"/>
      <c r="C18" s="1"/>
    </row>
    <row r="19" spans="1:5" x14ac:dyDescent="0.3">
      <c r="A19" s="2" t="s">
        <v>18</v>
      </c>
      <c r="B19" s="1">
        <v>0</v>
      </c>
      <c r="C19" s="1">
        <v>0</v>
      </c>
    </row>
    <row r="20" spans="1:5" x14ac:dyDescent="0.3">
      <c r="A20" s="2" t="s">
        <v>19</v>
      </c>
      <c r="B20" s="1">
        <v>0</v>
      </c>
      <c r="C20" s="1">
        <v>0</v>
      </c>
    </row>
    <row r="21" spans="1:5" x14ac:dyDescent="0.3">
      <c r="A21" s="2" t="s">
        <v>20</v>
      </c>
      <c r="B21" s="1" t="s">
        <v>235</v>
      </c>
      <c r="C21" s="1" t="s">
        <v>239</v>
      </c>
    </row>
    <row r="22" spans="1:5" x14ac:dyDescent="0.3">
      <c r="A22" s="2" t="s">
        <v>21</v>
      </c>
      <c r="B22" s="1" t="b">
        <v>0</v>
      </c>
      <c r="C22" s="1" t="b">
        <v>0</v>
      </c>
    </row>
    <row r="23" spans="1:5" x14ac:dyDescent="0.3">
      <c r="A23" s="2" t="s">
        <v>22</v>
      </c>
      <c r="B23" s="1"/>
      <c r="C23" s="1"/>
    </row>
    <row r="24" spans="1:5" x14ac:dyDescent="0.3">
      <c r="A24" s="2" t="s">
        <v>0</v>
      </c>
      <c r="B24" s="1" t="s">
        <v>236</v>
      </c>
      <c r="C24" s="1" t="s">
        <v>240</v>
      </c>
    </row>
    <row r="25" spans="1:5" x14ac:dyDescent="0.3">
      <c r="A25" s="32" t="s">
        <v>1</v>
      </c>
      <c r="B25" t="s">
        <v>71</v>
      </c>
      <c r="C25" t="s">
        <v>247</v>
      </c>
    </row>
    <row r="26" spans="1:5" x14ac:dyDescent="0.3">
      <c r="A26" s="3" t="s">
        <v>31</v>
      </c>
      <c r="B26" t="s">
        <v>230</v>
      </c>
      <c r="C26" t="s">
        <v>237</v>
      </c>
    </row>
    <row r="27" spans="1:5" x14ac:dyDescent="0.3">
      <c r="A27" s="3" t="s">
        <v>43</v>
      </c>
      <c r="B27" s="1" t="s">
        <v>243</v>
      </c>
      <c r="C27" s="1" t="s">
        <v>248</v>
      </c>
    </row>
    <row r="28" spans="1:5" x14ac:dyDescent="0.3">
      <c r="A28" s="3" t="s">
        <v>51</v>
      </c>
      <c r="B28" t="s">
        <v>145</v>
      </c>
      <c r="C28" t="s">
        <v>145</v>
      </c>
    </row>
    <row r="29" spans="1:5" x14ac:dyDescent="0.3">
      <c r="A29" s="33" t="s">
        <v>69</v>
      </c>
      <c r="B29" t="s">
        <v>241</v>
      </c>
      <c r="C29" t="s">
        <v>244</v>
      </c>
    </row>
    <row r="30" spans="1:5" x14ac:dyDescent="0.3">
      <c r="A30" s="33" t="s">
        <v>118</v>
      </c>
      <c r="B30" t="s">
        <v>242</v>
      </c>
      <c r="C30" t="s">
        <v>245</v>
      </c>
    </row>
    <row r="31" spans="1:5" x14ac:dyDescent="0.3">
      <c r="B31" s="28"/>
      <c r="E31" s="28"/>
    </row>
    <row r="34" spans="2:2" x14ac:dyDescent="0.3">
      <c r="B34" s="3"/>
    </row>
    <row r="36" spans="2:2" x14ac:dyDescent="0.3">
      <c r="B36" s="28"/>
    </row>
  </sheetData>
  <mergeCells count="1">
    <mergeCell ref="A1:B1"/>
  </mergeCells>
  <dataValidations count="2">
    <dataValidation type="list" allowBlank="1" showInputMessage="1" showErrorMessage="1" sqref="F2">
      <formula1>"Антон, Максим"</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114300</xdr:colOff>
                    <xdr:row>0</xdr:row>
                    <xdr:rowOff>45720</xdr:rowOff>
                  </from>
                  <to>
                    <xdr:col>3</xdr:col>
                    <xdr:colOff>297180</xdr:colOff>
                    <xdr:row>2</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83820</xdr:colOff>
                    <xdr:row>2</xdr:row>
                    <xdr:rowOff>152400</xdr:rowOff>
                  </from>
                  <to>
                    <xdr:col>3</xdr:col>
                    <xdr:colOff>335280</xdr:colOff>
                    <xdr:row>4</xdr:row>
                    <xdr:rowOff>144780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22860</xdr:colOff>
                    <xdr:row>4</xdr:row>
                    <xdr:rowOff>38100</xdr:rowOff>
                  </from>
                  <to>
                    <xdr:col>1</xdr:col>
                    <xdr:colOff>2423160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zoomScale="70" zoomScaleNormal="70" workbookViewId="0">
      <selection activeCell="H18" sqref="H18"/>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7" t="s">
        <v>34</v>
      </c>
      <c r="B1" s="57"/>
      <c r="C1" s="22" t="s">
        <v>40</v>
      </c>
      <c r="D1" s="23"/>
      <c r="L1" s="8" t="s">
        <v>45</v>
      </c>
    </row>
    <row r="2" spans="1:23" s="17" customFormat="1" ht="31.5" customHeight="1" thickBot="1" x14ac:dyDescent="0.35">
      <c r="A2" s="56" t="s">
        <v>211</v>
      </c>
      <c r="B2" s="56"/>
      <c r="C2" s="24">
        <f>COUNTA(A:A)-2</f>
        <v>5</v>
      </c>
      <c r="D2" s="25"/>
      <c r="E2" s="12" t="s">
        <v>47</v>
      </c>
      <c r="F2" s="13" t="s">
        <v>24</v>
      </c>
      <c r="G2" s="14" t="s">
        <v>46</v>
      </c>
      <c r="H2" s="15" t="s">
        <v>25</v>
      </c>
      <c r="I2" s="21" t="s">
        <v>52</v>
      </c>
      <c r="J2" s="16" t="s">
        <v>23</v>
      </c>
      <c r="L2" s="20" t="s">
        <v>2</v>
      </c>
      <c r="N2" s="18" t="s">
        <v>26</v>
      </c>
      <c r="P2" s="19" t="s">
        <v>3</v>
      </c>
      <c r="R2" s="26" t="s">
        <v>32</v>
      </c>
      <c r="T2" s="12" t="s">
        <v>33</v>
      </c>
      <c r="U2" s="34" t="s">
        <v>72</v>
      </c>
      <c r="V2" s="27" t="s">
        <v>39</v>
      </c>
    </row>
    <row r="3" spans="1:23" x14ac:dyDescent="0.3">
      <c r="A3">
        <v>28561581</v>
      </c>
      <c r="E3" t="s">
        <v>232</v>
      </c>
      <c r="G3" s="58">
        <v>43095.522222222222</v>
      </c>
      <c r="I3" t="s">
        <v>145</v>
      </c>
      <c r="L3" s="1" t="s">
        <v>255</v>
      </c>
      <c r="R3" t="s">
        <v>254</v>
      </c>
      <c r="T3" t="s">
        <v>256</v>
      </c>
      <c r="U3" t="s">
        <v>268</v>
      </c>
      <c r="V3" t="s">
        <v>269</v>
      </c>
      <c r="W3" s="5"/>
    </row>
    <row r="4" spans="1:23" x14ac:dyDescent="0.3">
      <c r="A4" t="s">
        <v>249</v>
      </c>
      <c r="F4" s="1" t="s">
        <v>250</v>
      </c>
      <c r="H4" s="1" t="s">
        <v>251</v>
      </c>
      <c r="J4" s="1" t="s">
        <v>252</v>
      </c>
      <c r="L4" s="1" t="s">
        <v>254</v>
      </c>
      <c r="N4" s="1" t="s">
        <v>253</v>
      </c>
      <c r="P4" s="1">
        <v>100</v>
      </c>
      <c r="W4" s="5"/>
    </row>
    <row r="5" spans="1:23" x14ac:dyDescent="0.3">
      <c r="A5">
        <v>28561582</v>
      </c>
      <c r="E5" t="s">
        <v>170</v>
      </c>
      <c r="G5" s="58">
        <v>43095.522222222222</v>
      </c>
      <c r="I5" t="s">
        <v>145</v>
      </c>
      <c r="L5" s="1" t="s">
        <v>265</v>
      </c>
      <c r="R5" t="s">
        <v>264</v>
      </c>
      <c r="T5" t="s">
        <v>266</v>
      </c>
      <c r="U5" t="s">
        <v>267</v>
      </c>
      <c r="V5" t="s">
        <v>270</v>
      </c>
      <c r="W5" s="5"/>
    </row>
    <row r="6" spans="1:23" x14ac:dyDescent="0.3">
      <c r="A6" t="s">
        <v>257</v>
      </c>
      <c r="F6" s="1" t="s">
        <v>258</v>
      </c>
      <c r="W6" s="5"/>
    </row>
    <row r="7" spans="1:23" x14ac:dyDescent="0.3">
      <c r="A7" t="s">
        <v>259</v>
      </c>
      <c r="F7" s="1" t="s">
        <v>260</v>
      </c>
      <c r="H7" s="1" t="s">
        <v>261</v>
      </c>
      <c r="J7" s="1" t="s">
        <v>262</v>
      </c>
      <c r="L7" s="1" t="s">
        <v>264</v>
      </c>
      <c r="N7" s="1" t="s">
        <v>263</v>
      </c>
      <c r="P7" s="1">
        <v>100</v>
      </c>
      <c r="W7" s="5"/>
    </row>
    <row r="8" spans="1:23" x14ac:dyDescent="0.3">
      <c r="W8" s="5"/>
    </row>
    <row r="9" spans="1:23" x14ac:dyDescent="0.3">
      <c r="W9" s="5"/>
    </row>
    <row r="10" spans="1:23" x14ac:dyDescent="0.3">
      <c r="W10" s="5"/>
    </row>
    <row r="11" spans="1:23" x14ac:dyDescent="0.3">
      <c r="W11" s="5"/>
    </row>
    <row r="12" spans="1:23" x14ac:dyDescent="0.3">
      <c r="W12" s="5"/>
    </row>
    <row r="13" spans="1:23" x14ac:dyDescent="0.3">
      <c r="W13" s="5"/>
    </row>
    <row r="14" spans="1:23" x14ac:dyDescent="0.3">
      <c r="W14" s="5"/>
    </row>
    <row r="15" spans="1:23" x14ac:dyDescent="0.3">
      <c r="W15" s="5"/>
    </row>
    <row r="16" spans="1:23" x14ac:dyDescent="0.3">
      <c r="W16" s="5"/>
    </row>
    <row r="17" spans="23:23" x14ac:dyDescent="0.3">
      <c r="W17" s="5"/>
    </row>
    <row r="18" spans="23:23" x14ac:dyDescent="0.3">
      <c r="W18" s="5"/>
    </row>
    <row r="19" spans="23:23" x14ac:dyDescent="0.3">
      <c r="W19" s="5"/>
    </row>
    <row r="20" spans="23:23" x14ac:dyDescent="0.3">
      <c r="W20" s="5"/>
    </row>
    <row r="21" spans="23:23" x14ac:dyDescent="0.3">
      <c r="W21" s="5"/>
    </row>
    <row r="22" spans="23:23" x14ac:dyDescent="0.3">
      <c r="W22" s="5"/>
    </row>
    <row r="23" spans="23:23" x14ac:dyDescent="0.3">
      <c r="W23" s="5"/>
    </row>
    <row r="24" spans="23:23" x14ac:dyDescent="0.3">
      <c r="W24" s="5"/>
    </row>
    <row r="25" spans="23:23" x14ac:dyDescent="0.3">
      <c r="W25" s="5"/>
    </row>
    <row r="26" spans="23:23" x14ac:dyDescent="0.3">
      <c r="W26" s="5"/>
    </row>
    <row r="27" spans="23:23" x14ac:dyDescent="0.3">
      <c r="W27" s="5"/>
    </row>
    <row r="28" spans="23:23" x14ac:dyDescent="0.3">
      <c r="W28" s="5"/>
    </row>
    <row r="29" spans="23:23" x14ac:dyDescent="0.3">
      <c r="W29" s="5"/>
    </row>
  </sheetData>
  <mergeCells count="2">
    <mergeCell ref="A2:B2"/>
    <mergeCell ref="A1:B1"/>
  </mergeCells>
  <dataValidations count="3">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E27"/>
  <sheetViews>
    <sheetView workbookViewId="0">
      <selection activeCell="H16" sqref="H16"/>
    </sheetView>
  </sheetViews>
  <sheetFormatPr defaultRowHeight="14.4" x14ac:dyDescent="0.3"/>
  <sheetData>
    <row r="1" spans="1:5" x14ac:dyDescent="0.3">
      <c r="A1" s="51" t="s">
        <v>160</v>
      </c>
      <c r="B1" s="51" t="s">
        <v>47</v>
      </c>
      <c r="C1" s="51" t="s">
        <v>161</v>
      </c>
      <c r="D1" s="51" t="s">
        <v>52</v>
      </c>
      <c r="E1" s="52" t="s">
        <v>190</v>
      </c>
    </row>
    <row r="2" spans="1:5" x14ac:dyDescent="0.3">
      <c r="A2" s="51">
        <v>28542234</v>
      </c>
      <c r="B2" s="51" t="s">
        <v>151</v>
      </c>
      <c r="C2" s="51"/>
      <c r="D2" s="51" t="s">
        <v>182</v>
      </c>
      <c r="E2" s="40" t="s">
        <v>191</v>
      </c>
    </row>
    <row r="3" spans="1:5" x14ac:dyDescent="0.3">
      <c r="A3" s="51">
        <v>28549279</v>
      </c>
      <c r="B3" s="51" t="s">
        <v>177</v>
      </c>
      <c r="C3" s="51"/>
      <c r="D3" s="51" t="s">
        <v>182</v>
      </c>
      <c r="E3" s="40" t="s">
        <v>191</v>
      </c>
    </row>
    <row r="4" spans="1:5" x14ac:dyDescent="0.3">
      <c r="A4">
        <v>28546343</v>
      </c>
      <c r="B4" t="s">
        <v>148</v>
      </c>
      <c r="D4" s="51" t="s">
        <v>182</v>
      </c>
      <c r="E4" s="6" t="s">
        <v>194</v>
      </c>
    </row>
    <row r="5" spans="1:5" x14ac:dyDescent="0.3">
      <c r="A5" s="51">
        <v>28544868</v>
      </c>
      <c r="B5" s="51" t="s">
        <v>166</v>
      </c>
      <c r="C5" s="51" t="s">
        <v>183</v>
      </c>
      <c r="D5" s="51" t="s">
        <v>188</v>
      </c>
    </row>
    <row r="6" spans="1:5" x14ac:dyDescent="0.3">
      <c r="A6" s="51">
        <v>28546435</v>
      </c>
      <c r="B6" s="51" t="s">
        <v>167</v>
      </c>
      <c r="C6" s="51" t="s">
        <v>187</v>
      </c>
      <c r="D6" s="51" t="s">
        <v>188</v>
      </c>
    </row>
    <row r="7" spans="1:5" x14ac:dyDescent="0.3">
      <c r="A7" s="51">
        <v>28546613</v>
      </c>
      <c r="B7" s="51" t="s">
        <v>168</v>
      </c>
      <c r="C7" s="51" t="s">
        <v>181</v>
      </c>
      <c r="D7" s="51" t="s">
        <v>188</v>
      </c>
    </row>
    <row r="8" spans="1:5" x14ac:dyDescent="0.3">
      <c r="A8">
        <v>28547795</v>
      </c>
      <c r="B8" t="s">
        <v>170</v>
      </c>
      <c r="D8" s="52" t="s">
        <v>182</v>
      </c>
      <c r="E8" t="s">
        <v>189</v>
      </c>
    </row>
    <row r="9" spans="1:5" x14ac:dyDescent="0.3">
      <c r="A9" s="51">
        <v>28549107</v>
      </c>
      <c r="B9" s="51" t="s">
        <v>147</v>
      </c>
      <c r="C9" s="51"/>
      <c r="D9" s="51" t="s">
        <v>182</v>
      </c>
      <c r="E9" t="s">
        <v>191</v>
      </c>
    </row>
    <row r="10" spans="1:5" x14ac:dyDescent="0.3">
      <c r="A10" s="51">
        <v>28549521</v>
      </c>
      <c r="B10" s="51" t="s">
        <v>178</v>
      </c>
      <c r="C10" s="51"/>
      <c r="D10" s="51" t="s">
        <v>182</v>
      </c>
      <c r="E10" s="40" t="s">
        <v>191</v>
      </c>
    </row>
    <row r="11" spans="1:5" x14ac:dyDescent="0.3">
      <c r="A11" s="51">
        <v>28549420</v>
      </c>
      <c r="B11" s="51" t="s">
        <v>179</v>
      </c>
      <c r="C11" s="51" t="s">
        <v>193</v>
      </c>
      <c r="D11" s="51" t="s">
        <v>188</v>
      </c>
    </row>
    <row r="12" spans="1:5" x14ac:dyDescent="0.3">
      <c r="A12" s="51">
        <v>28539436</v>
      </c>
      <c r="B12" s="51" t="s">
        <v>146</v>
      </c>
      <c r="C12" s="51" t="s">
        <v>156</v>
      </c>
      <c r="D12" s="51" t="s">
        <v>195</v>
      </c>
    </row>
    <row r="13" spans="1:5" x14ac:dyDescent="0.3">
      <c r="A13" s="51">
        <v>28546504</v>
      </c>
      <c r="B13" s="51" t="s">
        <v>169</v>
      </c>
      <c r="C13" s="51" t="s">
        <v>196</v>
      </c>
      <c r="D13" s="51" t="s">
        <v>188</v>
      </c>
    </row>
    <row r="14" spans="1:5" x14ac:dyDescent="0.3">
      <c r="A14" s="53">
        <v>28550443</v>
      </c>
      <c r="B14" s="51" t="s">
        <v>199</v>
      </c>
      <c r="C14" s="51" t="s">
        <v>203</v>
      </c>
      <c r="D14" s="51" t="s">
        <v>188</v>
      </c>
    </row>
    <row r="15" spans="1:5" x14ac:dyDescent="0.3">
      <c r="A15" s="53">
        <v>28550474</v>
      </c>
      <c r="B15" t="s">
        <v>200</v>
      </c>
      <c r="C15" t="s">
        <v>204</v>
      </c>
      <c r="D15" s="51" t="s">
        <v>188</v>
      </c>
    </row>
    <row r="16" spans="1:5" x14ac:dyDescent="0.3">
      <c r="A16" s="53">
        <v>28546504</v>
      </c>
      <c r="B16" t="s">
        <v>169</v>
      </c>
      <c r="C16" t="s">
        <v>196</v>
      </c>
      <c r="D16" s="51" t="s">
        <v>195</v>
      </c>
    </row>
    <row r="18" spans="1:5" x14ac:dyDescent="0.3">
      <c r="A18">
        <v>28552804</v>
      </c>
      <c r="B18" t="s">
        <v>207</v>
      </c>
      <c r="C18" t="s">
        <v>212</v>
      </c>
      <c r="D18" t="s">
        <v>188</v>
      </c>
    </row>
    <row r="19" spans="1:5" x14ac:dyDescent="0.3">
      <c r="A19">
        <v>28553902</v>
      </c>
      <c r="B19" t="s">
        <v>168</v>
      </c>
      <c r="C19" t="s">
        <v>213</v>
      </c>
      <c r="D19" s="40" t="s">
        <v>188</v>
      </c>
    </row>
    <row r="20" spans="1:5" x14ac:dyDescent="0.3">
      <c r="A20" s="1">
        <v>28552247</v>
      </c>
      <c r="B20" s="1" t="s">
        <v>147</v>
      </c>
      <c r="D20" s="6" t="s">
        <v>182</v>
      </c>
      <c r="E20" t="s">
        <v>218</v>
      </c>
    </row>
    <row r="21" spans="1:5" x14ac:dyDescent="0.3">
      <c r="A21" s="53">
        <v>28546504</v>
      </c>
      <c r="B21" s="53" t="s">
        <v>169</v>
      </c>
      <c r="D21" s="6" t="s">
        <v>182</v>
      </c>
      <c r="E21" t="s">
        <v>219</v>
      </c>
    </row>
    <row r="22" spans="1:5" x14ac:dyDescent="0.3">
      <c r="A22" s="53">
        <v>28556692</v>
      </c>
      <c r="B22" s="53" t="s">
        <v>214</v>
      </c>
      <c r="D22" s="6" t="s">
        <v>182</v>
      </c>
      <c r="E22" t="s">
        <v>220</v>
      </c>
    </row>
    <row r="23" spans="1:5" x14ac:dyDescent="0.3">
      <c r="A23" s="53">
        <v>28556689</v>
      </c>
      <c r="B23" s="53" t="s">
        <v>148</v>
      </c>
      <c r="D23" s="6" t="s">
        <v>182</v>
      </c>
      <c r="E23" t="s">
        <v>220</v>
      </c>
    </row>
    <row r="24" spans="1:5" x14ac:dyDescent="0.3">
      <c r="A24" s="53">
        <v>28556977</v>
      </c>
      <c r="B24" s="53" t="s">
        <v>215</v>
      </c>
      <c r="D24" s="6" t="s">
        <v>182</v>
      </c>
      <c r="E24" t="s">
        <v>218</v>
      </c>
    </row>
    <row r="26" spans="1:5" x14ac:dyDescent="0.3">
      <c r="A26">
        <v>28560698</v>
      </c>
      <c r="B26" t="s">
        <v>225</v>
      </c>
      <c r="D26" s="6" t="s">
        <v>182</v>
      </c>
      <c r="E26" s="40" t="s">
        <v>218</v>
      </c>
    </row>
    <row r="27" spans="1:5" x14ac:dyDescent="0.3">
      <c r="A27">
        <v>28560696</v>
      </c>
      <c r="B27" t="s">
        <v>148</v>
      </c>
      <c r="C27" t="s">
        <v>228</v>
      </c>
      <c r="D27" s="6" t="s">
        <v>229</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13" sqref="F13"/>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D8" sqref="D8"/>
    </sheetView>
  </sheetViews>
  <sheetFormatPr defaultColWidth="9.109375" defaultRowHeight="14.4" x14ac:dyDescent="0.3"/>
  <cols>
    <col min="1" max="1" width="3.109375" style="35" bestFit="1" customWidth="1"/>
    <col min="2" max="2" width="9.109375" style="35"/>
    <col min="3" max="3" width="50.6640625" style="35" bestFit="1" customWidth="1"/>
    <col min="4" max="4" width="37.5546875" style="35" bestFit="1" customWidth="1"/>
    <col min="5" max="7" width="15.33203125" style="35" bestFit="1" customWidth="1"/>
    <col min="8" max="8" width="10.109375" style="35" bestFit="1" customWidth="1"/>
    <col min="9" max="11" width="9.109375" style="35"/>
    <col min="12" max="12" width="10.109375" style="35" bestFit="1" customWidth="1"/>
    <col min="13" max="16384" width="9.109375" style="35"/>
  </cols>
  <sheetData>
    <row r="1" spans="1:12" ht="29.25" customHeight="1" thickBot="1" x14ac:dyDescent="0.35">
      <c r="A1" s="36" t="s">
        <v>93</v>
      </c>
      <c r="B1" s="37" t="s">
        <v>94</v>
      </c>
      <c r="C1" s="37" t="s">
        <v>95</v>
      </c>
      <c r="D1" s="37" t="s">
        <v>5</v>
      </c>
      <c r="E1" s="37" t="s">
        <v>96</v>
      </c>
      <c r="F1" s="37" t="s">
        <v>51</v>
      </c>
      <c r="G1" s="37" t="s">
        <v>97</v>
      </c>
      <c r="H1" s="39">
        <f>COUNTA(B:B)-1</f>
        <v>0</v>
      </c>
      <c r="L1" s="38">
        <f ca="1">TODAY()</f>
        <v>43095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35"/>
  <sheetViews>
    <sheetView workbookViewId="0">
      <selection activeCell="F34" sqref="F34"/>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49</v>
      </c>
      <c r="C1" s="11">
        <f>COUNTA(C2:C94)</f>
        <v>34</v>
      </c>
      <c r="D1" s="10" t="s">
        <v>35</v>
      </c>
    </row>
    <row r="2" spans="1:4" x14ac:dyDescent="0.3">
      <c r="A2" s="5" t="s">
        <v>27</v>
      </c>
      <c r="B2" s="4"/>
      <c r="C2" t="s">
        <v>50</v>
      </c>
    </row>
    <row r="3" spans="1:4" x14ac:dyDescent="0.3">
      <c r="A3" s="5" t="s">
        <v>28</v>
      </c>
      <c r="B3" s="4"/>
      <c r="C3" t="s">
        <v>141</v>
      </c>
    </row>
    <row r="4" spans="1:4" x14ac:dyDescent="0.3">
      <c r="A4" s="5" t="s">
        <v>30</v>
      </c>
      <c r="B4" s="4"/>
      <c r="C4" t="s">
        <v>36</v>
      </c>
    </row>
    <row r="5" spans="1:4" x14ac:dyDescent="0.3">
      <c r="A5" s="6" t="s">
        <v>41</v>
      </c>
      <c r="B5" s="4"/>
      <c r="C5" t="s">
        <v>37</v>
      </c>
    </row>
    <row r="6" spans="1:4" x14ac:dyDescent="0.3">
      <c r="A6" s="6" t="s">
        <v>42</v>
      </c>
      <c r="B6" s="4"/>
      <c r="C6" t="s">
        <v>38</v>
      </c>
    </row>
    <row r="7" spans="1:4" x14ac:dyDescent="0.3">
      <c r="A7" t="s">
        <v>99</v>
      </c>
      <c r="B7" s="4"/>
      <c r="C7" t="s">
        <v>48</v>
      </c>
    </row>
    <row r="8" spans="1:4" x14ac:dyDescent="0.3">
      <c r="A8" t="s">
        <v>100</v>
      </c>
      <c r="B8" s="4"/>
      <c r="C8" s="5" t="s">
        <v>29</v>
      </c>
    </row>
    <row r="9" spans="1:4" x14ac:dyDescent="0.3">
      <c r="A9" t="s">
        <v>101</v>
      </c>
      <c r="B9" s="4"/>
      <c r="C9" t="s">
        <v>53</v>
      </c>
    </row>
    <row r="10" spans="1:4" x14ac:dyDescent="0.3">
      <c r="A10" t="s">
        <v>110</v>
      </c>
      <c r="B10" s="4"/>
      <c r="C10" t="s">
        <v>54</v>
      </c>
    </row>
    <row r="11" spans="1:4" x14ac:dyDescent="0.3">
      <c r="B11" s="4"/>
      <c r="C11" t="s">
        <v>56</v>
      </c>
    </row>
    <row r="12" spans="1:4" x14ac:dyDescent="0.3">
      <c r="B12" s="4"/>
      <c r="C12" t="s">
        <v>57</v>
      </c>
    </row>
    <row r="13" spans="1:4" x14ac:dyDescent="0.3">
      <c r="B13" s="4"/>
      <c r="C13" t="s">
        <v>87</v>
      </c>
    </row>
    <row r="14" spans="1:4" x14ac:dyDescent="0.3">
      <c r="B14" s="4"/>
      <c r="C14" t="s">
        <v>88</v>
      </c>
    </row>
    <row r="15" spans="1:4" x14ac:dyDescent="0.3">
      <c r="B15" s="4"/>
      <c r="C15" t="s">
        <v>89</v>
      </c>
    </row>
    <row r="16" spans="1:4" x14ac:dyDescent="0.3">
      <c r="B16" s="4"/>
      <c r="C16" t="s">
        <v>121</v>
      </c>
    </row>
    <row r="17" spans="2:3" x14ac:dyDescent="0.3">
      <c r="B17" s="4"/>
      <c r="C17" t="s">
        <v>102</v>
      </c>
    </row>
    <row r="18" spans="2:3" x14ac:dyDescent="0.3">
      <c r="C18" t="s">
        <v>99</v>
      </c>
    </row>
    <row r="19" spans="2:3" x14ac:dyDescent="0.3">
      <c r="C19" t="s">
        <v>103</v>
      </c>
    </row>
    <row r="20" spans="2:3" x14ac:dyDescent="0.3">
      <c r="C20" t="s">
        <v>104</v>
      </c>
    </row>
    <row r="21" spans="2:3" x14ac:dyDescent="0.3">
      <c r="C21" t="s">
        <v>105</v>
      </c>
    </row>
    <row r="22" spans="2:3" x14ac:dyDescent="0.3">
      <c r="C22" t="s">
        <v>106</v>
      </c>
    </row>
    <row r="23" spans="2:3" x14ac:dyDescent="0.3">
      <c r="C23" t="s">
        <v>38</v>
      </c>
    </row>
    <row r="24" spans="2:3" x14ac:dyDescent="0.3">
      <c r="C24" t="s">
        <v>111</v>
      </c>
    </row>
    <row r="25" spans="2:3" x14ac:dyDescent="0.3">
      <c r="C25" t="s">
        <v>112</v>
      </c>
    </row>
    <row r="26" spans="2:3" x14ac:dyDescent="0.3">
      <c r="C26" t="s">
        <v>142</v>
      </c>
    </row>
    <row r="27" spans="2:3" x14ac:dyDescent="0.3">
      <c r="C27" t="s">
        <v>143</v>
      </c>
    </row>
    <row r="28" spans="2:3" x14ac:dyDescent="0.3">
      <c r="C28" t="s">
        <v>144</v>
      </c>
    </row>
    <row r="29" spans="2:3" x14ac:dyDescent="0.3">
      <c r="C29" t="s">
        <v>157</v>
      </c>
    </row>
    <row r="30" spans="2:3" x14ac:dyDescent="0.3">
      <c r="C30" t="s">
        <v>158</v>
      </c>
    </row>
    <row r="31" spans="2:3" x14ac:dyDescent="0.3">
      <c r="C31" t="s">
        <v>159</v>
      </c>
    </row>
    <row r="32" spans="2:3" x14ac:dyDescent="0.3">
      <c r="C32" t="s">
        <v>184</v>
      </c>
    </row>
    <row r="33" spans="3:3" x14ac:dyDescent="0.3">
      <c r="C33" t="s">
        <v>185</v>
      </c>
    </row>
    <row r="34" spans="3:3" x14ac:dyDescent="0.3">
      <c r="C34" t="s">
        <v>186</v>
      </c>
    </row>
    <row r="35" spans="3:3" x14ac:dyDescent="0.3">
      <c r="C35" t="s">
        <v>227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46"/>
  <sheetViews>
    <sheetView workbookViewId="0">
      <selection activeCell="C10" sqref="C10"/>
    </sheetView>
  </sheetViews>
  <sheetFormatPr defaultRowHeight="14.4" x14ac:dyDescent="0.3"/>
  <cols>
    <col min="1" max="1" width="5.5546875" customWidth="1"/>
    <col min="2" max="2" width="13.44140625" bestFit="1" customWidth="1"/>
    <col min="3" max="3" width="21.88671875" bestFit="1" customWidth="1"/>
  </cols>
  <sheetData>
    <row r="1" spans="1:3" x14ac:dyDescent="0.3">
      <c r="A1" s="29">
        <f>COUNTA(B:B)-1</f>
        <v>45</v>
      </c>
      <c r="B1" s="31" t="s">
        <v>58</v>
      </c>
      <c r="C1" s="30" t="s">
        <v>59</v>
      </c>
    </row>
    <row r="2" spans="1:3" x14ac:dyDescent="0.3">
      <c r="A2">
        <v>1</v>
      </c>
      <c r="B2" t="s">
        <v>121</v>
      </c>
      <c r="C2" t="s">
        <v>60</v>
      </c>
    </row>
    <row r="3" spans="1:3" x14ac:dyDescent="0.3">
      <c r="A3">
        <v>2</v>
      </c>
      <c r="B3" t="s">
        <v>61</v>
      </c>
      <c r="C3" t="s">
        <v>62</v>
      </c>
    </row>
    <row r="4" spans="1:3" x14ac:dyDescent="0.3">
      <c r="A4">
        <v>3</v>
      </c>
      <c r="B4" t="s">
        <v>63</v>
      </c>
      <c r="C4" t="s">
        <v>64</v>
      </c>
    </row>
    <row r="5" spans="1:3" x14ac:dyDescent="0.3">
      <c r="A5">
        <v>4</v>
      </c>
      <c r="B5" t="s">
        <v>65</v>
      </c>
      <c r="C5" t="s">
        <v>90</v>
      </c>
    </row>
    <row r="6" spans="1:3" x14ac:dyDescent="0.3">
      <c r="A6">
        <v>5</v>
      </c>
      <c r="B6" t="s">
        <v>113</v>
      </c>
      <c r="C6" t="s">
        <v>66</v>
      </c>
    </row>
    <row r="7" spans="1:3" x14ac:dyDescent="0.3">
      <c r="A7">
        <v>6</v>
      </c>
      <c r="B7" t="s">
        <v>67</v>
      </c>
      <c r="C7" t="s">
        <v>68</v>
      </c>
    </row>
    <row r="8" spans="1:3" s="40" customFormat="1" x14ac:dyDescent="0.3">
      <c r="A8" s="40">
        <v>7</v>
      </c>
      <c r="B8" s="40" t="s">
        <v>246</v>
      </c>
      <c r="C8" s="40" t="s">
        <v>247</v>
      </c>
    </row>
    <row r="9" spans="1:3" x14ac:dyDescent="0.3">
      <c r="A9">
        <v>8</v>
      </c>
      <c r="B9" t="s">
        <v>70</v>
      </c>
      <c r="C9" t="s">
        <v>71</v>
      </c>
    </row>
    <row r="10" spans="1:3" x14ac:dyDescent="0.3">
      <c r="A10">
        <v>9</v>
      </c>
      <c r="B10" t="s">
        <v>73</v>
      </c>
      <c r="C10" t="s">
        <v>74</v>
      </c>
    </row>
    <row r="11" spans="1:3" x14ac:dyDescent="0.3">
      <c r="A11">
        <v>10</v>
      </c>
      <c r="B11" t="s">
        <v>75</v>
      </c>
      <c r="C11" t="s">
        <v>76</v>
      </c>
    </row>
    <row r="12" spans="1:3" x14ac:dyDescent="0.3">
      <c r="A12">
        <v>11</v>
      </c>
      <c r="B12" t="s">
        <v>77</v>
      </c>
      <c r="C12" t="s">
        <v>80</v>
      </c>
    </row>
    <row r="13" spans="1:3" x14ac:dyDescent="0.3">
      <c r="A13">
        <v>12</v>
      </c>
      <c r="B13" t="s">
        <v>78</v>
      </c>
      <c r="C13" t="s">
        <v>79</v>
      </c>
    </row>
    <row r="14" spans="1:3" x14ac:dyDescent="0.3">
      <c r="A14">
        <v>13</v>
      </c>
      <c r="B14" t="s">
        <v>81</v>
      </c>
      <c r="C14" t="s">
        <v>82</v>
      </c>
    </row>
    <row r="15" spans="1:3" x14ac:dyDescent="0.3">
      <c r="A15">
        <v>14</v>
      </c>
      <c r="B15" t="s">
        <v>83</v>
      </c>
      <c r="C15" t="s">
        <v>84</v>
      </c>
    </row>
    <row r="16" spans="1:3" x14ac:dyDescent="0.3">
      <c r="A16">
        <v>15</v>
      </c>
      <c r="B16" t="s">
        <v>85</v>
      </c>
      <c r="C16" t="s">
        <v>86</v>
      </c>
    </row>
    <row r="17" spans="1:3" x14ac:dyDescent="0.3">
      <c r="A17">
        <v>16</v>
      </c>
      <c r="B17" t="s">
        <v>91</v>
      </c>
      <c r="C17" t="s">
        <v>92</v>
      </c>
    </row>
    <row r="18" spans="1:3" x14ac:dyDescent="0.3">
      <c r="A18">
        <v>17</v>
      </c>
      <c r="B18" s="40" t="s">
        <v>162</v>
      </c>
      <c r="C18" s="40" t="s">
        <v>163</v>
      </c>
    </row>
    <row r="19" spans="1:3" x14ac:dyDescent="0.3">
      <c r="A19">
        <v>18</v>
      </c>
      <c r="B19" t="s">
        <v>109</v>
      </c>
      <c r="C19" t="s">
        <v>108</v>
      </c>
    </row>
    <row r="20" spans="1:3" x14ac:dyDescent="0.3">
      <c r="A20">
        <v>19</v>
      </c>
      <c r="B20" t="s">
        <v>114</v>
      </c>
      <c r="C20" t="s">
        <v>115</v>
      </c>
    </row>
    <row r="21" spans="1:3" x14ac:dyDescent="0.3">
      <c r="A21">
        <v>20</v>
      </c>
      <c r="B21" t="s">
        <v>117</v>
      </c>
      <c r="C21" t="s">
        <v>116</v>
      </c>
    </row>
    <row r="22" spans="1:3" x14ac:dyDescent="0.3">
      <c r="A22">
        <v>21</v>
      </c>
      <c r="B22" t="s">
        <v>119</v>
      </c>
      <c r="C22" t="s">
        <v>120</v>
      </c>
    </row>
    <row r="23" spans="1:3" x14ac:dyDescent="0.3">
      <c r="A23">
        <v>22</v>
      </c>
      <c r="B23" t="s">
        <v>123</v>
      </c>
      <c r="C23" t="s">
        <v>124</v>
      </c>
    </row>
    <row r="24" spans="1:3" x14ac:dyDescent="0.3">
      <c r="A24">
        <v>23</v>
      </c>
      <c r="B24" t="s">
        <v>125</v>
      </c>
      <c r="C24" t="s">
        <v>126</v>
      </c>
    </row>
    <row r="25" spans="1:3" x14ac:dyDescent="0.3">
      <c r="A25">
        <v>24</v>
      </c>
      <c r="B25" t="s">
        <v>127</v>
      </c>
      <c r="C25" t="s">
        <v>128</v>
      </c>
    </row>
    <row r="26" spans="1:3" x14ac:dyDescent="0.3">
      <c r="A26">
        <v>25</v>
      </c>
      <c r="B26" t="s">
        <v>129</v>
      </c>
      <c r="C26" t="s">
        <v>130</v>
      </c>
    </row>
    <row r="27" spans="1:3" x14ac:dyDescent="0.3">
      <c r="A27">
        <v>26</v>
      </c>
      <c r="B27" t="s">
        <v>131</v>
      </c>
      <c r="C27" t="s">
        <v>132</v>
      </c>
    </row>
    <row r="28" spans="1:3" x14ac:dyDescent="0.3">
      <c r="A28">
        <v>27</v>
      </c>
      <c r="B28" t="s">
        <v>133</v>
      </c>
      <c r="C28" t="s">
        <v>134</v>
      </c>
    </row>
    <row r="29" spans="1:3" x14ac:dyDescent="0.3">
      <c r="A29">
        <v>28</v>
      </c>
      <c r="B29" t="s">
        <v>135</v>
      </c>
      <c r="C29" t="s">
        <v>136</v>
      </c>
    </row>
    <row r="30" spans="1:3" x14ac:dyDescent="0.3">
      <c r="A30">
        <v>29</v>
      </c>
      <c r="B30" t="s">
        <v>137</v>
      </c>
      <c r="C30" t="s">
        <v>138</v>
      </c>
    </row>
    <row r="31" spans="1:3" x14ac:dyDescent="0.3">
      <c r="A31">
        <v>30</v>
      </c>
      <c r="B31" t="s">
        <v>139</v>
      </c>
      <c r="C31" t="s">
        <v>140</v>
      </c>
    </row>
    <row r="32" spans="1:3" x14ac:dyDescent="0.3">
      <c r="A32">
        <v>31</v>
      </c>
      <c r="B32" t="s">
        <v>149</v>
      </c>
      <c r="C32" t="s">
        <v>150</v>
      </c>
    </row>
    <row r="33" spans="1:3" x14ac:dyDescent="0.3">
      <c r="A33">
        <v>32</v>
      </c>
      <c r="B33" t="s">
        <v>152</v>
      </c>
      <c r="C33" t="s">
        <v>153</v>
      </c>
    </row>
    <row r="34" spans="1:3" x14ac:dyDescent="0.3">
      <c r="A34">
        <v>33</v>
      </c>
      <c r="B34" t="s">
        <v>154</v>
      </c>
      <c r="C34" t="s">
        <v>155</v>
      </c>
    </row>
    <row r="35" spans="1:3" x14ac:dyDescent="0.3">
      <c r="A35">
        <v>34</v>
      </c>
      <c r="B35" s="40" t="s">
        <v>122</v>
      </c>
      <c r="C35" s="40" t="s">
        <v>98</v>
      </c>
    </row>
    <row r="36" spans="1:3" x14ac:dyDescent="0.3">
      <c r="A36">
        <v>35</v>
      </c>
      <c r="B36" t="s">
        <v>164</v>
      </c>
      <c r="C36" t="s">
        <v>165</v>
      </c>
    </row>
    <row r="37" spans="1:3" x14ac:dyDescent="0.3">
      <c r="A37">
        <v>36</v>
      </c>
      <c r="B37" t="s">
        <v>171</v>
      </c>
      <c r="C37" t="s">
        <v>172</v>
      </c>
    </row>
    <row r="38" spans="1:3" x14ac:dyDescent="0.3">
      <c r="A38">
        <v>37</v>
      </c>
      <c r="B38" t="s">
        <v>173</v>
      </c>
      <c r="C38" t="s">
        <v>174</v>
      </c>
    </row>
    <row r="39" spans="1:3" x14ac:dyDescent="0.3">
      <c r="A39">
        <v>38</v>
      </c>
      <c r="B39" t="s">
        <v>176</v>
      </c>
      <c r="C39" t="s">
        <v>175</v>
      </c>
    </row>
    <row r="40" spans="1:3" x14ac:dyDescent="0.3">
      <c r="A40">
        <v>39</v>
      </c>
      <c r="B40" t="s">
        <v>180</v>
      </c>
      <c r="C40" t="s">
        <v>192</v>
      </c>
    </row>
    <row r="41" spans="1:3" x14ac:dyDescent="0.3">
      <c r="A41">
        <v>40</v>
      </c>
      <c r="B41" t="s">
        <v>197</v>
      </c>
      <c r="C41" t="s">
        <v>198</v>
      </c>
    </row>
    <row r="42" spans="1:3" x14ac:dyDescent="0.3">
      <c r="A42">
        <v>41</v>
      </c>
      <c r="B42" t="s">
        <v>201</v>
      </c>
      <c r="C42" t="s">
        <v>202</v>
      </c>
    </row>
    <row r="43" spans="1:3" x14ac:dyDescent="0.3">
      <c r="A43">
        <v>42</v>
      </c>
      <c r="B43" t="s">
        <v>205</v>
      </c>
      <c r="C43" t="s">
        <v>226</v>
      </c>
    </row>
    <row r="44" spans="1:3" x14ac:dyDescent="0.3">
      <c r="A44">
        <v>43</v>
      </c>
      <c r="B44" t="s">
        <v>210</v>
      </c>
      <c r="C44" t="s">
        <v>206</v>
      </c>
    </row>
    <row r="45" spans="1:3" x14ac:dyDescent="0.3">
      <c r="A45">
        <v>44</v>
      </c>
      <c r="B45" t="s">
        <v>208</v>
      </c>
      <c r="C45" t="s">
        <v>209</v>
      </c>
    </row>
    <row r="46" spans="1:3" x14ac:dyDescent="0.3">
      <c r="A46">
        <v>45</v>
      </c>
      <c r="B46" t="s">
        <v>216</v>
      </c>
      <c r="C46" t="s">
        <v>217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Отложенные</vt:lpstr>
      <vt:lpstr>Исключения</vt:lpstr>
      <vt:lpstr>Ключи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2017-12-26T10:36:08Z</dcterms:modified>
</cp:coreProperties>
</file>