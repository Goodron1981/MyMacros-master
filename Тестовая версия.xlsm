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bookViews>
  <sheets>
    <sheet name="Ротапост" sheetId="3" r:id="rId1"/>
    <sheet name="Прод" sheetId="6" r:id="rId2"/>
    <sheet name="Лист1" sheetId="12" r:id="rId3"/>
    <sheet name="BufferList" sheetId="11" state="hidden" r:id="rId4"/>
    <sheet name="Отложенные" sheetId="10" r:id="rId5"/>
    <sheet name="Исключения" sheetId="8" r:id="rId6"/>
    <sheet name="Ключи" sheetId="9" r:id="rId7"/>
  </sheets>
  <functionGroups builtInGroupCount="18"/>
  <definedNames>
    <definedName name="_xlnm._FilterDatabase" localSheetId="5" hidden="1">Исключения!$C$1:$C$25</definedName>
    <definedName name="_xlnm._FilterDatabase" localSheetId="6" hidden="1">Ключи!$C$1:$C$121</definedName>
    <definedName name="_xlnm._FilterDatabase" localSheetId="2" hidden="1">Лист1!$A$1:$D$15</definedName>
    <definedName name="_xlnm._FilterDatabase" localSheetId="1" hidden="1">Прод!$A$1:$A$29</definedName>
    <definedName name="_xlnm._FilterDatabase" localSheetId="0" hidden="1">Ротапост!$A$25:$A$25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<sst xmlns="http://schemas.openxmlformats.org/spreadsheetml/2006/main" count="783" uniqueCount="531">
  <si>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</si>
  <si>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</si>
  <si>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</si>
  <si>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</si>
  <si>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</si>
  <si>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</si>
  <si>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</si>
  <si>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</si>
  <si>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</si>
  <si>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</si>
  <si>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</si>
  <si>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</si>
  <si>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</si>
  <si>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</si>
  <si>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</si>
  <si>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</si>
  <si>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</si>
  <si>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</si>
  <si>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</si>
  <si>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</si>
  <si>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</si>
  <si>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</si>
  <si>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</si>
  <si>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</si>
  <si>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</si>
  <si>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</si>
  <si>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</si>
  <si>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</si>
  <si>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</si>
  <si>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</si>
  <si>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</si>
  <si>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</si>
  <si>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</si>
  <si>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</si>
  <si>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</si>
  <si>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</si>
  <si>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</si>
  <si>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</si>
  <si>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</si>
  <si>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</si>
  <si>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</si>
  <si>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</si>
  <si>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</si>
  <si>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</si>
  <si>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</si>
  <si>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</si>
  <si>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</si>
  <si>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</si>
  <si>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</si>
  <si>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</si>
  <si>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</si>
  <si>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</si>
  <si>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</si>
  <si>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</si>
  <si>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</si>
  <si>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</si>
  <si>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</si>
  <si>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</si>
  <si>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</si>
  <si>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</si>
  <si>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</si>
  <si>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</si>
  <si>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</si>
  <si>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</si>
  <si>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</si>
  <si>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</si>
  <si>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</si>
  <si>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</si>
  <si>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</si>
  <si>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</si>
  <si>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</si>
  <si>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</si>
  <si>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</si>
  <si>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</si>
  <si>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</si>
  <si>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</si>
  <si>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</si>
  <si>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</si>
  <si>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</si>
  <si>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</si>
  <si>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</si>
  <si>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</si>
  <si>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</si>
  <si>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</si>
  <si>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</si>
  <si>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</si>
  <si>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</si>
  <si>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</si>
  <si>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</si>
  <si>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</si>
  <si>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</si>
  <si>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</si>
  <si>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</si>
  <si>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</si>
  <si>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</si>
  <si>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</si>
  <si>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</si>
  <si>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</si>
  <si>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</si>
  <si>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</si>
  <si>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</si>
  <si>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</si>
  <si>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</si>
  <si>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</si>
  <si>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</si>
  <si>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</si>
  <si>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</si>
  <si>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</si>
  <si>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</si>
  <si>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</si>
  <si>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</si>
  <si>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</si>
  <si>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</si>
  <si>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</si>
  <si>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</si>
  <si>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</si>
  <si>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</si>
  <si>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</si>
  <si>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</si>
  <si>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</si>
  <si>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</si>
  <si>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</si>
  <si>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</si>
  <si>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</si>
  <si>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</si>
  <si>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</si>
  <si>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</si>
  <si>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</si>
  <si>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</si>
  <si>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</si>
  <si>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</si>
  <si>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</si>
  <si>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</si>
  <si>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</si>
  <si>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</si>
  <si>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</si>
  <si>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</si>
  <si>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</si>
  <si>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</si>
  <si>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</si>
  <si>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</si>
  <si>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</si>
  <si>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</si>
  <si>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</si>
  <si>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</si>
  <si>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</si>
  <si>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</si>
  <si>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</si>
  <si>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</si>
  <si>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</si>
  <si>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</si>
  <si>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</si>
  <si>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</si>
  <si>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</si>
  <si>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</si>
  <si>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</si>
  <si>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</si>
  <si>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</si>
  <si>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</si>
  <si>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</si>
  <si>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сайт</t>
  </si>
  <si>
    <t>Как создается сайт.</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</si>
  <si>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</si>
  <si>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</si>
  <si>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</si>
  <si>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</si>
  <si>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</si>
  <si>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</si>
  <si>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</si>
  <si>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</si>
  <si>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</si>
  <si>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</si>
  <si>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</si>
  <si>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</si>
  <si>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</si>
  <si>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</si>
  <si>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</si>
  <si>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</si>
  <si>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</si>
  <si>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</si>
  <si>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</si>
  <si>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</si>
  <si>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</si>
  <si>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</si>
  <si>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</si>
  <si>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</si>
  <si>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</si>
  <si>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</si>
  <si>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</si>
  <si>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</si>
  <si>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</si>
  <si>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</si>
  <si>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</si>
  <si>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</si>
  <si>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</si>
  <si>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</si>
  <si>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</si>
  <si>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</si>
  <si>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</si>
  <si>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</si>
  <si>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</si>
  <si>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</si>
  <si>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</si>
  <si>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</si>
  <si>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</si>
  <si>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</si>
  <si>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</si>
  <si>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</si>
  <si>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</si>
  <si>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</si>
  <si>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</si>
  <si>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</si>
  <si>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</si>
  <si>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</si>
  <si>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</si>
  <si>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</si>
  <si>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</si>
  <si>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</si>
  <si>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</si>
  <si>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</si>
  <si>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</si>
  <si>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</si>
  <si>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</si>
  <si>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</si>
  <si>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</si>
  <si>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</si>
  <si>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</si>
  <si>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</si>
  <si>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</si>
  <si>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</si>
  <si>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</si>
  <si>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</si>
  <si>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</si>
  <si>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</si>
  <si>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</si>
  <si>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</si>
  <si>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</si>
  <si>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</si>
  <si>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</si>
  <si>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</si>
  <si>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</si>
  <si>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</si>
  <si>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</si>
  <si>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</si>
  <si>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</si>
  <si>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</si>
  <si>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</si>
  <si>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</si>
  <si>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</si>
  <si>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</si>
  <si>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</si>
  <si>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</si>
  <si>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</si>
  <si>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</si>
  <si>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</si>
  <si>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</si>
  <si>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OK</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</si>
  <si>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</si>
  <si>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</si>
  <si>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</si>
  <si>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</si>
  <si>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</si>
  <si>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</si>
  <si>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</si>
  <si>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</si>
  <si>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</si>
  <si>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</si>
  <si>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</si>
  <si>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</si>
  <si>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</si>
  <si>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</si>
  <si>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</si>
  <si>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</si>
  <si>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</si>
  <si>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</si>
  <si>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</si>
  <si>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</si>
  <si>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</si>
  <si>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</si>
  <si>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</si>
  <si>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</si>
  <si>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</si>
  <si>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</si>
  <si>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</si>
  <si>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</si>
  <si>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</si>
  <si>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</si>
  <si>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</si>
  <si>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</si>
  <si>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</si>
  <si>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</si>
  <si>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</si>
  <si>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</si>
  <si>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</si>
  <si>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</si>
  <si>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</si>
  <si>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</si>
  <si>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</si>
  <si>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</si>
  <si>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</si>
  <si>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</si>
  <si>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</si>
  <si>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</si>
  <si>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</si>
  <si>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</si>
  <si>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</si>
  <si>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</si>
  <si>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</si>
  <si>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</si>
  <si>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</si>
  <si>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</si>
  <si>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</si>
  <si>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</si>
  <si>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</si>
  <si>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</si>
  <si>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</si>
  <si>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</si>
  <si>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</si>
  <si>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</si>
  <si>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</si>
  <si>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</si>
  <si>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</si>
  <si>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</si>
  <si>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</si>
  <si>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</si>
  <si>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</si>
  <si>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</si>
  <si>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</si>
  <si>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</si>
  <si>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</si>
  <si>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</si>
  <si>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</si>
  <si>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</si>
  <si>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</si>
  <si>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</si>
  <si>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</si>
  <si>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</si>
  <si>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</si>
  <si>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</si>
  <si>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</si>
  <si>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</si>
  <si>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</si>
  <si>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</si>
  <si>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</si>
  <si>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</si>
  <si>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</si>
  <si>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</si>
  <si>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</si>
  <si>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</si>
  <si>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</si>
  <si>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</si>
  <si>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</si>
  <si>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</si>
  <si>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</si>
  <si>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</si>
  <si>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</si>
  <si>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</si>
  <si>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</si>
  <si>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</si>
  <si>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</si>
  <si>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</si>
  <si>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</si>
  <si>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</si>
  <si>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</si>
  <si>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</si>
  <si>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</si>
  <si>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</si>
  <si>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</si>
  <si>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</si>
  <si>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</si>
  <si>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</si>
  <si>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</si>
  <si>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</si>
  <si>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</si>
  <si>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</si>
  <si>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</si>
  <si>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</si>
  <si>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</si>
  <si>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</si>
  <si>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</si>
  <si>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</si>
  <si>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</si>
  <si>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</si>
  <si>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</si>
  <si>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</si>
  <si>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</si>
  <si>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</si>
  <si>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</si>
  <si>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</si>
  <si>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</si>
  <si>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</si>
  <si>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</si>
  <si>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</si>
  <si>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</si>
  <si>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</si>
  <si>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</si>
  <si>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</si>
  <si>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</si>
  <si>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</si>
  <si>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</si>
  <si>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</si>
  <si>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</si>
  <si>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</si>
  <si>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</si>
  <si>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</si>
  <si>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</si>
  <si>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</si>
  <si>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</si>
  <si>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</si>
  <si>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</si>
  <si>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</si>
  <si>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</si>
  <si>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</si>
  <si>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</si>
  <si>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</si>
  <si>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</si>
  <si>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</si>
  <si>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</si>
  <si>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Заявки в работе</t>
  </si>
  <si>
    <t>Postovoi</t>
  </si>
  <si>
    <t>В работе</t>
  </si>
  <si>
    <t>opalkova.com.ua</t>
  </si>
  <si>
    <t>NoK</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</si>
  <si>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</si>
  <si>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</si>
  <si>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</si>
  <si>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</si>
  <si>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</si>
  <si>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</si>
  <si>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</si>
  <si>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</si>
  <si>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</si>
  <si>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</si>
  <si>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</si>
  <si>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</si>
  <si>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</si>
  <si>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</si>
  <si>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</si>
  <si>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</si>
  <si>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интер</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</si>
  <si>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</si>
  <si>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</si>
  <si>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</si>
  <si>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</si>
  <si>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</si>
  <si>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</si>
  <si>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</si>
  <si>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</si>
  <si>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4a630d87-8011-4437-8226-b41782f4579e</t>
  </si>
  <si>
    <t>&lt;a href="http://www.pressreleasepoint.com/igor-yankovsky" title="Igor Yankovsky"&gt;Igor Yankovsky&lt;/a&gt;</t>
  </si>
  <si>
    <t>Постовой должен быть написан только на английском языке
В заголовке обязательное наличие ключевого слова: Igor Yankovsky 
Постовой должен быть окружен тематическим текстом
Только один постовой на страницу
Постовой должен быть в новой статье</t>
  </si>
  <si>
    <t>2018-01-09T13:57:40</t>
  </si>
  <si>
    <t>2018-01-09T14:41:33</t>
  </si>
  <si>
    <t>2018-01-16T14:41:33</t>
  </si>
  <si>
    <t>http://www.pressreleasepoint.com/igor-yankovsky</t>
  </si>
  <si>
    <t>&lt;a href="https://www.towerbudapest.com/en/property_management/news/a-huf-13-billion-hospital-is-to-be-built-in-budapest/221" title="Igor Yankovsky"&gt;Igor Yankovsky&lt;/a&gt;</t>
  </si>
  <si>
    <t>2018-01-09T13:57:45</t>
  </si>
  <si>
    <t>2018-01-09T14:41:53</t>
  </si>
  <si>
    <t>2018-01-16T14:41:53</t>
  </si>
  <si>
    <t>https://www.towerbudapest.com/en/property_management/news/a-huf-13-billion-hospital-is-to-be-built-in-budapest/221</t>
  </si>
  <si>
    <t>&lt;a href="https://ukropnews24.com/the-fund-igor-yankovsky-and-the-state-of-ukraine-on-the-70th-cannes-film-festival-held-a-business-lunch-meet-ukrainian-producers/" title="Igor Yankovsky"&gt;Igor Yankovsky&lt;/a&gt;</t>
  </si>
  <si>
    <t>2018-01-09T13:57:42</t>
  </si>
  <si>
    <t>2018-01-09T14:42:42</t>
  </si>
  <si>
    <t>2018-01-16T14:42:42</t>
  </si>
  <si>
    <t>https://ukropnews24.com/the-fund-igor-yankovsky-and-the-state-of-ukraine-on-the-70th-cannes-film-festival-held-a-business-lunch-meet-ukrainian-producers/</t>
  </si>
  <si>
    <t>tellall.kiev.ua</t>
  </si>
  <si>
    <t>orangecat.net.ua</t>
  </si>
  <si>
    <t>Post</t>
  </si>
  <si>
    <t>Статья должна быть положительная и уникальная про &amp;quot;Интернет-магазин контактных линз Linza Bar&amp;quot;, приведены преимущества работы с компанией linza.bar. Разместить ссылку на страницу http://linza.bar с анкором &amp;quot;контактные линзы интернет магазин&amp;quot;
В середине статьи сделать заголовок (тегом h2 или h3) с употреблением в нем ключевых слов &amp;#171;контактные линзы&amp;#187; или &amp;#171;линзы для глаз&amp;#187;
Проверяется наличие ссылки: http://linza.bar
с текстом (анкором): контактные линзы интернет магазин
Длина поста: до 1 500</t>
  </si>
  <si>
    <t>dlemoduli.org.ua</t>
  </si>
  <si>
    <t>2018-01-11T17:13:57</t>
  </si>
  <si>
    <t>2018-01-11T21:26:55</t>
  </si>
  <si>
    <t>2018-01-18T21:26:55</t>
  </si>
  <si>
    <t>No href!</t>
  </si>
  <si>
    <t>Igor Yankovsky Press Release | PressReleasePoint</t>
  </si>
  <si>
    <t>No keyword!</t>
  </si>
  <si>
    <t>No img!</t>
  </si>
  <si>
    <t>​A HUF 13 Billion Hospital Is to Be Built in Budapest - Tower International</t>
  </si>
  <si>
    <t>budapest property management, budapest property furnishing, budapest property renovations, budapest property lettings, budapest accountancy services, lettings, maintenance, apartments for rent in budapest</t>
  </si>
  <si>
    <t>The Fund Igor Yankovsky and the state of Ukraine on the 70th Cannes film festival held a business lunch &amp;#8220;Meet Ukrainian Producers!&amp;#8221; &amp;#8211; Ukrop News 24</t>
  </si>
  <si>
    <t>business</t>
  </si>
  <si>
    <t>Not found</t>
  </si>
  <si>
    <t>позика</t>
  </si>
  <si>
    <t>Где одолжить деньги.</t>
  </si>
  <si>
    <t>робота</t>
  </si>
  <si>
    <t>Как найти работу.</t>
  </si>
  <si>
    <t>Error keyword!</t>
  </si>
  <si>
    <t>ErrorPublic</t>
  </si>
  <si>
    <t>NeOK</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</si>
  <si>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</si>
  <si>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</si>
  <si>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</si>
  <si>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</si>
  <si>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</si>
  <si>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</si>
  <si>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</si>
  <si>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</si>
  <si>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NO</t>
  </si>
  <si>
    <t>На проверке</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</si>
  <si>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</si>
  <si>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</si>
  <si>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</si>
  <si>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</si>
  <si>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</si>
  <si>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</si>
  <si>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&lt;a href="https://proizd.ua/ua" title="квитки на поїзд"&gt;квитки на поїзд&lt;/a&gt;</t>
  </si>
  <si>
    <t>Постовой должен быть окружен тематическим текстом
Только один постовой на страницу
Постовой должен быть в новой статье
Анонс поста на главной странице сайта
Постовой должен быть в уникальной статье.</t>
  </si>
  <si>
    <t>2018-01-11T13:39:57</t>
  </si>
  <si>
    <t>2018-01-11T16:05:02</t>
  </si>
  <si>
    <t>2018-01-19T13:34:22</t>
  </si>
  <si>
    <t>https://proizd.ua/</t>
  </si>
  <si>
    <t>&lt;a href="https://proizd.ua/ua" title="залізничні квитки онлайн"&gt;залізничні квитки онлайн&lt;/a&gt;</t>
  </si>
  <si>
    <t>2018-01-11T13:39:58</t>
  </si>
  <si>
    <t>2018-01-11T16:04:57</t>
  </si>
  <si>
    <t>2018-01-19T13:34:25</t>
  </si>
  <si>
    <t>ЖД билеты онлайн PROIZD™ – билеты на поезд по Украине и СНГ.</t>
  </si>
  <si>
    <t>жд, железнодорожные, билеты, стоимость, купить, онлайн, цена, дешевые, Украина, расписание поездов, дешево, наличие мест.</t>
  </si>
  <si>
    <t>https://www.habrealty.ru/pokupatelyu/kak-pravilno-vyibrat-kvartiru.html</t>
  </si>
  <si>
    <t xml:space="preserve"> _x000D_
Видеоинструкции_x000D_
Видеокурс_x000D_
Сервисы_x000D_
Специалисты_x000D_
Выписка ЕГРП_x000D_
_x000D_
_x000D_
Видеоинструкции_x000D_
Видеокурс_x000D_
Сервисы_x000D_
Специалисты_x000D_
Выписка ЕГРП_x000D_
Habrealty.ru_x000D_
Покупателю_x000D_
Правильно и выгодно выбираем квартиру на вторичке_x000D_
Пригодится_x000D_
 _x000D_
Защита интересов покупателя при составлении акта приемки квартиры_x000D_
 _x000D_
Как решить, покупать дом или квартиру?_x000D_
Сегодня на Habrealty.ru:_x000D_
как правильно выбирать квартиру на вторичном рынке — 6 золотых правил, которые помогут вам выбрать квартиру своей мечты!_x000D_
Когда человек хочет купить квартиру и точно знает, какой она должна быть – это хорошо. Проблем с выбором у него не будет._x000D_
Но, если решение приобрести жилье пришло спонтанно, он должен сначала узнать, как правильно выбрать квартиру, на какие моменты следует обращать внимание. _x000D_
Риэлторы раскрыли свои секреты, как это сделать. Итак…_x000D_
6 Правил помогут правильно выбрать квартиру на вторичном рынке_x000D_
Первое:_x000D_
определитесь с бюджетом_x000D_
Перед тем, как правильно выбирать квартиру на вторичном рынке, следует продумать, сколько средств вы готовы потратить на ее приобретение. Именно от их количества будет зависеть класс дома (эконом, бизнес, элит) и его местонахождение, метраж квартиры._x000D_
Также вы должны понять, из каких средств будете оплачивать стоимость жилья – с помощью личных инвестиций, военной ипотеки, кредитования в банке, взаимозачета, жилищных программ или чего-то иного? Ответ на этот вопрос очень важен для адекватной оценки своих финансовых сил._x000D_
Эксперты говорят о том, что приобретать следует только то жилье, которое будет и по карману, и по силам. Собственные желания необходимо соизмерять со своими возможностями._x000D_
Иначе при окончании расчетов владельцы жилья уже не смогут любить квартиру своей мечты. Да, тяжело сочетать вместе любовь и бремя._x000D_
Если вы определились с ипотекой, то узнайте 10 способов уменьшить платеж по ипотеке_x000D_
Я как-то беседовал с кредитными экспертами нескольких банков. Они отмечали, что в России граждане стараются платить ипотеку исправно, в отличие от, например Штатов._x000D_
Это говорит только о том, что соотечественники способны адекватно оценить свои силы и знают, как выбрать хорошую квартиру. Что, собственно, не может не радовать._x000D_
Кстати, почитайте статью Как не лишиться квартиры в залоге_x000D_
Второе:_x000D_
подумайте: «а нужно ли?»_x000D_
Чтобы узнать, как выбрать хорошую квартиру, нужно подумать о цели ее приобретения. От нее зависит выбор и местоположение конкретного объекта._x000D_
Если вы хотите просто «сменить обстановку» — отталкивайтесь от личных вкусов, предпочтений и желаний. Если, как и бывает в большинстве случаев, вам нужна жилплощадь, которая ближе была_x000D_
бы к вашей работе, школе или университету, то нужно учитывать привязку к месту работы или учебы, жилью родственников._x000D_
Читайте полезное: как купить квартиру с хорошими соседями_x000D_
Третье:_x000D_
куда податься_x000D_
Во время определения местоположения нового жилья покупатели чаще всего приобретают квартиру в том же районе, где они жили раньше._x000D_
Потому что здесь для них все привычно. Но, если все-таки переезжают в другой район, то на первое место выходит транспортная доступность и инфраструктурная деятельность, отсутствие шумных магистралей и вредных предприятий._x000D_
Довольно часто выбор места для будущего проживания зависит от экологических показателей._x000D_
Четвертое:_x000D_
новостройка или «вторичка»_x000D_
Перед тем, как правильно выбрать квартиру при покупке, покупателю нужно ответить на вопрос, где он хотел бы жить – в новостройке или «вторичке»._x000D_
Узнайте, как правильно купить квартиру вторичку и снизить риски ее потери_x000D_
Если есть ограничение в средствах, но есть время немного подождать – лучше выбирать новострой._x000D_
Чистая «история» квартиры, соседи примерно одинакового социального уровня, новые коммуникации, вы можете сделать ремонт по своему вкусу – вот преимущества такого жилья._x000D_
Но есть и «но» — придется терпеть ремонтные работы, проводимые соседями в своих квартирах, а также вкладываться в ремонт собственной._x000D_
Прочтите статью: 12 советов при покупке новостройки_x000D_
Приобретая квартиру на вторичном рынке, можно избежать последствий кризиса, долгостроя и иных новостроечных рисков._x000D_
Правда, стоимость жилья здесь значительно выше. К тому же неизвестно все ли в порядке с юридической историей жилья. Но для вас эта проблема найдет эффективное решение, после обращения к юристу, занимающегося жилищными вопросами._x000D_
Бесплатно задать вопрос юристу можно во вкладке «Специалисты»_x000D_
Если сомнения в выборе, читайте «Что выбрать: вторичку или новострой?«._x000D_
Пятое:_x000D_
сбор информации и ориентирование на местности_x000D_
Сразу после решений предыдущих вопросов с тем, как выбрать квартиру при покупке, нужно изучить рынок недвижимости и узнать, что он может вам предложить._x000D_
Сделать это можно с помощью специальных журналов, сайтов, консультаций в агентстве. Сразу можно просмотреть несколько различных квартир для формирования общего мнения._x000D_
Советоваться с близкими или друзьями риэлторы не рекомендуют, так как от них зачастую могут поступить абсолютно противоречивые рекомендации, лишь осложняющие процесс._x000D_
Можно поискать жилье и, как говорится, «в поле» — пройтись по тому району, в котором вы его хотите приобрести, посмотреть местоположение домов, оценить состояние территории, поспрашивать у бабушек, сидящих у подъезда._x000D_
Скорее всего, вы сможете от них услышать то, о чем не сказал вам продавец._x000D_
Шестое:_x000D_
внимательнее при осмотре_x000D_
Просмотры занимают большое количество времени, поэтому не стоит осматривать все квартиры за один раз._x000D_
Смотреть их следует исключительно днем или при хорошем освещении. Желательно сфотографировать жилье для фиксации недостатков и сравнения нескольких вариантов на “свежую голову”._x000D_
Определитесь для себя — вам нужна квартира с ремонтом или без него?_x000D_
Прочтите статью Покупать квартиру с ремонтом или нет_x000D_
Также перед тем, как выбрать хорошую квартиру, нужно осмотреть ее планировку. Двухкомнатные квартиры должны быть изолированными, однокомнатные – светлыми._x000D_
Желательно, чтобы было хорошее расположение комнат, удобные подходы в комнаты, холл или гардеробная, присутствие входной группы._x000D_
Следует собрать информацию и о соседях по лестничной площадке, изучить документацию и планировку, посмотреть отделку и высоту потолков, проложена ли электропроводка, есть ли отопление или сантехнические коммуникации._x000D_
Если квартира покупается на вторичном рынке – также нужно обратить внимание на вид из окна, естественную вентиляцию, ремонт и шумоизоляцию в квартире._x000D_
Читайте, как осмотреть квартиру перед покупкой Правильный осмотр квартиры_x000D_
Вы узнали, как правильно выбирать квартиру на вторичном рынке и теперь можете смело реализовать свою мечту!_x000D_
Успехов вам!_x000D_
Пригодилось? Поделись!_x000D_
Facebook Twitter Google+ VKontakte _x000D_
Больше интересного_x000D_
 _x000D_
Список плюсов и минусов квартиры на последнем этаже_x000D_
 _x000D_
Самый распространенный способ обмана покупателей квартир!_x000D_
 _x000D_
Как для себя определить, что лучше купить вторичку или новострой?_x000D_
_x000D_
_x000D_
Рубрики_x000D_
Аналитика _x000D_
Блог _x000D_
Договоры _x000D_
Дольщику _x000D_
Зарубежная недвижимость _x000D_
Недвижимость Черногории _x000D_
Земля _x000D_
Инвестору _x000D_
Ипотека _x000D_
Курсы _x000D_
Налоги и 3НДФЛ _x000D_
Недвижимость регионов _x000D_
Недвижимость Краснодара _x000D_
Недвижимость Москвы и МО _x000D_
Недвижимость С-Петербурга _x000D_
Недвижимость Сочи _x000D_
Недвижимость Хабаровска _x000D_
Новости _x000D_
О ЖКХ _x000D_
Планировки _x000D_
Покупателю _x000D_
Продавцу _x000D_
Прописка _x000D_
Риэлтору _x000D_
Сам Себе Риэлтор _x000D_
Сдать квартиру _x000D_
Сервисы _x000D_
Снять квартиру _x000D_
Советы юриста _x000D_
Социальные жилищные программы г. Хабаровск _x000D_
Молодежная программа Министерства строительства Хабаровского края _x000D_
Специалисты _x000D_
Краснодар _x000D_
С-Петербург _x000D_
Хабаровск _x000D_
популярные статьи_x000D_
 Покупателю _x000D_
Список плюсов и минусов квартиры на последнем этаже_x000D_
 Недвижимость регионов _x000D_
Перечень МФЦ Хабаровска: адреса, телефоны, филиалы_x000D_
 Дольщику _x000D_
Как дольщику правильно принять новостройку у застройщика_x000D_
_x000D_
_x000D_
Обо мне_x000D_
О проекте_x000D_
Контакты_x000D_
Вернуться к началу _x000D_
© HabRealty.ru 2017 16+ </t>
  </si>
  <si>
    <t xml:space="preserve"> Когда человек хочет купить квартиру и точно знает, какой она должна быть – это хорошо. Проблем с выбором у него не будет._x000D_ Перед тем, как правильно выбирать квартиру на вторичном рынке, следует продумать, сколько средств вы готовы потратить на ее приобретение. Именно от их количества будет зависеть класс дома (эконом, бизнес, элит) и его местонахождение, метраж квартиры._x000D_ Также вы должны понять, из каких средств будете оплачивать стоимость жилья – с помощью личных инвестиций, военной ипотеки, кредитования в банке, взаимозачета, жилищных программ или чего-то иного? Ответ на этот вопрос очень важен для адекватной оценки своих финансовых сил._x000D_ Эксперты говорят о том, что приобретать следует только то жилье, которое будет и по карману, и по силам. Собственные желания необходимо соизмерять со своими возможностями._x000D_ Иначе при окончании расчетов владельцы жилья уже не смогут любить квартиру своей мечты. Да, тяжело сочетать вместе любовь и бремя._x000D_ Я как-то беседовал с кредитными экспертами нескольких банков. Они отмечали, что в России граждане стараются платить ипотеку исправно, в отличие от, например Штатов._x000D_ Это говорит только о том, что соотечественники способны адекватно оценить свои силы и знают, как выбрать хорошую квартиру. Что, собственно, не может не радовать._x000D_ Чтобы узнать, как выбрать хорошую квартиру, нужно подумать о цели ее приобретения. От нее зависит выбор и местоположение конкретного объекта._x000D_ бы к вашей работе, школе или университету, то нужно учитывать привязку к месту работы или учебы, жилью родственников._x000D_ Во время определения местоположения нового жилья покупатели чаще всего приобретают квартиру в том же районе, где они жили раньше._x000D_ Потому что здесь для них все привычно. Но, если все-таки переезжают в другой район, то на первое место выходит транспортная доступность и инфраструктурная деятельность, отсутствие шумных магистралей и вредных предприятий._x000D_ Чистая «история» квартиры, соседи примерно одинакового социального уровня, новые коммуникации, вы можете сделать ремонт по своему вкусу – вот преимущества такого жилья._x000D_ Но есть и «но» — придется терпеть ремонтные работы, проводимые соседями в своих квартирах, а также вкладываться в ремонт собственной._x000D_ Приобретая квартиру на вторичном рынке, можно избежать последствий кризиса, долгостроя и иных новостроечных рисков._x000D_ Правда, стоимость жилья здесь значительно выше. К тому же неизвестно все ли в порядке с юридической историей жилья. Но для вас эта проблема найдет эффективное решение, после обращения к юристу, занимающегося жилищными вопросами._x000D_ Сразу после решений предыдущих вопросов с тем, как выбрать квартиру при покупке, нужно изучить рынок недвижимости и узнать, что он может вам предложить._x000D_ Сделать это можно с помощью специальных журналов, сайтов, консультаций в агентстве. Сразу можно просмотреть несколько различных квартир для формирования общего мнения._x000D_ Советоваться с близкими или друзьями риэлторы не рекомендуют, так как от них зачастую могут поступить абсолютно противоречивые рекомендации, лишь осложняющие процесс._x000D_ Можно поискать жилье и, как говорится, «в поле» — пройтись по тому району, в котором вы его хотите приобрести, посмотреть местоположение домов, оценить состояние территории, поспрашивать у бабушек, сидящих у подъезда._x000D_ Просмотры занимают большое количество времени, поэтому не стоит осматривать все квартиры за один раз._x000D_ Также перед тем, как выбрать хорошую квартиру, нужно осмотреть ее планировку. Двухкомнатные квартиры должны быть изолированными, однокомнатные – светлыми._x000D_ Желательно, чтобы было хорошее расположение комнат, удобные подходы в комнаты, холл или гардеробная, присутствие входной группы._x000D_ Следует собрать информацию и о соседях по лестничной площадке, изучить документацию и планировку, посмотреть отделку и высоту потолков, проложена ли электропроводка, есть ли отопление или сантехнические коммуникации._x000D_ Если квартира покупается на вторичном рынке – также нужно обратить внимание на вид из окна, естественную вентиляцию, ремонт и шумоизоляцию в квартире._x000D_</t>
  </si>
  <si>
    <t xml:space="preserve"> Когда человек хочет купить квартиру и точно знает, какой она должна быть – это хорошо. Проблем с выбором у него не будет._x000D_ Перед тем, как правильно выбирать квартиру на вторичном рынке, следует продумать, сколько средств вы готовы потратить на ее приобретение. Именно от их количества будет зависеть класс дома (эконом, бизнес, элит) и его местонахождение, метраж квартиры._x000D_ Также вы должны понять, из каких средств будете оплачивать стоимость жилья – с помощью личных инвестиций, военной ипотеки, кредитования в банке, взаимозачета, жилищных программ или чего-то иного? Ответ на этот вопрос очень важен для адекватной оценки своих финансовых сил._x000D_ Эксперты говорят о том, что приобретать следует только то жилье, которое будет и по карману, и по силам. Собственные желания необходимо соизмерять со своими возможностями._x000D_ Иначе при окончании расчетов владельцы жилья уже не смогут любить квартиру своей мечты. Что, собственно, не может не радовать._x000D_ Чтобы узнать, как выбрать хорошую квартиру, нужно подумать о цели ее приобретения. От нее зависит выбор и местоположение конкретного объекта._x000D_ бы к вашей работе, школе или университету, то нужно учитывать привязку к месту работы или учебы, жилью родственников._x000D_ Во время определения местоположения нового жилья покупатели чаще всего приобретают квартиру в том же районе, где они жили раньше._x000D_ Потому что здесь для них все привычно. К тому же неизвестно все ли в порядке с юридической историей жилья. Но для вас эта проблема найдет эффективное решение, после обращения к юристу, занимающегося жилищными вопросами._x000D_ Сразу после решений предыдущих вопросов с тем, как выбрать квартиру при покупке, нужно изучить рынок недвижимости и узнать, что он может вам предложить._x000D_ Сделать это можно с помощью специальных журналов, сайтов, консультаций в агентстве. </t>
  </si>
  <si>
    <t xml:space="preserve">Коли людина хоче купити квартиру і точно знає, якою вона повинна бути – це добре. Проблем з вибором у нього не буде. Перед тим, як правильно вибирати квартиру на вторинному ринку, слід продумати, скільки коштів ви готові витратити на її придбання. Саме від їх кількості буде залежати клас будинку (економ, бізнес, еліт) та його місцезнаходження, метраж квартири. Також ви повинні зрозуміти, з яких коштів будете оплачувати вартість житла – з допомогою особистих інвестицій, військової іпотеки, кредитування у банку, взаємозаліку, житлових програм або чогось іншого? Відповідь на це питання дуже важливе для адекватної оцінки своїх фінансових сил. Експерти говорять про те, що купувати слід тільки те житло, яке буде і по кишені, і по силам. Власні бажання потрібно узгоджувати зі своїми можливостями. Інакше при закінченні розрахунків власники житла вже не зможуть любити квартиру своєї мрії. Що, власне, не може не радувати. Щоб дізнатися, як вибрати хорошу квартиру, потрібно подумати про цілі її придбання. Від неї залежить вибір і розташування конкретного об'єкта. до вашої роботі, школі або університету, потрібно враховувати прив'язку до місця роботи або навчання, житлу родичів. Під час визначення місця розташування нового житла покупці найчастіше купують квартиру в тому ж районі, де вони жили раніше. Тому що тут для них звично. До того ж невідомо, чи все в порядку з юридичної історією житла. </t>
  </si>
  <si>
    <t>Як правильно вибирати нерухомість.</t>
  </si>
  <si>
    <t>[caption id="" align="aligncenter" width="350"]&lt;img src="https://www.rusnedviga.ru/news/common/28092016/thumb_1475079449.jpg" alt="" width="350" height="300" /&gt; Як правильно вибирати нерухомість.[/caption]    Коли людина хоче купити квартиру і точно знає, якою вона повинна бути – це добре. Проблем з вибором у нього не буде. Перед тим, як правильно вибирати квартиру на вторинному ринку, слід продумати, скільки коштів ви готові витратити на її придбання. Саме від їх кількості буде залежати клас будинку (економ, бізнес, еліт) та його місцезнаходження, метраж квартири. Також ви повинні зрозуміти, з яких коштів будете оплачувати вартість житла – з допомогою особистих інвестицій, військової іпотеки, кредитування у банку, взаємозаліку, житлових програм або чогось іншого? Відповідь на це питання дуже важливе для адекватної оцінки своїх фінансових сил. Також ви можете знайти все необхідне на ресурсі &lt;a href="http://urbanus-immobilien.com/" title="коммерческая недвижимость в германии"&gt;коммерческая недвижимость в германии&lt;/a&gt;._x000D_
    Експерти говорять про те, що купувати слід тільки те житло, яке буде і по кишені, і по силам. Власні бажання потрібно узгоджувати зі своїми можливостями. Інакше при закінченні розрахунків власники житла вже не зможуть любити квартиру своєї мрії. Що, власне, не може не радувати. Щоб дізнатися, як вибрати хорошу квартиру, потрібно подумати про цілі її придбання. Від неї залежить вибір і розташування конкретного об'єкта. до вашої роботі, школі або університету, потрібно враховувати прив'язку до місця роботи або навчання, житлу родичів. _x000D_
     Під час визначення місця розташування нового житла покупці найчастіше купують квартиру в тому ж районі, де вони жили раніше. Тому що тут для них звично. До того ж невідомо, чи все в порядку з юридичної історією житла. Але для вас ця проблема знайде ефективне рішення, після звернення до юриста, що займається житловими питаннями. Відразу після рішень попередніх питань з тим, як вибрати квартиру, при покупці потрібно вивчити ринок нерухомості та дізнатися, що він може вам запропонувати. Зробити це можна з допомогою спеціальних журналів, сайтів, консультацій в агентстві.</t>
  </si>
  <si>
    <t>http://rielt.in.ua/yak-pravylno-vybyraty-neruhomist/</t>
  </si>
  <si>
    <t>продвижение сайта</t>
  </si>
  <si>
    <t>Как продвигать свой сайт.</t>
  </si>
  <si>
    <t>Как выбрать район для жилья.</t>
  </si>
  <si>
    <t>Как правильно отобрать семена.</t>
  </si>
  <si>
    <t>https://euroroaming.ru/wp-content/uploads/2017/03/Traveling-by-car-in-Europe.jpg</t>
  </si>
  <si>
    <t>https://voyage-club.com/file/image/%D0%BF%D1%83%D1%82%D0%B5%D1%88%D0%B5%D1%81%D1%82%D0%B2%D0%B8%D0%B5.jpg</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</si>
</sst>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61">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0" fillId="0" borderId="1" xfId="0" applyBorder="1"/>
    <xf numFmtId="0" fontId="0" fillId="0" borderId="16"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47625</xdr:rowOff>
        </xdr:from>
        <xdr:to>
          <xdr:col>3</xdr:col>
          <xdr:colOff>295275</xdr:colOff>
          <xdr:row>2</xdr:row>
          <xdr:rowOff>38100</xdr:rowOff>
        </xdr:to>
        <xdr:sp macro="" textlink="">
          <xdr:nvSpPr>
            <xdr:cNvPr id="3073" name="Button 1" hidden="1">
              <a:extLst>
                <a:ext uri="{63B3BB69-23CF-44E3-9099-C40C66FF867C}">
                  <a14:compatExt spid="_x0000_s3073"/>
                </a:ext>
                <a:ext uri="{FF2B5EF4-FFF2-40B4-BE49-F238E27FC236}">
                  <a16:creationId xmlns=""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2</xdr:row>
          <xdr:rowOff>152400</xdr:rowOff>
        </xdr:from>
        <xdr:to>
          <xdr:col>3</xdr:col>
          <xdr:colOff>333375</xdr:colOff>
          <xdr:row>4</xdr:row>
          <xdr:rowOff>142875</xdr:rowOff>
        </xdr:to>
        <xdr:sp macro="" textlink="">
          <xdr:nvSpPr>
            <xdr:cNvPr id="3076" name="Button 4" hidden="1">
              <a:extLst>
                <a:ext uri="{63B3BB69-23CF-44E3-9099-C40C66FF867C}">
                  <a14:compatExt spid="_x0000_s3076"/>
                </a:ext>
                <a:ext uri="{FF2B5EF4-FFF2-40B4-BE49-F238E27FC236}">
                  <a16:creationId xmlns=""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4</xdr:row>
          <xdr:rowOff>38100</xdr:rowOff>
        </xdr:from>
        <xdr:to>
          <xdr:col>1</xdr:col>
          <xdr:colOff>2419350</xdr:colOff>
          <xdr:row>5</xdr:row>
          <xdr:rowOff>152400</xdr:rowOff>
        </xdr:to>
        <xdr:sp macro="" textlink="">
          <xdr:nvSpPr>
            <xdr:cNvPr id="3077" name="Button 5" hidden="1">
              <a:extLst>
                <a:ext uri="{63B3BB69-23CF-44E3-9099-C40C66FF867C}">
                  <a14:compatExt spid="_x0000_s3077"/>
                </a:ext>
                <a:ext uri="{FF2B5EF4-FFF2-40B4-BE49-F238E27FC236}">
                  <a16:creationId xmlns=""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M36"/>
  <sheetViews>
    <sheetView tabSelected="1" zoomScale="80" zoomScaleNormal="80" workbookViewId="0">
      <selection activeCell="E11" sqref="E11"/>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13" ht="16.5" customHeight="1" thickBot="1" x14ac:dyDescent="0.3">
      <c r="A1" s="57" t="str">
        <f xml:space="preserve"> "Авторизация: " &amp; $F$2</f>
        <v>Авторизация: Нанопласт</v>
      </c>
      <c r="B1" s="58"/>
      <c r="C1" s="40"/>
      <c r="D1" s="40"/>
      <c r="E1" s="43" t="s">
        <v>55</v>
      </c>
      <c r="F1" s="43" t="s">
        <v>44</v>
      </c>
    </row>
    <row r="2" spans="1:13" ht="15.75" x14ac:dyDescent="0.25">
      <c r="A2" s="45" t="s">
        <v>4</v>
      </c>
      <c r="B2" s="47" t="b">
        <v>1</v>
      </c>
      <c r="C2" s="40"/>
      <c r="D2" s="40"/>
      <c r="E2" s="50" t="s">
        <v>418</v>
      </c>
      <c r="F2" s="44" t="s">
        <v>447</v>
      </c>
    </row>
    <row r="3" spans="1:13" x14ac:dyDescent="0.25">
      <c r="A3" s="45" t="s">
        <v>5</v>
      </c>
      <c r="B3" s="48" t="s">
        <v>448</v>
      </c>
      <c r="C3" s="40"/>
      <c r="D3" s="40"/>
      <c r="E3" s="40"/>
      <c r="F3" s="40"/>
    </row>
    <row r="4" spans="1:13" ht="15.75" thickBot="1" x14ac:dyDescent="0.3">
      <c r="A4" s="46" t="s">
        <v>104</v>
      </c>
      <c r="B4" s="49">
        <v>43121.661805555559</v>
      </c>
      <c r="C4" s="41"/>
      <c r="D4" s="40"/>
      <c r="E4" s="40"/>
      <c r="F4" s="40"/>
    </row>
    <row r="5" spans="1:13" x14ac:dyDescent="0.25">
      <c r="A5" s="40"/>
      <c r="B5" s="40"/>
      <c r="C5" s="42"/>
      <c r="D5" s="40"/>
      <c r="E5" s="40"/>
      <c r="F5" s="40"/>
    </row>
    <row r="6" spans="1:13" x14ac:dyDescent="0.25">
      <c r="E6" s="40"/>
    </row>
    <row r="7" spans="1:13" x14ac:dyDescent="0.25">
      <c r="A7" s="2" t="s">
        <v>6</v>
      </c>
      <c r="B7" s="1">
        <v>28573133</v>
      </c>
      <c r="C7" s="1">
        <v>28573144</v>
      </c>
      <c r="D7" s="1">
        <v>28573135</v>
      </c>
      <c r="E7" s="1">
        <v>28575939</v>
      </c>
      <c r="F7" s="1">
        <v>28575686</v>
      </c>
      <c r="G7" s="1">
        <v>28575687</v>
      </c>
      <c r="H7"/>
      <c r="I7"/>
      <c r="J7"/>
      <c r="K7"/>
      <c r="L7"/>
      <c r="M7"/>
    </row>
    <row r="8" spans="1:13" x14ac:dyDescent="0.25">
      <c r="A8" s="2" t="s">
        <v>7</v>
      </c>
      <c r="B8" s="1" t="s">
        <v>419</v>
      </c>
      <c r="C8" s="1" t="s">
        <v>419</v>
      </c>
      <c r="D8" s="1" t="s">
        <v>419</v>
      </c>
      <c r="E8" s="1" t="s">
        <v>467</v>
      </c>
      <c r="F8" s="1" t="s">
        <v>419</v>
      </c>
      <c r="G8" s="1" t="s">
        <v>419</v>
      </c>
      <c r="H8"/>
      <c r="I8"/>
      <c r="J8"/>
      <c r="K8"/>
      <c r="L8"/>
      <c r="M8"/>
    </row>
    <row r="9" spans="1:13" x14ac:dyDescent="0.25">
      <c r="A9" s="2" t="s">
        <v>8</v>
      </c>
      <c r="B9" s="1" t="s">
        <v>449</v>
      </c>
      <c r="C9" s="1" t="s">
        <v>455</v>
      </c>
      <c r="D9" s="1" t="s">
        <v>460</v>
      </c>
      <c r="E9" s="1" t="s">
        <v>468</v>
      </c>
      <c r="F9" s="1" t="s">
        <v>505</v>
      </c>
      <c r="G9" s="1" t="s">
        <v>511</v>
      </c>
      <c r="H9"/>
      <c r="I9"/>
      <c r="J9"/>
      <c r="K9"/>
      <c r="L9"/>
      <c r="M9"/>
    </row>
    <row r="10" spans="1:13" x14ac:dyDescent="0.25">
      <c r="A10" s="2" t="s">
        <v>9</v>
      </c>
      <c r="B10" s="1" t="s">
        <v>450</v>
      </c>
      <c r="C10" s="1" t="s">
        <v>450</v>
      </c>
      <c r="D10" s="1" t="s">
        <v>450</v>
      </c>
      <c r="E10" s="1"/>
      <c r="F10" s="1" t="s">
        <v>506</v>
      </c>
      <c r="G10" s="1" t="s">
        <v>506</v>
      </c>
      <c r="H10"/>
      <c r="I10"/>
      <c r="J10"/>
      <c r="K10"/>
      <c r="L10"/>
      <c r="M10"/>
    </row>
    <row r="11" spans="1:13" x14ac:dyDescent="0.25">
      <c r="A11" s="2" t="s">
        <v>10</v>
      </c>
      <c r="B11" s="1" t="s">
        <v>391</v>
      </c>
      <c r="C11" s="1" t="s">
        <v>400</v>
      </c>
      <c r="D11" s="1" t="s">
        <v>398</v>
      </c>
      <c r="E11" s="1" t="s">
        <v>469</v>
      </c>
      <c r="F11" s="1" t="s">
        <v>466</v>
      </c>
      <c r="G11" s="1" t="s">
        <v>465</v>
      </c>
      <c r="H11"/>
      <c r="I11"/>
      <c r="J11"/>
      <c r="K11"/>
      <c r="L11"/>
      <c r="M11"/>
    </row>
    <row r="12" spans="1:13" x14ac:dyDescent="0.25">
      <c r="A12" s="2" t="s">
        <v>11</v>
      </c>
      <c r="B12" s="1"/>
      <c r="C12" s="1"/>
      <c r="D12" s="1"/>
      <c r="E12" s="1"/>
      <c r="F12" s="1" t="s">
        <v>492</v>
      </c>
      <c r="G12" s="1" t="s">
        <v>491</v>
      </c>
      <c r="H12"/>
      <c r="I12"/>
      <c r="J12"/>
      <c r="K12"/>
      <c r="L12"/>
      <c r="M12"/>
    </row>
    <row r="13" spans="1:13" x14ac:dyDescent="0.25">
      <c r="A13" s="2" t="s">
        <v>12</v>
      </c>
      <c r="B13" s="1">
        <v>50</v>
      </c>
      <c r="C13" s="1">
        <v>50</v>
      </c>
      <c r="D13" s="1">
        <v>50</v>
      </c>
      <c r="E13" s="1">
        <v>100</v>
      </c>
      <c r="F13" s="1">
        <v>50</v>
      </c>
      <c r="G13" s="1">
        <v>50</v>
      </c>
      <c r="H13"/>
      <c r="I13"/>
      <c r="J13"/>
      <c r="K13"/>
      <c r="L13"/>
      <c r="M13"/>
    </row>
    <row r="14" spans="1:13" x14ac:dyDescent="0.25">
      <c r="A14" s="2" t="s">
        <v>13</v>
      </c>
      <c r="B14" s="1" t="s">
        <v>451</v>
      </c>
      <c r="C14" s="1" t="s">
        <v>456</v>
      </c>
      <c r="D14" s="1" t="s">
        <v>461</v>
      </c>
      <c r="E14" s="1" t="s">
        <v>470</v>
      </c>
      <c r="F14" s="1" t="s">
        <v>507</v>
      </c>
      <c r="G14" s="1" t="s">
        <v>512</v>
      </c>
      <c r="H14"/>
      <c r="I14"/>
      <c r="J14"/>
      <c r="K14"/>
      <c r="L14"/>
      <c r="M14"/>
    </row>
    <row r="15" spans="1:13" x14ac:dyDescent="0.25">
      <c r="A15" s="2" t="s">
        <v>14</v>
      </c>
      <c r="B15" s="1" t="s">
        <v>452</v>
      </c>
      <c r="C15" s="1" t="s">
        <v>457</v>
      </c>
      <c r="D15" s="1" t="s">
        <v>462</v>
      </c>
      <c r="E15" s="1" t="s">
        <v>471</v>
      </c>
      <c r="F15" s="1" t="s">
        <v>508</v>
      </c>
      <c r="G15" s="1" t="s">
        <v>513</v>
      </c>
      <c r="H15"/>
      <c r="I15"/>
      <c r="J15"/>
      <c r="K15"/>
      <c r="L15"/>
      <c r="M15"/>
    </row>
    <row r="16" spans="1:13" x14ac:dyDescent="0.25">
      <c r="A16" s="2" t="s">
        <v>15</v>
      </c>
      <c r="B16" s="1"/>
      <c r="C16" s="1"/>
      <c r="D16" s="1"/>
      <c r="E16" s="1"/>
      <c r="F16" s="1"/>
      <c r="G16" s="1"/>
      <c r="H16"/>
      <c r="I16"/>
      <c r="J16"/>
      <c r="K16"/>
      <c r="L16"/>
      <c r="M16"/>
    </row>
    <row r="17" spans="1:13" x14ac:dyDescent="0.25">
      <c r="A17" s="2" t="s">
        <v>16</v>
      </c>
      <c r="B17" s="1"/>
      <c r="C17" s="1"/>
      <c r="D17" s="1"/>
      <c r="E17" s="1"/>
      <c r="F17" s="1"/>
      <c r="G17" s="1"/>
      <c r="H17"/>
      <c r="I17"/>
      <c r="J17"/>
      <c r="K17"/>
      <c r="L17"/>
      <c r="M17"/>
    </row>
    <row r="18" spans="1:13" x14ac:dyDescent="0.25">
      <c r="A18" s="2" t="s">
        <v>17</v>
      </c>
      <c r="B18" s="1"/>
      <c r="C18" s="1"/>
      <c r="D18" s="1"/>
      <c r="E18" s="1"/>
      <c r="F18" s="1"/>
      <c r="G18" s="1"/>
      <c r="H18"/>
      <c r="I18"/>
      <c r="J18"/>
      <c r="K18"/>
      <c r="L18"/>
      <c r="M18"/>
    </row>
    <row r="19" spans="1:13" x14ac:dyDescent="0.25">
      <c r="A19" s="2" t="s">
        <v>18</v>
      </c>
      <c r="B19" s="1">
        <v>0</v>
      </c>
      <c r="C19" s="1">
        <v>0</v>
      </c>
      <c r="D19" s="1">
        <v>0</v>
      </c>
      <c r="E19" s="1">
        <v>0</v>
      </c>
      <c r="F19" s="1">
        <v>1</v>
      </c>
      <c r="G19" s="1">
        <v>1</v>
      </c>
      <c r="H19"/>
      <c r="I19"/>
      <c r="J19"/>
      <c r="K19"/>
      <c r="L19"/>
      <c r="M19"/>
    </row>
    <row r="20" spans="1:13" x14ac:dyDescent="0.25">
      <c r="A20" s="2" t="s">
        <v>19</v>
      </c>
      <c r="B20" s="1">
        <v>0</v>
      </c>
      <c r="C20" s="1">
        <v>0</v>
      </c>
      <c r="D20" s="1">
        <v>0</v>
      </c>
      <c r="E20" s="1">
        <v>0</v>
      </c>
      <c r="F20" s="1">
        <v>0</v>
      </c>
      <c r="G20" s="1">
        <v>0</v>
      </c>
      <c r="H20"/>
      <c r="I20"/>
      <c r="J20"/>
      <c r="K20"/>
      <c r="L20"/>
      <c r="M20"/>
    </row>
    <row r="21" spans="1:13" x14ac:dyDescent="0.25">
      <c r="A21" s="2" t="s">
        <v>20</v>
      </c>
      <c r="B21" s="1" t="s">
        <v>453</v>
      </c>
      <c r="C21" s="1" t="s">
        <v>458</v>
      </c>
      <c r="D21" s="1" t="s">
        <v>463</v>
      </c>
      <c r="E21" s="1" t="s">
        <v>472</v>
      </c>
      <c r="F21" s="1" t="s">
        <v>509</v>
      </c>
      <c r="G21" s="1" t="s">
        <v>514</v>
      </c>
      <c r="H21"/>
      <c r="I21"/>
      <c r="J21"/>
      <c r="K21"/>
      <c r="L21"/>
      <c r="M21"/>
    </row>
    <row r="22" spans="1:13" x14ac:dyDescent="0.25">
      <c r="A22" s="2" t="s">
        <v>21</v>
      </c>
      <c r="B22" s="1" t="b">
        <v>0</v>
      </c>
      <c r="C22" s="1" t="b">
        <v>0</v>
      </c>
      <c r="D22" s="1" t="b">
        <v>0</v>
      </c>
      <c r="E22" s="1" t="b">
        <v>0</v>
      </c>
      <c r="F22" s="1" t="b">
        <v>0</v>
      </c>
      <c r="G22" s="1" t="b">
        <v>0</v>
      </c>
      <c r="H22"/>
      <c r="I22"/>
      <c r="J22"/>
      <c r="K22"/>
      <c r="L22"/>
      <c r="M22"/>
    </row>
    <row r="23" spans="1:13" x14ac:dyDescent="0.25">
      <c r="A23" s="2" t="s">
        <v>22</v>
      </c>
      <c r="B23" s="1"/>
      <c r="C23" s="1"/>
      <c r="D23" s="1"/>
      <c r="E23" s="1"/>
      <c r="F23" s="1"/>
      <c r="G23" s="1"/>
      <c r="H23"/>
      <c r="I23"/>
      <c r="J23"/>
      <c r="K23"/>
      <c r="L23"/>
      <c r="M23"/>
    </row>
    <row r="24" spans="1:13" x14ac:dyDescent="0.25">
      <c r="A24" s="2" t="s">
        <v>0</v>
      </c>
      <c r="B24" s="1" t="s">
        <v>454</v>
      </c>
      <c r="C24" s="1" t="s">
        <v>459</v>
      </c>
      <c r="D24" s="1" t="s">
        <v>464</v>
      </c>
      <c r="E24" s="1" t="s">
        <v>473</v>
      </c>
      <c r="F24" s="1" t="s">
        <v>510</v>
      </c>
      <c r="G24" s="1" t="s">
        <v>510</v>
      </c>
      <c r="H24"/>
      <c r="I24"/>
      <c r="J24"/>
      <c r="K24"/>
      <c r="L24"/>
      <c r="M24"/>
    </row>
    <row r="25" spans="1:13" x14ac:dyDescent="0.25">
      <c r="A25" s="32" t="s">
        <v>1</v>
      </c>
      <c r="B25" t="s">
        <v>475</v>
      </c>
      <c r="C25" t="s">
        <v>475</v>
      </c>
      <c r="D25" t="s">
        <v>475</v>
      </c>
      <c r="E25" t="s">
        <v>475</v>
      </c>
      <c r="F25" t="s">
        <v>375</v>
      </c>
      <c r="G25" t="s">
        <v>375</v>
      </c>
      <c r="H25"/>
      <c r="I25"/>
      <c r="J25"/>
      <c r="K25"/>
      <c r="L25"/>
      <c r="M25"/>
    </row>
    <row r="26" spans="1:13" x14ac:dyDescent="0.25">
      <c r="A26" s="3" t="s">
        <v>31</v>
      </c>
      <c r="B26" t="s">
        <v>449</v>
      </c>
      <c r="C26" t="s">
        <v>455</v>
      </c>
      <c r="D26" t="s">
        <v>460</v>
      </c>
      <c r="E26" t="s">
        <v>481</v>
      </c>
      <c r="F26" t="s">
        <v>505</v>
      </c>
      <c r="G26" t="s">
        <v>511</v>
      </c>
      <c r="H26"/>
      <c r="I26"/>
      <c r="J26"/>
      <c r="K26"/>
      <c r="L26"/>
      <c r="M26"/>
    </row>
    <row r="27" spans="1:13" x14ac:dyDescent="0.25">
      <c r="A27" s="3" t="s">
        <v>43</v>
      </c>
      <c r="B27" s="1" t="s">
        <v>476</v>
      </c>
      <c r="C27" s="1" t="s">
        <v>476</v>
      </c>
      <c r="D27" s="1" t="s">
        <v>476</v>
      </c>
      <c r="E27" s="1" t="s">
        <v>476</v>
      </c>
      <c r="F27" s="1" t="s">
        <v>529</v>
      </c>
      <c r="G27" s="1" t="s">
        <v>530</v>
      </c>
      <c r="H27"/>
      <c r="I27"/>
      <c r="J27"/>
      <c r="K27"/>
      <c r="L27"/>
      <c r="M27"/>
    </row>
    <row r="28" spans="1:13" x14ac:dyDescent="0.25">
      <c r="A28" s="3" t="s">
        <v>51</v>
      </c>
      <c r="B28" t="s">
        <v>420</v>
      </c>
      <c r="C28" t="s">
        <v>420</v>
      </c>
      <c r="D28" t="s">
        <v>420</v>
      </c>
      <c r="E28" t="s">
        <v>420</v>
      </c>
      <c r="F28" t="s">
        <v>498</v>
      </c>
      <c r="G28" t="s">
        <v>498</v>
      </c>
      <c r="H28"/>
      <c r="I28"/>
      <c r="J28"/>
      <c r="K28"/>
      <c r="L28"/>
      <c r="M28"/>
    </row>
    <row r="29" spans="1:13" x14ac:dyDescent="0.25">
      <c r="A29" s="56" t="s">
        <v>68</v>
      </c>
      <c r="B29" s="1" t="s">
        <v>474</v>
      </c>
      <c r="C29" s="1" t="s">
        <v>477</v>
      </c>
      <c r="D29" s="1" t="s">
        <v>479</v>
      </c>
      <c r="E29"/>
      <c r="F29" s="1" t="s">
        <v>515</v>
      </c>
      <c r="G29" s="1" t="s">
        <v>515</v>
      </c>
      <c r="H29"/>
      <c r="I29"/>
      <c r="J29"/>
      <c r="K29"/>
      <c r="L29"/>
      <c r="M29"/>
    </row>
    <row r="30" spans="1:13" x14ac:dyDescent="0.25">
      <c r="A30" s="33" t="s">
        <v>115</v>
      </c>
      <c r="B30" t="s">
        <v>422</v>
      </c>
      <c r="C30" t="s">
        <v>478</v>
      </c>
      <c r="D30" t="s">
        <v>480</v>
      </c>
      <c r="E30" t="s">
        <v>422</v>
      </c>
      <c r="F30" t="s">
        <v>516</v>
      </c>
      <c r="G30" t="s">
        <v>516</v>
      </c>
      <c r="H30"/>
      <c r="I30"/>
      <c r="J30"/>
      <c r="K30"/>
      <c r="L30"/>
      <c r="M30"/>
    </row>
    <row r="31" spans="1:13" x14ac:dyDescent="0.25">
      <c r="B31" s="28"/>
      <c r="E31" s="28"/>
    </row>
    <row r="34" spans="2:2" x14ac:dyDescent="0.25">
      <c r="B34" s="3"/>
    </row>
    <row r="36" spans="2:2" x14ac:dyDescent="0.25">
      <c r="B36" s="28"/>
    </row>
  </sheetData>
  <mergeCells count="1">
    <mergeCell ref="A1:B1"/>
  </mergeCells>
  <dataValidations count="2">
    <dataValidation type="list" allowBlank="1" showInputMessage="1" showErrorMessage="1" sqref="F2">
      <formula1>"Антон, Максим,Курко,Нанопласт"</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47625</xdr:rowOff>
                  </from>
                  <to>
                    <xdr:col>3</xdr:col>
                    <xdr:colOff>295275</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85725</xdr:colOff>
                    <xdr:row>2</xdr:row>
                    <xdr:rowOff>152400</xdr:rowOff>
                  </from>
                  <to>
                    <xdr:col>3</xdr:col>
                    <xdr:colOff>333375</xdr:colOff>
                    <xdr:row>4</xdr:row>
                    <xdr:rowOff>142875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19050</xdr:colOff>
                    <xdr:row>4</xdr:row>
                    <xdr:rowOff>38100</xdr:rowOff>
                  </from>
                  <to>
                    <xdr:col>1</xdr:col>
                    <xdr:colOff>2419350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I17" sqref="I17"/>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3" ht="32.25" customHeight="1" thickBot="1" x14ac:dyDescent="0.3">
      <c r="A1" s="60" t="s">
        <v>34</v>
      </c>
      <c r="B1" s="60"/>
      <c r="C1" s="22" t="s">
        <v>40</v>
      </c>
      <c r="D1" s="23"/>
      <c r="L1" s="8" t="s">
        <v>45</v>
      </c>
    </row>
    <row r="2" spans="1:23" s="17" customFormat="1" ht="31.5" customHeight="1" thickBot="1" x14ac:dyDescent="0.3">
      <c r="A2" s="59" t="s">
        <v>497</v>
      </c>
      <c r="B2" s="59"/>
      <c r="C2" s="24">
        <f>COUNTA(A:A)-2</f>
        <v>6</v>
      </c>
      <c r="D2" s="25"/>
      <c r="E2" s="12" t="s">
        <v>47</v>
      </c>
      <c r="F2" s="13" t="s">
        <v>24</v>
      </c>
      <c r="G2" s="14" t="s">
        <v>46</v>
      </c>
      <c r="H2" s="15" t="s">
        <v>25</v>
      </c>
      <c r="I2" s="21" t="s">
        <v>52</v>
      </c>
      <c r="J2" s="16" t="s">
        <v>23</v>
      </c>
      <c r="L2" s="20" t="s">
        <v>2</v>
      </c>
      <c r="N2" s="18" t="s">
        <v>26</v>
      </c>
      <c r="P2" s="19" t="s">
        <v>3</v>
      </c>
      <c r="R2" s="26" t="s">
        <v>32</v>
      </c>
      <c r="T2" s="12" t="s">
        <v>33</v>
      </c>
      <c r="U2" s="34" t="s">
        <v>71</v>
      </c>
      <c r="V2" s="27" t="s">
        <v>39</v>
      </c>
    </row>
    <row r="3" spans="1:23" x14ac:dyDescent="0.25">
      <c r="A3">
        <v>28573133</v>
      </c>
      <c r="E3" t="s">
        <v>391</v>
      </c>
      <c r="G3" s="54">
        <v>43109.581250000003</v>
      </c>
      <c r="I3" t="s">
        <v>420</v>
      </c>
      <c r="L3" s="1" t="s">
        <v>486</v>
      </c>
      <c r="T3" t="s">
        <v>487</v>
      </c>
      <c r="U3" t="s">
        <v>488</v>
      </c>
      <c r="V3" t="s">
        <v>224</v>
      </c>
      <c r="W3" s="5"/>
    </row>
    <row r="4" spans="1:23" x14ac:dyDescent="0.25">
      <c r="A4">
        <v>28573144</v>
      </c>
      <c r="E4" t="s">
        <v>400</v>
      </c>
      <c r="G4" s="54">
        <v>43109.581250000003</v>
      </c>
      <c r="I4" t="s">
        <v>420</v>
      </c>
      <c r="L4" s="1" t="s">
        <v>486</v>
      </c>
      <c r="T4" t="s">
        <v>487</v>
      </c>
      <c r="U4" t="s">
        <v>488</v>
      </c>
      <c r="V4" t="s">
        <v>224</v>
      </c>
      <c r="W4" s="5"/>
    </row>
    <row r="5" spans="1:23" x14ac:dyDescent="0.25">
      <c r="A5">
        <v>28573135</v>
      </c>
      <c r="E5" t="s">
        <v>398</v>
      </c>
      <c r="G5" s="54">
        <v>43109.581250000003</v>
      </c>
      <c r="I5" t="s">
        <v>420</v>
      </c>
      <c r="L5" s="1" t="s">
        <v>486</v>
      </c>
      <c r="T5" t="s">
        <v>487</v>
      </c>
      <c r="U5" t="s">
        <v>488</v>
      </c>
      <c r="V5" t="s">
        <v>224</v>
      </c>
      <c r="W5" s="5"/>
    </row>
    <row r="6" spans="1:23" x14ac:dyDescent="0.25">
      <c r="A6">
        <v>28575939</v>
      </c>
      <c r="E6" t="s">
        <v>469</v>
      </c>
      <c r="G6" s="54">
        <v>43111.717361111114</v>
      </c>
      <c r="I6" t="s">
        <v>420</v>
      </c>
      <c r="L6" s="1" t="s">
        <v>486</v>
      </c>
      <c r="T6" t="s">
        <v>487</v>
      </c>
      <c r="U6" t="s">
        <v>488</v>
      </c>
      <c r="V6" t="s">
        <v>224</v>
      </c>
      <c r="W6" s="5"/>
    </row>
    <row r="7" spans="1:23" x14ac:dyDescent="0.25">
      <c r="A7">
        <v>28577251</v>
      </c>
      <c r="E7" t="s">
        <v>394</v>
      </c>
      <c r="G7" s="54">
        <v>43113.000694444447</v>
      </c>
      <c r="I7" t="s">
        <v>420</v>
      </c>
      <c r="L7" s="1" t="s">
        <v>523</v>
      </c>
      <c r="R7" t="s">
        <v>522</v>
      </c>
      <c r="T7" t="s">
        <v>524</v>
      </c>
      <c r="U7" t="s">
        <v>256</v>
      </c>
      <c r="V7" t="b">
        <v>1</v>
      </c>
      <c r="W7" s="5"/>
    </row>
    <row r="8" spans="1:23" x14ac:dyDescent="0.25">
      <c r="A8" t="s">
        <v>517</v>
      </c>
      <c r="F8" s="1" t="s">
        <v>518</v>
      </c>
      <c r="H8" s="1" t="s">
        <v>519</v>
      </c>
      <c r="J8" s="1" t="s">
        <v>520</v>
      </c>
      <c r="L8" s="1" t="s">
        <v>522</v>
      </c>
      <c r="N8" s="1" t="s">
        <v>521</v>
      </c>
      <c r="P8" s="1">
        <v>100</v>
      </c>
      <c r="W8" s="5"/>
    </row>
    <row r="9" spans="1:23" x14ac:dyDescent="0.25">
      <c r="W9" s="5"/>
    </row>
    <row r="10" spans="1:23" x14ac:dyDescent="0.25">
      <c r="W10" s="5"/>
    </row>
    <row r="11" spans="1:23" x14ac:dyDescent="0.25">
      <c r="W11" s="5"/>
    </row>
    <row r="12" spans="1:23" x14ac:dyDescent="0.25">
      <c r="W12" s="5"/>
    </row>
    <row r="13" spans="1:23" x14ac:dyDescent="0.25">
      <c r="W13" s="5"/>
    </row>
    <row r="14" spans="1:23" x14ac:dyDescent="0.25">
      <c r="W14" s="5"/>
    </row>
    <row r="15" spans="1:23" x14ac:dyDescent="0.25">
      <c r="W15" s="5"/>
    </row>
    <row r="16" spans="1:23" x14ac:dyDescent="0.25">
      <c r="W16" s="5"/>
    </row>
    <row r="17" spans="23:23" x14ac:dyDescent="0.25">
      <c r="W17" s="5"/>
    </row>
    <row r="18" spans="23:23" x14ac:dyDescent="0.25">
      <c r="W18" s="5"/>
    </row>
    <row r="19" spans="23:23" x14ac:dyDescent="0.25">
      <c r="W19" s="5"/>
    </row>
    <row r="20" spans="23:23" x14ac:dyDescent="0.25">
      <c r="W20" s="5"/>
    </row>
    <row r="21" spans="23:23" x14ac:dyDescent="0.25">
      <c r="W21" s="5"/>
    </row>
    <row r="22" spans="23:23" x14ac:dyDescent="0.25">
      <c r="W22" s="5"/>
    </row>
    <row r="23" spans="23:23" x14ac:dyDescent="0.25">
      <c r="W23" s="5"/>
    </row>
    <row r="24" spans="23:23" x14ac:dyDescent="0.25">
      <c r="W24" s="5"/>
    </row>
    <row r="25" spans="23:23" x14ac:dyDescent="0.25">
      <c r="W25" s="5"/>
    </row>
    <row r="26" spans="23:23" x14ac:dyDescent="0.25">
      <c r="W26" s="5"/>
    </row>
    <row r="27" spans="23:23" x14ac:dyDescent="0.25">
      <c r="W27" s="5"/>
    </row>
    <row r="28" spans="23:23" x14ac:dyDescent="0.25">
      <c r="W28" s="5"/>
    </row>
    <row r="29" spans="23:23" x14ac:dyDescent="0.25">
      <c r="W29" s="5"/>
    </row>
  </sheetData>
  <mergeCells count="2">
    <mergeCell ref="A2:B2"/>
    <mergeCell ref="A1:B1"/>
  </mergeCells>
  <dataValidations count="6">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5">
      <formula1>"OK,NeOK,Отложить"</formula1>
    </dataValidation>
    <dataValidation type="list" allowBlank="1" showInputMessage="1" showErrorMessage="1" sqref="U6">
      <formula1>"OK,NeOK,Отложить"</formula1>
    </dataValidation>
    <dataValidation type="list" allowBlank="1" showInputMessage="1" showErrorMessage="1" sqref="U7">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E123"/>
  <sheetViews>
    <sheetView topLeftCell="A104" workbookViewId="0">
      <selection activeCell="H116" sqref="H116"/>
    </sheetView>
  </sheetViews>
  <sheetFormatPr defaultRowHeight="15" x14ac:dyDescent="0.25"/>
  <sheetData>
    <row r="1" spans="1:5" x14ac:dyDescent="0.25">
      <c r="A1" s="51" t="s">
        <v>156</v>
      </c>
      <c r="B1" s="51" t="s">
        <v>47</v>
      </c>
      <c r="C1" s="51" t="s">
        <v>157</v>
      </c>
      <c r="D1" s="51" t="s">
        <v>52</v>
      </c>
      <c r="E1" s="52" t="s">
        <v>186</v>
      </c>
    </row>
    <row r="2" spans="1:5" x14ac:dyDescent="0.25">
      <c r="A2" s="51">
        <v>28542234</v>
      </c>
      <c r="B2" s="51" t="s">
        <v>147</v>
      </c>
      <c r="C2" s="51"/>
      <c r="D2" s="51" t="s">
        <v>178</v>
      </c>
      <c r="E2" s="40" t="s">
        <v>187</v>
      </c>
    </row>
    <row r="3" spans="1:5" x14ac:dyDescent="0.25">
      <c r="A3" s="51">
        <v>28549279</v>
      </c>
      <c r="B3" s="51" t="s">
        <v>173</v>
      </c>
      <c r="C3" s="51"/>
      <c r="D3" s="51" t="s">
        <v>178</v>
      </c>
      <c r="E3" s="40" t="s">
        <v>187</v>
      </c>
    </row>
    <row r="4" spans="1:5" x14ac:dyDescent="0.25">
      <c r="A4">
        <v>28546343</v>
      </c>
      <c r="B4" t="s">
        <v>144</v>
      </c>
      <c r="D4" s="51" t="s">
        <v>178</v>
      </c>
      <c r="E4" s="6" t="s">
        <v>190</v>
      </c>
    </row>
    <row r="5" spans="1:5" x14ac:dyDescent="0.25">
      <c r="A5" s="51">
        <v>28544868</v>
      </c>
      <c r="B5" s="51" t="s">
        <v>162</v>
      </c>
      <c r="C5" s="51" t="s">
        <v>179</v>
      </c>
      <c r="D5" s="51" t="s">
        <v>184</v>
      </c>
    </row>
    <row r="6" spans="1:5" x14ac:dyDescent="0.25">
      <c r="A6" s="51">
        <v>28546435</v>
      </c>
      <c r="B6" s="51" t="s">
        <v>163</v>
      </c>
      <c r="C6" s="51" t="s">
        <v>183</v>
      </c>
      <c r="D6" s="51" t="s">
        <v>184</v>
      </c>
    </row>
    <row r="7" spans="1:5" x14ac:dyDescent="0.25">
      <c r="A7" s="51">
        <v>28546613</v>
      </c>
      <c r="B7" s="51" t="s">
        <v>164</v>
      </c>
      <c r="C7" s="51" t="s">
        <v>177</v>
      </c>
      <c r="D7" s="51" t="s">
        <v>184</v>
      </c>
    </row>
    <row r="8" spans="1:5" x14ac:dyDescent="0.25">
      <c r="A8">
        <v>28547795</v>
      </c>
      <c r="B8" t="s">
        <v>166</v>
      </c>
      <c r="D8" s="52" t="s">
        <v>178</v>
      </c>
      <c r="E8" t="s">
        <v>185</v>
      </c>
    </row>
    <row r="9" spans="1:5" x14ac:dyDescent="0.25">
      <c r="A9" s="51">
        <v>28549107</v>
      </c>
      <c r="B9" s="51" t="s">
        <v>143</v>
      </c>
      <c r="C9" s="51"/>
      <c r="D9" s="51" t="s">
        <v>178</v>
      </c>
      <c r="E9" t="s">
        <v>187</v>
      </c>
    </row>
    <row r="10" spans="1:5" x14ac:dyDescent="0.25">
      <c r="A10" s="51">
        <v>28549521</v>
      </c>
      <c r="B10" s="51" t="s">
        <v>174</v>
      </c>
      <c r="C10" s="51"/>
      <c r="D10" s="51" t="s">
        <v>178</v>
      </c>
      <c r="E10" s="40" t="s">
        <v>187</v>
      </c>
    </row>
    <row r="11" spans="1:5" x14ac:dyDescent="0.25">
      <c r="A11" s="51">
        <v>28549420</v>
      </c>
      <c r="B11" s="51" t="s">
        <v>175</v>
      </c>
      <c r="C11" s="51" t="s">
        <v>189</v>
      </c>
      <c r="D11" s="51" t="s">
        <v>184</v>
      </c>
    </row>
    <row r="12" spans="1:5" x14ac:dyDescent="0.25">
      <c r="A12" s="51">
        <v>28539436</v>
      </c>
      <c r="B12" s="51" t="s">
        <v>142</v>
      </c>
      <c r="C12" s="51" t="s">
        <v>152</v>
      </c>
      <c r="D12" s="51" t="s">
        <v>191</v>
      </c>
    </row>
    <row r="13" spans="1:5" x14ac:dyDescent="0.25">
      <c r="A13" s="51">
        <v>28546504</v>
      </c>
      <c r="B13" s="51" t="s">
        <v>165</v>
      </c>
      <c r="C13" s="51" t="s">
        <v>192</v>
      </c>
      <c r="D13" s="51" t="s">
        <v>184</v>
      </c>
    </row>
    <row r="14" spans="1:5" x14ac:dyDescent="0.25">
      <c r="A14" s="53">
        <v>28550443</v>
      </c>
      <c r="B14" s="51" t="s">
        <v>195</v>
      </c>
      <c r="C14" s="51" t="s">
        <v>199</v>
      </c>
      <c r="D14" s="51" t="s">
        <v>184</v>
      </c>
    </row>
    <row r="15" spans="1:5" x14ac:dyDescent="0.25">
      <c r="A15" s="53">
        <v>28550474</v>
      </c>
      <c r="B15" t="s">
        <v>196</v>
      </c>
      <c r="C15" t="s">
        <v>200</v>
      </c>
      <c r="D15" s="51" t="s">
        <v>184</v>
      </c>
    </row>
    <row r="16" spans="1:5" x14ac:dyDescent="0.25">
      <c r="A16" s="53">
        <v>28546504</v>
      </c>
      <c r="B16" t="s">
        <v>165</v>
      </c>
      <c r="C16" t="s">
        <v>192</v>
      </c>
      <c r="D16" s="51" t="s">
        <v>191</v>
      </c>
    </row>
    <row r="18" spans="1:5" x14ac:dyDescent="0.25">
      <c r="A18">
        <v>28552804</v>
      </c>
      <c r="B18" t="s">
        <v>203</v>
      </c>
      <c r="C18" t="s">
        <v>207</v>
      </c>
      <c r="D18" t="s">
        <v>184</v>
      </c>
    </row>
    <row r="19" spans="1:5" x14ac:dyDescent="0.25">
      <c r="A19">
        <v>28553902</v>
      </c>
      <c r="B19" t="s">
        <v>164</v>
      </c>
      <c r="C19" t="s">
        <v>208</v>
      </c>
      <c r="D19" s="40" t="s">
        <v>184</v>
      </c>
    </row>
    <row r="20" spans="1:5" x14ac:dyDescent="0.25">
      <c r="A20" s="1">
        <v>28552247</v>
      </c>
      <c r="B20" s="1" t="s">
        <v>143</v>
      </c>
      <c r="D20" s="6" t="s">
        <v>178</v>
      </c>
      <c r="E20" t="s">
        <v>213</v>
      </c>
    </row>
    <row r="21" spans="1:5" x14ac:dyDescent="0.25">
      <c r="A21" s="53">
        <v>28546504</v>
      </c>
      <c r="B21" s="53" t="s">
        <v>165</v>
      </c>
      <c r="D21" s="6" t="s">
        <v>178</v>
      </c>
      <c r="E21" t="s">
        <v>214</v>
      </c>
    </row>
    <row r="22" spans="1:5" x14ac:dyDescent="0.25">
      <c r="A22" s="53">
        <v>28556692</v>
      </c>
      <c r="B22" s="53" t="s">
        <v>209</v>
      </c>
      <c r="D22" s="6" t="s">
        <v>178</v>
      </c>
      <c r="E22" t="s">
        <v>215</v>
      </c>
    </row>
    <row r="23" spans="1:5" x14ac:dyDescent="0.25">
      <c r="A23" s="53">
        <v>28556689</v>
      </c>
      <c r="B23" s="53" t="s">
        <v>144</v>
      </c>
      <c r="D23" s="6" t="s">
        <v>178</v>
      </c>
      <c r="E23" t="s">
        <v>215</v>
      </c>
    </row>
    <row r="24" spans="1:5" x14ac:dyDescent="0.25">
      <c r="A24" s="53">
        <v>28556977</v>
      </c>
      <c r="B24" s="53" t="s">
        <v>210</v>
      </c>
      <c r="D24" s="6" t="s">
        <v>178</v>
      </c>
      <c r="E24" t="s">
        <v>213</v>
      </c>
    </row>
    <row r="26" spans="1:5" x14ac:dyDescent="0.25">
      <c r="A26">
        <v>28560698</v>
      </c>
      <c r="B26" t="s">
        <v>216</v>
      </c>
      <c r="D26" s="6" t="s">
        <v>178</v>
      </c>
      <c r="E26" s="40" t="s">
        <v>213</v>
      </c>
    </row>
    <row r="27" spans="1:5" x14ac:dyDescent="0.25">
      <c r="A27">
        <v>28560696</v>
      </c>
      <c r="B27" t="s">
        <v>144</v>
      </c>
      <c r="C27" t="s">
        <v>219</v>
      </c>
      <c r="D27" s="6" t="s">
        <v>220</v>
      </c>
    </row>
    <row r="28" spans="1:5" x14ac:dyDescent="0.25">
      <c r="A28" s="55">
        <v>28560698</v>
      </c>
      <c r="B28" t="s">
        <v>216</v>
      </c>
      <c r="C28" s="6" t="s">
        <v>220</v>
      </c>
    </row>
    <row r="29" spans="1:5" x14ac:dyDescent="0.25">
      <c r="A29">
        <v>28561581</v>
      </c>
      <c r="B29" t="s">
        <v>221</v>
      </c>
      <c r="C29" s="6" t="s">
        <v>220</v>
      </c>
    </row>
    <row r="30" spans="1:5" x14ac:dyDescent="0.25">
      <c r="A30">
        <v>28561582</v>
      </c>
      <c r="B30" t="s">
        <v>166</v>
      </c>
      <c r="C30" s="6" t="s">
        <v>178</v>
      </c>
      <c r="D30" t="s">
        <v>257</v>
      </c>
    </row>
    <row r="31" spans="1:5" x14ac:dyDescent="0.25">
      <c r="A31">
        <v>28546504</v>
      </c>
      <c r="B31" t="s">
        <v>165</v>
      </c>
      <c r="C31" s="6" t="s">
        <v>258</v>
      </c>
    </row>
    <row r="33" spans="1:5" x14ac:dyDescent="0.25">
      <c r="A33">
        <v>28561582</v>
      </c>
      <c r="B33" t="s">
        <v>166</v>
      </c>
      <c r="D33" s="6" t="s">
        <v>178</v>
      </c>
      <c r="E33" t="s">
        <v>224</v>
      </c>
    </row>
    <row r="34" spans="1:5" x14ac:dyDescent="0.25">
      <c r="A34">
        <v>28562075</v>
      </c>
      <c r="B34" t="s">
        <v>259</v>
      </c>
      <c r="C34" t="s">
        <v>262</v>
      </c>
      <c r="D34" s="6" t="s">
        <v>220</v>
      </c>
    </row>
    <row r="35" spans="1:5" x14ac:dyDescent="0.25">
      <c r="A35" t="s">
        <v>263</v>
      </c>
      <c r="B35" t="s">
        <v>165</v>
      </c>
      <c r="D35" s="6" t="s">
        <v>264</v>
      </c>
    </row>
    <row r="36" spans="1:5" x14ac:dyDescent="0.25">
      <c r="A36">
        <v>28563723</v>
      </c>
      <c r="B36" t="s">
        <v>173</v>
      </c>
      <c r="C36" t="s">
        <v>288</v>
      </c>
      <c r="D36" s="6" t="s">
        <v>220</v>
      </c>
    </row>
    <row r="37" spans="1:5" x14ac:dyDescent="0.25">
      <c r="A37">
        <v>28563725</v>
      </c>
      <c r="B37" t="s">
        <v>174</v>
      </c>
      <c r="C37" t="s">
        <v>289</v>
      </c>
      <c r="D37" s="6" t="s">
        <v>220</v>
      </c>
    </row>
    <row r="38" spans="1:5" x14ac:dyDescent="0.25">
      <c r="A38">
        <v>28563671</v>
      </c>
      <c r="B38" t="s">
        <v>285</v>
      </c>
      <c r="C38" t="s">
        <v>290</v>
      </c>
      <c r="D38" s="6" t="s">
        <v>220</v>
      </c>
    </row>
    <row r="39" spans="1:5" x14ac:dyDescent="0.25">
      <c r="A39">
        <v>28563721</v>
      </c>
      <c r="B39" t="s">
        <v>286</v>
      </c>
      <c r="C39" t="s">
        <v>291</v>
      </c>
      <c r="D39" s="6" t="s">
        <v>220</v>
      </c>
    </row>
    <row r="40" spans="1:5" x14ac:dyDescent="0.25">
      <c r="A40">
        <v>28562625</v>
      </c>
      <c r="B40" t="s">
        <v>287</v>
      </c>
      <c r="D40" s="6" t="s">
        <v>293</v>
      </c>
      <c r="E40" t="s">
        <v>187</v>
      </c>
    </row>
    <row r="42" spans="1:5" x14ac:dyDescent="0.25">
      <c r="A42">
        <v>28567486</v>
      </c>
      <c r="B42" t="s">
        <v>296</v>
      </c>
      <c r="C42" t="s">
        <v>297</v>
      </c>
      <c r="D42" s="6" t="s">
        <v>220</v>
      </c>
    </row>
    <row r="43" spans="1:5" x14ac:dyDescent="0.25">
      <c r="A43">
        <v>28562625</v>
      </c>
      <c r="B43" t="s">
        <v>287</v>
      </c>
      <c r="D43" s="6" t="s">
        <v>178</v>
      </c>
      <c r="E43" t="s">
        <v>298</v>
      </c>
    </row>
    <row r="44" spans="1:5" x14ac:dyDescent="0.25">
      <c r="A44">
        <v>28563927</v>
      </c>
      <c r="B44" t="s">
        <v>175</v>
      </c>
      <c r="D44" s="6" t="s">
        <v>178</v>
      </c>
      <c r="E44" s="40" t="s">
        <v>298</v>
      </c>
    </row>
    <row r="46" spans="1:5" x14ac:dyDescent="0.25">
      <c r="A46">
        <v>28572285</v>
      </c>
      <c r="B46" t="s">
        <v>216</v>
      </c>
      <c r="C46" t="s">
        <v>364</v>
      </c>
      <c r="D46" s="6" t="s">
        <v>220</v>
      </c>
    </row>
    <row r="47" spans="1:5" x14ac:dyDescent="0.25">
      <c r="A47">
        <v>28572434</v>
      </c>
      <c r="B47" t="s">
        <v>299</v>
      </c>
      <c r="C47" t="s">
        <v>365</v>
      </c>
      <c r="D47" s="6" t="s">
        <v>220</v>
      </c>
    </row>
    <row r="48" spans="1:5" x14ac:dyDescent="0.25">
      <c r="A48">
        <v>28572147</v>
      </c>
      <c r="B48" t="s">
        <v>221</v>
      </c>
      <c r="C48" t="s">
        <v>367</v>
      </c>
      <c r="D48" s="6" t="s">
        <v>220</v>
      </c>
    </row>
    <row r="50" spans="1:5" x14ac:dyDescent="0.25">
      <c r="A50">
        <v>28567399</v>
      </c>
      <c r="B50" t="s">
        <v>368</v>
      </c>
      <c r="C50" t="s">
        <v>383</v>
      </c>
      <c r="D50" s="6" t="s">
        <v>220</v>
      </c>
    </row>
    <row r="51" spans="1:5" x14ac:dyDescent="0.25">
      <c r="A51">
        <v>28567404</v>
      </c>
      <c r="B51" t="s">
        <v>370</v>
      </c>
      <c r="C51" t="s">
        <v>384</v>
      </c>
      <c r="D51" s="6" t="s">
        <v>220</v>
      </c>
    </row>
    <row r="52" spans="1:5" x14ac:dyDescent="0.25">
      <c r="A52">
        <v>28567402</v>
      </c>
      <c r="B52" t="s">
        <v>371</v>
      </c>
      <c r="C52" t="s">
        <v>385</v>
      </c>
      <c r="D52" s="6" t="s">
        <v>220</v>
      </c>
    </row>
    <row r="53" spans="1:5" x14ac:dyDescent="0.25">
      <c r="A53">
        <v>28570198</v>
      </c>
      <c r="B53" t="s">
        <v>373</v>
      </c>
      <c r="C53" t="s">
        <v>386</v>
      </c>
      <c r="D53" s="6" t="s">
        <v>220</v>
      </c>
    </row>
    <row r="54" spans="1:5" x14ac:dyDescent="0.25">
      <c r="A54">
        <v>28570195</v>
      </c>
      <c r="B54" t="s">
        <v>373</v>
      </c>
      <c r="C54" t="s">
        <v>387</v>
      </c>
      <c r="D54" s="6" t="s">
        <v>220</v>
      </c>
    </row>
    <row r="55" spans="1:5" x14ac:dyDescent="0.25">
      <c r="A55">
        <v>28568341</v>
      </c>
      <c r="B55" t="s">
        <v>372</v>
      </c>
      <c r="D55" s="6" t="s">
        <v>178</v>
      </c>
      <c r="E55" t="s">
        <v>298</v>
      </c>
    </row>
    <row r="56" spans="1:5" x14ac:dyDescent="0.25">
      <c r="A56">
        <v>28571296</v>
      </c>
      <c r="B56" t="s">
        <v>373</v>
      </c>
      <c r="C56" t="s">
        <v>388</v>
      </c>
      <c r="D56" s="6" t="s">
        <v>220</v>
      </c>
    </row>
    <row r="57" spans="1:5" x14ac:dyDescent="0.25">
      <c r="A57">
        <v>28573145</v>
      </c>
      <c r="B57" t="s">
        <v>369</v>
      </c>
      <c r="E57" t="s">
        <v>389</v>
      </c>
    </row>
    <row r="58" spans="1:5" x14ac:dyDescent="0.25">
      <c r="A58" s="1">
        <v>28573132</v>
      </c>
      <c r="B58" s="1" t="s">
        <v>175</v>
      </c>
      <c r="D58" s="6" t="s">
        <v>178</v>
      </c>
      <c r="E58" s="40" t="s">
        <v>389</v>
      </c>
    </row>
    <row r="59" spans="1:5" x14ac:dyDescent="0.25">
      <c r="A59" s="1">
        <v>28573136</v>
      </c>
      <c r="B59" s="1" t="s">
        <v>143</v>
      </c>
      <c r="D59" s="6" t="s">
        <v>178</v>
      </c>
      <c r="E59" s="40" t="s">
        <v>389</v>
      </c>
    </row>
    <row r="60" spans="1:5" x14ac:dyDescent="0.25">
      <c r="A60" s="1">
        <v>28573137</v>
      </c>
      <c r="B60" s="1" t="s">
        <v>286</v>
      </c>
      <c r="D60" s="6" t="s">
        <v>178</v>
      </c>
      <c r="E60" s="40" t="s">
        <v>389</v>
      </c>
    </row>
    <row r="61" spans="1:5" x14ac:dyDescent="0.25">
      <c r="A61" s="1">
        <v>28573142</v>
      </c>
      <c r="B61" s="1" t="s">
        <v>390</v>
      </c>
      <c r="D61" s="6" t="s">
        <v>178</v>
      </c>
      <c r="E61" s="40" t="s">
        <v>389</v>
      </c>
    </row>
    <row r="62" spans="1:5" x14ac:dyDescent="0.25">
      <c r="A62" s="1">
        <v>28573139</v>
      </c>
      <c r="B62" s="1" t="s">
        <v>142</v>
      </c>
      <c r="D62" s="6" t="s">
        <v>178</v>
      </c>
      <c r="E62" s="40" t="s">
        <v>389</v>
      </c>
    </row>
    <row r="63" spans="1:5" x14ac:dyDescent="0.25">
      <c r="A63">
        <v>28567388</v>
      </c>
      <c r="B63" t="s">
        <v>391</v>
      </c>
      <c r="C63" t="s">
        <v>407</v>
      </c>
      <c r="D63" s="6" t="s">
        <v>220</v>
      </c>
    </row>
    <row r="64" spans="1:5" x14ac:dyDescent="0.25">
      <c r="A64">
        <v>28568419</v>
      </c>
      <c r="B64" t="s">
        <v>392</v>
      </c>
      <c r="C64" t="s">
        <v>408</v>
      </c>
      <c r="D64" s="6" t="s">
        <v>220</v>
      </c>
    </row>
    <row r="65" spans="1:5" x14ac:dyDescent="0.25">
      <c r="A65">
        <v>28570174</v>
      </c>
      <c r="B65" t="s">
        <v>393</v>
      </c>
      <c r="C65" t="s">
        <v>409</v>
      </c>
      <c r="D65" s="6" t="s">
        <v>220</v>
      </c>
    </row>
    <row r="66" spans="1:5" x14ac:dyDescent="0.25">
      <c r="A66">
        <v>28570566</v>
      </c>
      <c r="B66" t="s">
        <v>394</v>
      </c>
      <c r="C66" t="s">
        <v>410</v>
      </c>
      <c r="D66" s="6" t="s">
        <v>220</v>
      </c>
    </row>
    <row r="67" spans="1:5" x14ac:dyDescent="0.25">
      <c r="A67">
        <v>28570199</v>
      </c>
      <c r="B67" t="s">
        <v>395</v>
      </c>
      <c r="C67" t="s">
        <v>411</v>
      </c>
      <c r="D67" s="6" t="s">
        <v>220</v>
      </c>
    </row>
    <row r="68" spans="1:5" x14ac:dyDescent="0.25">
      <c r="A68">
        <v>28570196</v>
      </c>
      <c r="B68" t="s">
        <v>395</v>
      </c>
      <c r="C68" t="s">
        <v>412</v>
      </c>
      <c r="D68" s="6" t="s">
        <v>220</v>
      </c>
    </row>
    <row r="69" spans="1:5" x14ac:dyDescent="0.25">
      <c r="A69">
        <v>28570211</v>
      </c>
      <c r="B69" t="s">
        <v>396</v>
      </c>
      <c r="C69" t="s">
        <v>413</v>
      </c>
      <c r="D69" s="6" t="s">
        <v>220</v>
      </c>
    </row>
    <row r="70" spans="1:5" x14ac:dyDescent="0.25">
      <c r="A70">
        <v>28570197</v>
      </c>
      <c r="B70" t="s">
        <v>397</v>
      </c>
      <c r="C70" t="s">
        <v>414</v>
      </c>
      <c r="D70" s="6" t="s">
        <v>220</v>
      </c>
    </row>
    <row r="71" spans="1:5" x14ac:dyDescent="0.25">
      <c r="A71">
        <v>28572090</v>
      </c>
      <c r="B71" t="s">
        <v>398</v>
      </c>
      <c r="C71" t="s">
        <v>415</v>
      </c>
      <c r="D71" s="6" t="s">
        <v>220</v>
      </c>
    </row>
    <row r="72" spans="1:5" x14ac:dyDescent="0.25">
      <c r="A72">
        <v>28573146</v>
      </c>
      <c r="B72" t="s">
        <v>399</v>
      </c>
      <c r="D72" s="6" t="s">
        <v>178</v>
      </c>
      <c r="E72" s="40" t="s">
        <v>389</v>
      </c>
    </row>
    <row r="73" spans="1:5" x14ac:dyDescent="0.25">
      <c r="A73">
        <v>28573141</v>
      </c>
      <c r="B73" t="s">
        <v>394</v>
      </c>
      <c r="D73" s="6" t="s">
        <v>178</v>
      </c>
      <c r="E73" s="40" t="s">
        <v>389</v>
      </c>
    </row>
    <row r="74" spans="1:5" x14ac:dyDescent="0.25">
      <c r="A74">
        <v>28573133</v>
      </c>
      <c r="B74" t="s">
        <v>391</v>
      </c>
      <c r="D74" s="6" t="s">
        <v>178</v>
      </c>
      <c r="E74" s="40" t="s">
        <v>389</v>
      </c>
    </row>
    <row r="75" spans="1:5" x14ac:dyDescent="0.25">
      <c r="A75">
        <v>28573144</v>
      </c>
      <c r="B75" t="s">
        <v>400</v>
      </c>
      <c r="D75" s="6" t="s">
        <v>178</v>
      </c>
      <c r="E75" s="40" t="s">
        <v>389</v>
      </c>
    </row>
    <row r="76" spans="1:5" x14ac:dyDescent="0.25">
      <c r="A76">
        <v>28573135</v>
      </c>
      <c r="B76" t="s">
        <v>398</v>
      </c>
      <c r="D76" s="6" t="s">
        <v>178</v>
      </c>
      <c r="E76" s="40" t="s">
        <v>389</v>
      </c>
    </row>
    <row r="77" spans="1:5" x14ac:dyDescent="0.25">
      <c r="A77">
        <v>28567394</v>
      </c>
      <c r="B77" t="s">
        <v>396</v>
      </c>
      <c r="D77" s="6" t="s">
        <v>258</v>
      </c>
    </row>
    <row r="78" spans="1:5" x14ac:dyDescent="0.25">
      <c r="A78" s="53">
        <v>28567393</v>
      </c>
      <c r="B78" s="53" t="s">
        <v>401</v>
      </c>
      <c r="D78" s="6" t="s">
        <v>258</v>
      </c>
    </row>
    <row r="79" spans="1:5" x14ac:dyDescent="0.25">
      <c r="A79" s="53">
        <v>28567390</v>
      </c>
      <c r="B79" s="53" t="s">
        <v>395</v>
      </c>
      <c r="D79" s="6" t="s">
        <v>258</v>
      </c>
    </row>
    <row r="80" spans="1:5" x14ac:dyDescent="0.25">
      <c r="A80" s="53">
        <v>28567396</v>
      </c>
      <c r="B80" s="53" t="s">
        <v>402</v>
      </c>
      <c r="D80" s="6" t="s">
        <v>258</v>
      </c>
    </row>
    <row r="81" spans="1:5" x14ac:dyDescent="0.25">
      <c r="A81" s="53">
        <v>28567401</v>
      </c>
      <c r="B81" s="53" t="s">
        <v>393</v>
      </c>
      <c r="D81" s="6" t="s">
        <v>258</v>
      </c>
    </row>
    <row r="82" spans="1:5" x14ac:dyDescent="0.25">
      <c r="A82" s="53">
        <v>28567400</v>
      </c>
      <c r="B82" s="53" t="s">
        <v>394</v>
      </c>
      <c r="D82" s="6" t="s">
        <v>258</v>
      </c>
    </row>
    <row r="84" spans="1:5" x14ac:dyDescent="0.25">
      <c r="A84">
        <v>28573902</v>
      </c>
      <c r="B84" t="s">
        <v>401</v>
      </c>
      <c r="C84" t="s">
        <v>417</v>
      </c>
      <c r="D84" t="s">
        <v>184</v>
      </c>
    </row>
    <row r="86" spans="1:5" x14ac:dyDescent="0.25">
      <c r="A86" t="s">
        <v>435</v>
      </c>
    </row>
    <row r="87" spans="1:5" x14ac:dyDescent="0.25">
      <c r="A87">
        <v>28575643</v>
      </c>
      <c r="B87" t="s">
        <v>421</v>
      </c>
      <c r="C87" t="s">
        <v>428</v>
      </c>
      <c r="D87" s="40" t="s">
        <v>184</v>
      </c>
    </row>
    <row r="88" spans="1:5" x14ac:dyDescent="0.25">
      <c r="A88">
        <v>28575762</v>
      </c>
      <c r="B88" t="s">
        <v>203</v>
      </c>
      <c r="C88" t="s">
        <v>429</v>
      </c>
      <c r="D88" s="40" t="s">
        <v>184</v>
      </c>
    </row>
    <row r="89" spans="1:5" x14ac:dyDescent="0.25">
      <c r="A89">
        <v>28575760</v>
      </c>
      <c r="B89" t="s">
        <v>144</v>
      </c>
      <c r="C89" t="s">
        <v>430</v>
      </c>
      <c r="D89" s="40" t="s">
        <v>184</v>
      </c>
    </row>
    <row r="90" spans="1:5" x14ac:dyDescent="0.25">
      <c r="A90">
        <v>28576107</v>
      </c>
      <c r="B90" t="s">
        <v>144</v>
      </c>
      <c r="C90" t="s">
        <v>431</v>
      </c>
      <c r="D90" s="40" t="s">
        <v>184</v>
      </c>
    </row>
    <row r="91" spans="1:5" x14ac:dyDescent="0.25">
      <c r="A91">
        <v>28576095</v>
      </c>
      <c r="B91" t="s">
        <v>259</v>
      </c>
      <c r="C91" t="s">
        <v>432</v>
      </c>
      <c r="D91" s="40" t="s">
        <v>184</v>
      </c>
    </row>
    <row r="92" spans="1:5" x14ac:dyDescent="0.25">
      <c r="A92">
        <v>28576108</v>
      </c>
      <c r="B92" t="s">
        <v>164</v>
      </c>
      <c r="C92" t="s">
        <v>433</v>
      </c>
      <c r="D92" s="40" t="s">
        <v>184</v>
      </c>
    </row>
    <row r="93" spans="1:5" x14ac:dyDescent="0.25">
      <c r="A93">
        <v>28576070</v>
      </c>
      <c r="B93" t="s">
        <v>196</v>
      </c>
      <c r="C93" t="s">
        <v>434</v>
      </c>
      <c r="D93" s="40" t="s">
        <v>184</v>
      </c>
    </row>
    <row r="95" spans="1:5" x14ac:dyDescent="0.25">
      <c r="A95" t="s">
        <v>436</v>
      </c>
    </row>
    <row r="96" spans="1:5" x14ac:dyDescent="0.25">
      <c r="A96" s="1">
        <v>28573145</v>
      </c>
      <c r="B96" t="s">
        <v>369</v>
      </c>
      <c r="D96" t="s">
        <v>178</v>
      </c>
      <c r="E96" t="s">
        <v>443</v>
      </c>
    </row>
    <row r="97" spans="1:5" x14ac:dyDescent="0.25">
      <c r="A97" s="1">
        <v>28567404</v>
      </c>
      <c r="B97" t="s">
        <v>370</v>
      </c>
      <c r="D97" s="40" t="s">
        <v>178</v>
      </c>
      <c r="E97" t="s">
        <v>258</v>
      </c>
    </row>
    <row r="98" spans="1:5" x14ac:dyDescent="0.25">
      <c r="A98" s="1">
        <v>28575518</v>
      </c>
      <c r="B98" t="s">
        <v>437</v>
      </c>
      <c r="C98" t="s">
        <v>441</v>
      </c>
      <c r="D98" t="s">
        <v>220</v>
      </c>
    </row>
    <row r="99" spans="1:5" x14ac:dyDescent="0.25">
      <c r="A99" s="1">
        <v>28576035</v>
      </c>
      <c r="B99" t="s">
        <v>438</v>
      </c>
      <c r="C99" t="s">
        <v>446</v>
      </c>
      <c r="D99" s="40" t="s">
        <v>220</v>
      </c>
    </row>
    <row r="100" spans="1:5" x14ac:dyDescent="0.25">
      <c r="A100" s="1">
        <v>28576094</v>
      </c>
      <c r="B100" t="s">
        <v>371</v>
      </c>
      <c r="C100" t="s">
        <v>442</v>
      </c>
      <c r="D100" s="40" t="s">
        <v>220</v>
      </c>
    </row>
    <row r="102" spans="1:5" x14ac:dyDescent="0.25">
      <c r="A102" t="s">
        <v>447</v>
      </c>
    </row>
    <row r="103" spans="1:5" x14ac:dyDescent="0.25">
      <c r="A103">
        <v>28573133</v>
      </c>
      <c r="B103" t="s">
        <v>391</v>
      </c>
      <c r="D103" s="40" t="s">
        <v>178</v>
      </c>
      <c r="E103" s="40" t="s">
        <v>443</v>
      </c>
    </row>
    <row r="104" spans="1:5" x14ac:dyDescent="0.25">
      <c r="A104">
        <v>28573144</v>
      </c>
      <c r="B104" t="s">
        <v>400</v>
      </c>
      <c r="D104" s="40" t="s">
        <v>178</v>
      </c>
      <c r="E104" s="40" t="s">
        <v>443</v>
      </c>
    </row>
    <row r="105" spans="1:5" x14ac:dyDescent="0.25">
      <c r="A105">
        <v>28573135</v>
      </c>
      <c r="B105" t="s">
        <v>398</v>
      </c>
      <c r="D105" s="40" t="s">
        <v>178</v>
      </c>
      <c r="E105" s="40" t="s">
        <v>443</v>
      </c>
    </row>
    <row r="106" spans="1:5" x14ac:dyDescent="0.25">
      <c r="A106">
        <v>28575263</v>
      </c>
      <c r="B106" t="s">
        <v>397</v>
      </c>
      <c r="C106" t="s">
        <v>489</v>
      </c>
      <c r="D106" s="40" t="s">
        <v>220</v>
      </c>
    </row>
    <row r="107" spans="1:5" x14ac:dyDescent="0.25">
      <c r="A107">
        <v>28575264</v>
      </c>
      <c r="B107" t="s">
        <v>395</v>
      </c>
      <c r="C107" t="s">
        <v>490</v>
      </c>
      <c r="D107" s="40" t="s">
        <v>220</v>
      </c>
    </row>
    <row r="108" spans="1:5" x14ac:dyDescent="0.25">
      <c r="A108">
        <v>28575687</v>
      </c>
      <c r="B108" t="s">
        <v>465</v>
      </c>
      <c r="C108" t="s">
        <v>491</v>
      </c>
      <c r="D108" s="40" t="s">
        <v>220</v>
      </c>
    </row>
    <row r="109" spans="1:5" x14ac:dyDescent="0.25">
      <c r="A109">
        <v>28575686</v>
      </c>
      <c r="B109" t="s">
        <v>466</v>
      </c>
      <c r="C109" t="s">
        <v>492</v>
      </c>
      <c r="D109" s="40" t="s">
        <v>220</v>
      </c>
    </row>
    <row r="110" spans="1:5" x14ac:dyDescent="0.25">
      <c r="A110">
        <v>28576101</v>
      </c>
      <c r="B110" t="s">
        <v>398</v>
      </c>
      <c r="C110" t="s">
        <v>493</v>
      </c>
      <c r="D110" s="40" t="s">
        <v>220</v>
      </c>
    </row>
    <row r="111" spans="1:5" x14ac:dyDescent="0.25">
      <c r="A111">
        <v>28576109</v>
      </c>
      <c r="B111" t="s">
        <v>394</v>
      </c>
      <c r="C111" t="s">
        <v>494</v>
      </c>
      <c r="D111" s="40" t="s">
        <v>220</v>
      </c>
    </row>
    <row r="112" spans="1:5" x14ac:dyDescent="0.25">
      <c r="A112">
        <v>28575939</v>
      </c>
      <c r="B112" t="s">
        <v>469</v>
      </c>
      <c r="D112" s="40" t="s">
        <v>178</v>
      </c>
      <c r="E112" t="s">
        <v>298</v>
      </c>
    </row>
    <row r="113" spans="1:4" x14ac:dyDescent="0.25">
      <c r="A113">
        <v>28576096</v>
      </c>
      <c r="B113" t="s">
        <v>401</v>
      </c>
      <c r="C113" t="s">
        <v>495</v>
      </c>
      <c r="D113" t="s">
        <v>220</v>
      </c>
    </row>
    <row r="114" spans="1:4" x14ac:dyDescent="0.25">
      <c r="A114">
        <v>28576102</v>
      </c>
      <c r="B114" t="s">
        <v>398</v>
      </c>
      <c r="C114" t="s">
        <v>496</v>
      </c>
      <c r="D114" s="40" t="s">
        <v>220</v>
      </c>
    </row>
    <row r="116" spans="1:4" x14ac:dyDescent="0.25">
      <c r="A116" t="s">
        <v>435</v>
      </c>
    </row>
    <row r="117" spans="1:4" x14ac:dyDescent="0.25">
      <c r="A117">
        <v>28576625</v>
      </c>
      <c r="B117" t="s">
        <v>216</v>
      </c>
      <c r="C117" t="s">
        <v>499</v>
      </c>
      <c r="D117" t="s">
        <v>184</v>
      </c>
    </row>
    <row r="118" spans="1:4" x14ac:dyDescent="0.25">
      <c r="A118" t="s">
        <v>436</v>
      </c>
    </row>
    <row r="119" spans="1:4" x14ac:dyDescent="0.25">
      <c r="A119">
        <v>28577577</v>
      </c>
      <c r="B119" t="s">
        <v>500</v>
      </c>
      <c r="C119" t="s">
        <v>501</v>
      </c>
      <c r="D119" s="40" t="s">
        <v>184</v>
      </c>
    </row>
    <row r="120" spans="1:4" x14ac:dyDescent="0.25">
      <c r="A120" t="s">
        <v>447</v>
      </c>
    </row>
    <row r="121" spans="1:4" x14ac:dyDescent="0.25">
      <c r="A121">
        <v>28577520</v>
      </c>
      <c r="B121" t="s">
        <v>394</v>
      </c>
      <c r="C121" t="s">
        <v>503</v>
      </c>
      <c r="D121" s="40" t="s">
        <v>184</v>
      </c>
    </row>
    <row r="122" spans="1:4" x14ac:dyDescent="0.25">
      <c r="A122">
        <v>28577536</v>
      </c>
      <c r="B122" t="s">
        <v>502</v>
      </c>
      <c r="C122" t="s">
        <v>504</v>
      </c>
      <c r="D122" s="40" t="s">
        <v>184</v>
      </c>
    </row>
    <row r="123" spans="1:4" x14ac:dyDescent="0.25">
      <c r="A123">
        <v>28577251</v>
      </c>
      <c r="B123" t="s">
        <v>394</v>
      </c>
      <c r="C123" t="s">
        <v>524</v>
      </c>
      <c r="D123" s="40" t="s">
        <v>184</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D14" sqref="D14"/>
    </sheetView>
  </sheetViews>
  <sheetFormatPr defaultColWidth="9.140625" defaultRowHeight="15" x14ac:dyDescent="0.25"/>
  <cols>
    <col min="1" max="1" width="3.140625" style="35" bestFit="1" customWidth="1"/>
    <col min="2" max="2" width="9.140625" style="35"/>
    <col min="3" max="3" width="50.7109375" style="35" bestFit="1" customWidth="1"/>
    <col min="4" max="4" width="37.5703125" style="35" bestFit="1" customWidth="1"/>
    <col min="5" max="7" width="15.28515625" style="35" bestFit="1" customWidth="1"/>
    <col min="8" max="8" width="10.140625" style="35" bestFit="1" customWidth="1"/>
    <col min="9" max="11" width="9.140625" style="35"/>
    <col min="12" max="12" width="10.140625" style="35" bestFit="1" customWidth="1"/>
    <col min="13" max="16384" width="9.140625" style="35"/>
  </cols>
  <sheetData>
    <row r="1" spans="1:12" ht="29.25" customHeight="1" thickBot="1" x14ac:dyDescent="0.3">
      <c r="A1" s="36" t="s">
        <v>90</v>
      </c>
      <c r="B1" s="37" t="s">
        <v>91</v>
      </c>
      <c r="C1" s="37" t="s">
        <v>92</v>
      </c>
      <c r="D1" s="37" t="s">
        <v>5</v>
      </c>
      <c r="E1" s="37" t="s">
        <v>93</v>
      </c>
      <c r="F1" s="37" t="s">
        <v>51</v>
      </c>
      <c r="G1" s="37" t="s">
        <v>94</v>
      </c>
      <c r="H1" s="39">
        <f>COUNTA(B:B)-1</f>
        <v>0</v>
      </c>
      <c r="L1" s="38">
        <f ca="1">TODAY()</f>
        <v>43114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39"/>
  <sheetViews>
    <sheetView topLeftCell="A20" workbookViewId="0">
      <selection activeCell="C40" sqref="C40"/>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49</v>
      </c>
      <c r="C1" s="11">
        <f>COUNTA(C2:C94)</f>
        <v>38</v>
      </c>
      <c r="D1" s="10" t="s">
        <v>35</v>
      </c>
    </row>
    <row r="2" spans="1:4" x14ac:dyDescent="0.25">
      <c r="A2" s="5" t="s">
        <v>27</v>
      </c>
      <c r="B2" s="4"/>
      <c r="C2" t="s">
        <v>50</v>
      </c>
    </row>
    <row r="3" spans="1:4" x14ac:dyDescent="0.25">
      <c r="A3" s="5" t="s">
        <v>28</v>
      </c>
      <c r="B3" s="4"/>
      <c r="C3" t="s">
        <v>138</v>
      </c>
    </row>
    <row r="4" spans="1:4" x14ac:dyDescent="0.25">
      <c r="A4" s="5" t="s">
        <v>30</v>
      </c>
      <c r="B4" s="4"/>
      <c r="C4" t="s">
        <v>36</v>
      </c>
    </row>
    <row r="5" spans="1:4" x14ac:dyDescent="0.25">
      <c r="A5" s="6" t="s">
        <v>41</v>
      </c>
      <c r="B5" s="4"/>
      <c r="C5" t="s">
        <v>37</v>
      </c>
    </row>
    <row r="6" spans="1:4" x14ac:dyDescent="0.25">
      <c r="A6" s="6" t="s">
        <v>42</v>
      </c>
      <c r="B6" s="4"/>
      <c r="C6" t="s">
        <v>38</v>
      </c>
    </row>
    <row r="7" spans="1:4" x14ac:dyDescent="0.25">
      <c r="A7" t="s">
        <v>96</v>
      </c>
      <c r="B7" s="4"/>
      <c r="C7" t="s">
        <v>48</v>
      </c>
    </row>
    <row r="8" spans="1:4" x14ac:dyDescent="0.25">
      <c r="A8" t="s">
        <v>97</v>
      </c>
      <c r="B8" s="4"/>
      <c r="C8" s="5" t="s">
        <v>29</v>
      </c>
    </row>
    <row r="9" spans="1:4" x14ac:dyDescent="0.25">
      <c r="A9" t="s">
        <v>98</v>
      </c>
      <c r="B9" s="4"/>
      <c r="C9" t="s">
        <v>53</v>
      </c>
    </row>
    <row r="10" spans="1:4" x14ac:dyDescent="0.25">
      <c r="A10" t="s">
        <v>107</v>
      </c>
      <c r="B10" s="4"/>
      <c r="C10" t="s">
        <v>54</v>
      </c>
    </row>
    <row r="11" spans="1:4" x14ac:dyDescent="0.25">
      <c r="B11" s="4"/>
      <c r="C11" t="s">
        <v>56</v>
      </c>
    </row>
    <row r="12" spans="1:4" x14ac:dyDescent="0.25">
      <c r="B12" s="4"/>
      <c r="C12" t="s">
        <v>57</v>
      </c>
    </row>
    <row r="13" spans="1:4" x14ac:dyDescent="0.25">
      <c r="B13" s="4"/>
      <c r="C13" t="s">
        <v>84</v>
      </c>
    </row>
    <row r="14" spans="1:4" x14ac:dyDescent="0.25">
      <c r="B14" s="4"/>
      <c r="C14" t="s">
        <v>85</v>
      </c>
    </row>
    <row r="15" spans="1:4" x14ac:dyDescent="0.25">
      <c r="B15" s="4"/>
      <c r="C15" t="s">
        <v>86</v>
      </c>
    </row>
    <row r="16" spans="1:4" x14ac:dyDescent="0.25">
      <c r="B16" s="4"/>
      <c r="C16" t="s">
        <v>118</v>
      </c>
    </row>
    <row r="17" spans="2:3" x14ac:dyDescent="0.25">
      <c r="B17" s="4"/>
      <c r="C17" t="s">
        <v>99</v>
      </c>
    </row>
    <row r="18" spans="2:3" x14ac:dyDescent="0.25">
      <c r="C18" t="s">
        <v>96</v>
      </c>
    </row>
    <row r="19" spans="2:3" x14ac:dyDescent="0.25">
      <c r="C19" t="s">
        <v>100</v>
      </c>
    </row>
    <row r="20" spans="2:3" x14ac:dyDescent="0.25">
      <c r="C20" t="s">
        <v>101</v>
      </c>
    </row>
    <row r="21" spans="2:3" x14ac:dyDescent="0.25">
      <c r="C21" t="s">
        <v>102</v>
      </c>
    </row>
    <row r="22" spans="2:3" x14ac:dyDescent="0.25">
      <c r="C22" t="s">
        <v>103</v>
      </c>
    </row>
    <row r="23" spans="2:3" x14ac:dyDescent="0.25">
      <c r="C23" t="s">
        <v>38</v>
      </c>
    </row>
    <row r="24" spans="2:3" x14ac:dyDescent="0.25">
      <c r="C24" t="s">
        <v>108</v>
      </c>
    </row>
    <row r="25" spans="2:3" x14ac:dyDescent="0.25">
      <c r="C25" t="s">
        <v>109</v>
      </c>
    </row>
    <row r="26" spans="2:3" x14ac:dyDescent="0.25">
      <c r="C26" t="s">
        <v>139</v>
      </c>
    </row>
    <row r="27" spans="2:3" x14ac:dyDescent="0.25">
      <c r="C27" t="s">
        <v>140</v>
      </c>
    </row>
    <row r="28" spans="2:3" x14ac:dyDescent="0.25">
      <c r="C28" t="s">
        <v>141</v>
      </c>
    </row>
    <row r="29" spans="2:3" x14ac:dyDescent="0.25">
      <c r="C29" t="s">
        <v>153</v>
      </c>
    </row>
    <row r="30" spans="2:3" x14ac:dyDescent="0.25">
      <c r="C30" t="s">
        <v>154</v>
      </c>
    </row>
    <row r="31" spans="2:3" x14ac:dyDescent="0.25">
      <c r="C31" t="s">
        <v>155</v>
      </c>
    </row>
    <row r="32" spans="2:3" x14ac:dyDescent="0.25">
      <c r="C32" t="s">
        <v>180</v>
      </c>
    </row>
    <row r="33" spans="3:3" x14ac:dyDescent="0.25">
      <c r="C33" t="s">
        <v>181</v>
      </c>
    </row>
    <row r="34" spans="3:3" x14ac:dyDescent="0.25">
      <c r="C34" t="s">
        <v>182</v>
      </c>
    </row>
    <row r="35" spans="3:3" x14ac:dyDescent="0.25">
      <c r="C35" t="s">
        <v>218</v>
      </c>
    </row>
    <row r="36" spans="3:3" x14ac:dyDescent="0.25">
      <c r="C36" t="s">
        <v>268</v>
      </c>
    </row>
    <row r="37" spans="3:3" x14ac:dyDescent="0.25">
      <c r="C37" t="s">
        <v>269</v>
      </c>
    </row>
    <row r="38" spans="3:3" x14ac:dyDescent="0.25">
      <c r="C38" t="s">
        <v>292</v>
      </c>
    </row>
    <row r="39" spans="3:3" x14ac:dyDescent="0.25">
      <c r="C39" t="s">
        <v>416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21"/>
  <sheetViews>
    <sheetView topLeftCell="A107" workbookViewId="0">
      <selection activeCell="C6" sqref="C6"/>
    </sheetView>
  </sheetViews>
  <sheetFormatPr defaultRowHeight="15" x14ac:dyDescent="0.25"/>
  <cols>
    <col min="1" max="1" width="5.5703125" customWidth="1"/>
    <col min="2" max="2" width="13.42578125" bestFit="1" customWidth="1"/>
    <col min="3" max="3" width="21.85546875" bestFit="1" customWidth="1"/>
  </cols>
  <sheetData>
    <row r="1" spans="1:3" x14ac:dyDescent="0.25">
      <c r="A1" s="29">
        <f>COUNTA(B:B)-1</f>
        <v>120</v>
      </c>
      <c r="B1" s="31" t="s">
        <v>58</v>
      </c>
      <c r="C1" s="30" t="s">
        <v>59</v>
      </c>
    </row>
    <row r="2" spans="1:3" x14ac:dyDescent="0.25">
      <c r="A2">
        <v>1</v>
      </c>
      <c r="B2" s="40" t="s">
        <v>118</v>
      </c>
      <c r="C2" s="40" t="s">
        <v>527</v>
      </c>
    </row>
    <row r="3" spans="1:3" x14ac:dyDescent="0.25">
      <c r="A3">
        <v>2</v>
      </c>
      <c r="B3" s="40" t="s">
        <v>294</v>
      </c>
      <c r="C3" s="40" t="s">
        <v>295</v>
      </c>
    </row>
    <row r="4" spans="1:3" x14ac:dyDescent="0.25">
      <c r="A4">
        <v>3</v>
      </c>
      <c r="B4" s="40" t="s">
        <v>60</v>
      </c>
      <c r="C4" s="40" t="s">
        <v>61</v>
      </c>
    </row>
    <row r="5" spans="1:3" x14ac:dyDescent="0.25">
      <c r="A5">
        <v>4</v>
      </c>
      <c r="B5" s="40" t="s">
        <v>62</v>
      </c>
      <c r="C5" s="40" t="s">
        <v>63</v>
      </c>
    </row>
    <row r="6" spans="1:3" x14ac:dyDescent="0.25">
      <c r="A6">
        <v>5</v>
      </c>
      <c r="B6" s="40" t="s">
        <v>64</v>
      </c>
      <c r="C6" s="40" t="s">
        <v>87</v>
      </c>
    </row>
    <row r="7" spans="1:3" x14ac:dyDescent="0.25">
      <c r="A7">
        <v>6</v>
      </c>
      <c r="B7" s="40" t="s">
        <v>110</v>
      </c>
      <c r="C7" s="40" t="s">
        <v>65</v>
      </c>
    </row>
    <row r="8" spans="1:3" s="40" customFormat="1" x14ac:dyDescent="0.25">
      <c r="A8" s="40">
        <v>7</v>
      </c>
      <c r="B8" s="40" t="s">
        <v>66</v>
      </c>
      <c r="C8" s="40" t="s">
        <v>67</v>
      </c>
    </row>
    <row r="9" spans="1:3" x14ac:dyDescent="0.25">
      <c r="A9">
        <v>8</v>
      </c>
      <c r="B9" s="40" t="s">
        <v>222</v>
      </c>
      <c r="C9" s="40" t="s">
        <v>223</v>
      </c>
    </row>
    <row r="10" spans="1:3" x14ac:dyDescent="0.25">
      <c r="A10">
        <v>9</v>
      </c>
      <c r="B10" s="40" t="s">
        <v>69</v>
      </c>
      <c r="C10" s="40" t="s">
        <v>70</v>
      </c>
    </row>
    <row r="11" spans="1:3" x14ac:dyDescent="0.25">
      <c r="A11">
        <v>10</v>
      </c>
      <c r="B11" s="40" t="s">
        <v>72</v>
      </c>
      <c r="C11" s="40" t="s">
        <v>73</v>
      </c>
    </row>
    <row r="12" spans="1:3" x14ac:dyDescent="0.25">
      <c r="A12">
        <v>11</v>
      </c>
      <c r="B12" s="40" t="s">
        <v>300</v>
      </c>
      <c r="C12" s="40" t="s">
        <v>301</v>
      </c>
    </row>
    <row r="13" spans="1:3" x14ac:dyDescent="0.25">
      <c r="A13">
        <v>12</v>
      </c>
      <c r="B13" s="40" t="s">
        <v>74</v>
      </c>
      <c r="C13" s="40" t="s">
        <v>75</v>
      </c>
    </row>
    <row r="14" spans="1:3" x14ac:dyDescent="0.25">
      <c r="A14">
        <v>13</v>
      </c>
      <c r="B14" s="40" t="s">
        <v>76</v>
      </c>
      <c r="C14" s="40" t="s">
        <v>528</v>
      </c>
    </row>
    <row r="15" spans="1:3" x14ac:dyDescent="0.25">
      <c r="A15">
        <v>14</v>
      </c>
      <c r="B15" s="40" t="s">
        <v>77</v>
      </c>
      <c r="C15" s="40" t="s">
        <v>302</v>
      </c>
    </row>
    <row r="16" spans="1:3" x14ac:dyDescent="0.25">
      <c r="A16">
        <v>15</v>
      </c>
      <c r="B16" s="40" t="s">
        <v>78</v>
      </c>
      <c r="C16" s="40" t="s">
        <v>79</v>
      </c>
    </row>
    <row r="17" spans="1:3" x14ac:dyDescent="0.25">
      <c r="A17">
        <v>16</v>
      </c>
      <c r="B17" s="40" t="s">
        <v>80</v>
      </c>
      <c r="C17" s="40" t="s">
        <v>81</v>
      </c>
    </row>
    <row r="18" spans="1:3" x14ac:dyDescent="0.25">
      <c r="A18">
        <v>17</v>
      </c>
      <c r="B18" s="40" t="s">
        <v>82</v>
      </c>
      <c r="C18" s="40" t="s">
        <v>83</v>
      </c>
    </row>
    <row r="19" spans="1:3" x14ac:dyDescent="0.25">
      <c r="A19">
        <v>18</v>
      </c>
      <c r="B19" s="40" t="s">
        <v>88</v>
      </c>
      <c r="C19" s="40" t="s">
        <v>89</v>
      </c>
    </row>
    <row r="20" spans="1:3" x14ac:dyDescent="0.25">
      <c r="A20">
        <v>19</v>
      </c>
      <c r="B20" s="40" t="s">
        <v>158</v>
      </c>
      <c r="C20" s="40" t="s">
        <v>159</v>
      </c>
    </row>
    <row r="21" spans="1:3" x14ac:dyDescent="0.25">
      <c r="A21">
        <v>20</v>
      </c>
      <c r="B21" s="40" t="s">
        <v>106</v>
      </c>
      <c r="C21" s="40" t="s">
        <v>105</v>
      </c>
    </row>
    <row r="22" spans="1:3" x14ac:dyDescent="0.25">
      <c r="A22">
        <v>21</v>
      </c>
      <c r="B22" s="40" t="s">
        <v>111</v>
      </c>
      <c r="C22" s="40" t="s">
        <v>112</v>
      </c>
    </row>
    <row r="23" spans="1:3" x14ac:dyDescent="0.25">
      <c r="A23">
        <v>22</v>
      </c>
      <c r="B23" s="40" t="s">
        <v>114</v>
      </c>
      <c r="C23" s="40" t="s">
        <v>113</v>
      </c>
    </row>
    <row r="24" spans="1:3" x14ac:dyDescent="0.25">
      <c r="A24">
        <v>23</v>
      </c>
      <c r="B24" s="40" t="s">
        <v>116</v>
      </c>
      <c r="C24" s="40" t="s">
        <v>117</v>
      </c>
    </row>
    <row r="25" spans="1:3" x14ac:dyDescent="0.25">
      <c r="A25">
        <v>24</v>
      </c>
      <c r="B25" s="40" t="s">
        <v>120</v>
      </c>
      <c r="C25" s="40" t="s">
        <v>121</v>
      </c>
    </row>
    <row r="26" spans="1:3" x14ac:dyDescent="0.25">
      <c r="A26">
        <v>25</v>
      </c>
      <c r="B26" s="40" t="s">
        <v>122</v>
      </c>
      <c r="C26" s="40" t="s">
        <v>123</v>
      </c>
    </row>
    <row r="27" spans="1:3" x14ac:dyDescent="0.25">
      <c r="A27">
        <v>26</v>
      </c>
      <c r="B27" s="40" t="s">
        <v>124</v>
      </c>
      <c r="C27" s="40" t="s">
        <v>125</v>
      </c>
    </row>
    <row r="28" spans="1:3" x14ac:dyDescent="0.25">
      <c r="A28">
        <v>27</v>
      </c>
      <c r="B28" s="40" t="s">
        <v>126</v>
      </c>
      <c r="C28" s="40" t="s">
        <v>127</v>
      </c>
    </row>
    <row r="29" spans="1:3" x14ac:dyDescent="0.25">
      <c r="A29">
        <v>28</v>
      </c>
      <c r="B29" s="40" t="s">
        <v>128</v>
      </c>
      <c r="C29" s="40" t="s">
        <v>129</v>
      </c>
    </row>
    <row r="30" spans="1:3" x14ac:dyDescent="0.25">
      <c r="A30">
        <v>29</v>
      </c>
      <c r="B30" s="40" t="s">
        <v>130</v>
      </c>
      <c r="C30" s="40" t="s">
        <v>131</v>
      </c>
    </row>
    <row r="31" spans="1:3" x14ac:dyDescent="0.25">
      <c r="A31">
        <v>30</v>
      </c>
      <c r="B31" s="40" t="s">
        <v>132</v>
      </c>
      <c r="C31" s="40" t="s">
        <v>133</v>
      </c>
    </row>
    <row r="32" spans="1:3" x14ac:dyDescent="0.25">
      <c r="A32">
        <v>31</v>
      </c>
      <c r="B32" s="40" t="s">
        <v>134</v>
      </c>
      <c r="C32" s="40" t="s">
        <v>135</v>
      </c>
    </row>
    <row r="33" spans="1:3" x14ac:dyDescent="0.25">
      <c r="A33">
        <v>32</v>
      </c>
      <c r="B33" s="40" t="s">
        <v>136</v>
      </c>
      <c r="C33" s="40" t="s">
        <v>137</v>
      </c>
    </row>
    <row r="34" spans="1:3" x14ac:dyDescent="0.25">
      <c r="A34">
        <v>33</v>
      </c>
      <c r="B34" s="40" t="s">
        <v>145</v>
      </c>
      <c r="C34" s="40" t="s">
        <v>146</v>
      </c>
    </row>
    <row r="35" spans="1:3" x14ac:dyDescent="0.25">
      <c r="A35">
        <v>34</v>
      </c>
      <c r="B35" s="40" t="s">
        <v>148</v>
      </c>
      <c r="C35" s="40" t="s">
        <v>149</v>
      </c>
    </row>
    <row r="36" spans="1:3" x14ac:dyDescent="0.25">
      <c r="A36">
        <v>35</v>
      </c>
      <c r="B36" s="40" t="s">
        <v>150</v>
      </c>
      <c r="C36" s="40" t="s">
        <v>151</v>
      </c>
    </row>
    <row r="37" spans="1:3" x14ac:dyDescent="0.25">
      <c r="A37">
        <v>36</v>
      </c>
      <c r="B37" s="40" t="s">
        <v>119</v>
      </c>
      <c r="C37" s="40" t="s">
        <v>95</v>
      </c>
    </row>
    <row r="38" spans="1:3" s="40" customFormat="1" x14ac:dyDescent="0.25">
      <c r="A38" s="40">
        <v>37</v>
      </c>
      <c r="B38" s="40" t="s">
        <v>362</v>
      </c>
      <c r="C38" s="40" t="s">
        <v>363</v>
      </c>
    </row>
    <row r="39" spans="1:3" x14ac:dyDescent="0.25">
      <c r="A39">
        <v>38</v>
      </c>
      <c r="B39" s="40" t="s">
        <v>160</v>
      </c>
      <c r="C39" s="40" t="s">
        <v>161</v>
      </c>
    </row>
    <row r="40" spans="1:3" x14ac:dyDescent="0.25">
      <c r="A40">
        <v>39</v>
      </c>
      <c r="B40" s="40" t="s">
        <v>167</v>
      </c>
      <c r="C40" s="40" t="s">
        <v>168</v>
      </c>
    </row>
    <row r="41" spans="1:3" x14ac:dyDescent="0.25">
      <c r="A41">
        <v>40</v>
      </c>
      <c r="B41" s="40" t="s">
        <v>169</v>
      </c>
      <c r="C41" s="40" t="s">
        <v>170</v>
      </c>
    </row>
    <row r="42" spans="1:3" x14ac:dyDescent="0.25">
      <c r="A42">
        <v>41</v>
      </c>
      <c r="B42" s="40" t="s">
        <v>172</v>
      </c>
      <c r="C42" s="40" t="s">
        <v>171</v>
      </c>
    </row>
    <row r="43" spans="1:3" x14ac:dyDescent="0.25">
      <c r="A43">
        <v>42</v>
      </c>
      <c r="B43" s="40" t="s">
        <v>176</v>
      </c>
      <c r="C43" s="40" t="s">
        <v>188</v>
      </c>
    </row>
    <row r="44" spans="1:3" x14ac:dyDescent="0.25">
      <c r="A44">
        <v>43</v>
      </c>
      <c r="B44" s="40" t="s">
        <v>193</v>
      </c>
      <c r="C44" s="40" t="s">
        <v>194</v>
      </c>
    </row>
    <row r="45" spans="1:3" x14ac:dyDescent="0.25">
      <c r="A45">
        <v>44</v>
      </c>
      <c r="B45" s="40" t="s">
        <v>197</v>
      </c>
      <c r="C45" s="40" t="s">
        <v>198</v>
      </c>
    </row>
    <row r="46" spans="1:3" x14ac:dyDescent="0.25">
      <c r="A46">
        <v>45</v>
      </c>
      <c r="B46" s="40" t="s">
        <v>201</v>
      </c>
      <c r="C46" s="40" t="s">
        <v>217</v>
      </c>
    </row>
    <row r="47" spans="1:3" x14ac:dyDescent="0.25">
      <c r="A47">
        <v>46</v>
      </c>
      <c r="B47" s="40" t="s">
        <v>206</v>
      </c>
      <c r="C47" s="40" t="s">
        <v>202</v>
      </c>
    </row>
    <row r="48" spans="1:3" x14ac:dyDescent="0.25">
      <c r="A48">
        <v>47</v>
      </c>
      <c r="B48" s="40" t="s">
        <v>204</v>
      </c>
      <c r="C48" s="40" t="s">
        <v>205</v>
      </c>
    </row>
    <row r="49" spans="1:3" x14ac:dyDescent="0.25">
      <c r="A49">
        <v>48</v>
      </c>
      <c r="B49" s="40" t="s">
        <v>211</v>
      </c>
      <c r="C49" s="40" t="s">
        <v>212</v>
      </c>
    </row>
    <row r="50" spans="1:3" x14ac:dyDescent="0.25">
      <c r="A50">
        <v>49</v>
      </c>
      <c r="B50" s="40" t="s">
        <v>225</v>
      </c>
      <c r="C50" s="40" t="s">
        <v>226</v>
      </c>
    </row>
    <row r="51" spans="1:3" x14ac:dyDescent="0.25">
      <c r="A51">
        <v>50</v>
      </c>
      <c r="B51" s="40" t="s">
        <v>227</v>
      </c>
      <c r="C51" s="40" t="s">
        <v>228</v>
      </c>
    </row>
    <row r="52" spans="1:3" x14ac:dyDescent="0.25">
      <c r="A52">
        <v>51</v>
      </c>
      <c r="B52" s="40" t="s">
        <v>229</v>
      </c>
      <c r="C52" s="40" t="s">
        <v>230</v>
      </c>
    </row>
    <row r="53" spans="1:3" x14ac:dyDescent="0.25">
      <c r="A53">
        <v>52</v>
      </c>
      <c r="B53" s="40" t="s">
        <v>231</v>
      </c>
      <c r="C53" s="40" t="s">
        <v>232</v>
      </c>
    </row>
    <row r="54" spans="1:3" x14ac:dyDescent="0.25">
      <c r="A54">
        <v>53</v>
      </c>
      <c r="B54" s="40" t="s">
        <v>233</v>
      </c>
      <c r="C54" s="40" t="s">
        <v>234</v>
      </c>
    </row>
    <row r="55" spans="1:3" x14ac:dyDescent="0.25">
      <c r="A55">
        <v>54</v>
      </c>
      <c r="B55" s="40" t="s">
        <v>235</v>
      </c>
      <c r="C55" s="40" t="s">
        <v>236</v>
      </c>
    </row>
    <row r="56" spans="1:3" x14ac:dyDescent="0.25">
      <c r="A56">
        <v>55</v>
      </c>
      <c r="B56" s="40" t="s">
        <v>237</v>
      </c>
      <c r="C56" s="40" t="s">
        <v>238</v>
      </c>
    </row>
    <row r="57" spans="1:3" x14ac:dyDescent="0.25">
      <c r="A57">
        <v>56</v>
      </c>
      <c r="B57" s="40" t="s">
        <v>50</v>
      </c>
      <c r="C57" s="40" t="s">
        <v>239</v>
      </c>
    </row>
    <row r="58" spans="1:3" x14ac:dyDescent="0.25">
      <c r="A58">
        <v>57</v>
      </c>
      <c r="B58" s="40" t="s">
        <v>240</v>
      </c>
      <c r="C58" s="40" t="s">
        <v>241</v>
      </c>
    </row>
    <row r="59" spans="1:3" x14ac:dyDescent="0.25">
      <c r="A59">
        <v>58</v>
      </c>
      <c r="B59" s="40" t="s">
        <v>242</v>
      </c>
      <c r="C59" s="40" t="s">
        <v>243</v>
      </c>
    </row>
    <row r="60" spans="1:3" x14ac:dyDescent="0.25">
      <c r="A60">
        <v>59</v>
      </c>
      <c r="B60" s="40" t="s">
        <v>244</v>
      </c>
      <c r="C60" s="40" t="s">
        <v>245</v>
      </c>
    </row>
    <row r="61" spans="1:3" x14ac:dyDescent="0.25">
      <c r="A61">
        <v>60</v>
      </c>
      <c r="B61" s="40" t="s">
        <v>246</v>
      </c>
      <c r="C61" s="40" t="s">
        <v>247</v>
      </c>
    </row>
    <row r="62" spans="1:3" x14ac:dyDescent="0.25">
      <c r="A62">
        <v>61</v>
      </c>
      <c r="B62" s="40" t="s">
        <v>248</v>
      </c>
      <c r="C62" s="40" t="s">
        <v>249</v>
      </c>
    </row>
    <row r="63" spans="1:3" x14ac:dyDescent="0.25">
      <c r="A63">
        <v>62</v>
      </c>
      <c r="B63" s="40" t="s">
        <v>250</v>
      </c>
      <c r="C63" s="40" t="s">
        <v>251</v>
      </c>
    </row>
    <row r="64" spans="1:3" x14ac:dyDescent="0.25">
      <c r="A64">
        <v>63</v>
      </c>
      <c r="B64" s="40" t="s">
        <v>252</v>
      </c>
      <c r="C64" s="40" t="s">
        <v>253</v>
      </c>
    </row>
    <row r="65" spans="1:3" x14ac:dyDescent="0.25">
      <c r="A65">
        <v>64</v>
      </c>
      <c r="B65" s="40" t="s">
        <v>254</v>
      </c>
      <c r="C65" s="40" t="s">
        <v>255</v>
      </c>
    </row>
    <row r="66" spans="1:3" x14ac:dyDescent="0.25">
      <c r="A66">
        <v>65</v>
      </c>
      <c r="B66" s="40" t="s">
        <v>265</v>
      </c>
      <c r="C66" s="40" t="s">
        <v>266</v>
      </c>
    </row>
    <row r="67" spans="1:3" x14ac:dyDescent="0.25">
      <c r="A67">
        <v>66</v>
      </c>
      <c r="B67" s="40" t="s">
        <v>267</v>
      </c>
      <c r="C67" s="40" t="s">
        <v>303</v>
      </c>
    </row>
    <row r="68" spans="1:3" x14ac:dyDescent="0.25">
      <c r="A68">
        <v>67</v>
      </c>
      <c r="B68" s="40" t="s">
        <v>260</v>
      </c>
      <c r="C68" s="40" t="s">
        <v>261</v>
      </c>
    </row>
    <row r="69" spans="1:3" x14ac:dyDescent="0.25">
      <c r="A69">
        <v>68</v>
      </c>
      <c r="B69" s="40" t="s">
        <v>270</v>
      </c>
      <c r="C69" s="40" t="s">
        <v>271</v>
      </c>
    </row>
    <row r="70" spans="1:3" x14ac:dyDescent="0.25">
      <c r="A70">
        <v>69</v>
      </c>
      <c r="B70" s="40" t="s">
        <v>272</v>
      </c>
      <c r="C70" s="40" t="s">
        <v>273</v>
      </c>
    </row>
    <row r="71" spans="1:3" x14ac:dyDescent="0.25">
      <c r="A71">
        <v>70</v>
      </c>
      <c r="B71" s="40" t="s">
        <v>274</v>
      </c>
      <c r="C71" s="40" t="s">
        <v>275</v>
      </c>
    </row>
    <row r="72" spans="1:3" x14ac:dyDescent="0.25">
      <c r="A72">
        <v>71</v>
      </c>
      <c r="B72" s="40" t="s">
        <v>276</v>
      </c>
      <c r="C72" s="40" t="s">
        <v>277</v>
      </c>
    </row>
    <row r="73" spans="1:3" x14ac:dyDescent="0.25">
      <c r="A73">
        <v>72</v>
      </c>
      <c r="B73" s="40" t="s">
        <v>278</v>
      </c>
      <c r="C73" s="40" t="s">
        <v>159</v>
      </c>
    </row>
    <row r="74" spans="1:3" x14ac:dyDescent="0.25">
      <c r="A74">
        <v>73</v>
      </c>
      <c r="B74" s="40" t="s">
        <v>279</v>
      </c>
      <c r="C74" s="40" t="s">
        <v>280</v>
      </c>
    </row>
    <row r="75" spans="1:3" x14ac:dyDescent="0.25">
      <c r="A75">
        <v>74</v>
      </c>
      <c r="B75" s="40" t="s">
        <v>281</v>
      </c>
      <c r="C75" s="40" t="s">
        <v>282</v>
      </c>
    </row>
    <row r="76" spans="1:3" x14ac:dyDescent="0.25">
      <c r="A76">
        <v>75</v>
      </c>
      <c r="B76" t="s">
        <v>283</v>
      </c>
      <c r="C76" t="s">
        <v>284</v>
      </c>
    </row>
    <row r="77" spans="1:3" x14ac:dyDescent="0.25">
      <c r="A77">
        <v>76</v>
      </c>
      <c r="B77" t="s">
        <v>304</v>
      </c>
      <c r="C77" t="s">
        <v>305</v>
      </c>
    </row>
    <row r="78" spans="1:3" x14ac:dyDescent="0.25">
      <c r="A78">
        <v>77</v>
      </c>
      <c r="B78" t="s">
        <v>306</v>
      </c>
      <c r="C78" t="s">
        <v>307</v>
      </c>
    </row>
    <row r="79" spans="1:3" x14ac:dyDescent="0.25">
      <c r="A79">
        <v>78</v>
      </c>
      <c r="B79" t="s">
        <v>308</v>
      </c>
      <c r="C79" t="s">
        <v>309</v>
      </c>
    </row>
    <row r="80" spans="1:3" x14ac:dyDescent="0.25">
      <c r="A80">
        <v>79</v>
      </c>
      <c r="B80" t="s">
        <v>310</v>
      </c>
      <c r="C80" t="s">
        <v>311</v>
      </c>
    </row>
    <row r="81" spans="1:3" x14ac:dyDescent="0.25">
      <c r="A81">
        <v>80</v>
      </c>
      <c r="B81" t="s">
        <v>312</v>
      </c>
      <c r="C81" t="s">
        <v>313</v>
      </c>
    </row>
    <row r="82" spans="1:3" x14ac:dyDescent="0.25">
      <c r="A82">
        <v>81</v>
      </c>
      <c r="B82" t="s">
        <v>314</v>
      </c>
      <c r="C82" t="s">
        <v>315</v>
      </c>
    </row>
    <row r="83" spans="1:3" x14ac:dyDescent="0.25">
      <c r="A83">
        <v>82</v>
      </c>
      <c r="B83" t="s">
        <v>316</v>
      </c>
      <c r="C83" t="s">
        <v>317</v>
      </c>
    </row>
    <row r="84" spans="1:3" x14ac:dyDescent="0.25">
      <c r="A84">
        <v>83</v>
      </c>
      <c r="B84" t="s">
        <v>318</v>
      </c>
      <c r="C84" t="s">
        <v>319</v>
      </c>
    </row>
    <row r="85" spans="1:3" x14ac:dyDescent="0.25">
      <c r="A85">
        <v>84</v>
      </c>
      <c r="B85" t="s">
        <v>525</v>
      </c>
      <c r="C85" t="s">
        <v>526</v>
      </c>
    </row>
    <row r="86" spans="1:3" x14ac:dyDescent="0.25">
      <c r="A86">
        <v>85</v>
      </c>
      <c r="B86" t="s">
        <v>320</v>
      </c>
      <c r="C86" t="s">
        <v>321</v>
      </c>
    </row>
    <row r="87" spans="1:3" x14ac:dyDescent="0.25">
      <c r="A87">
        <v>86</v>
      </c>
      <c r="B87" t="s">
        <v>322</v>
      </c>
      <c r="C87" t="s">
        <v>323</v>
      </c>
    </row>
    <row r="88" spans="1:3" x14ac:dyDescent="0.25">
      <c r="A88">
        <v>87</v>
      </c>
      <c r="B88" t="s">
        <v>324</v>
      </c>
      <c r="C88" t="s">
        <v>325</v>
      </c>
    </row>
    <row r="89" spans="1:3" x14ac:dyDescent="0.25">
      <c r="A89">
        <v>88</v>
      </c>
      <c r="B89" t="s">
        <v>326</v>
      </c>
      <c r="C89" t="s">
        <v>327</v>
      </c>
    </row>
    <row r="90" spans="1:3" x14ac:dyDescent="0.25">
      <c r="A90">
        <v>89</v>
      </c>
      <c r="B90" t="s">
        <v>328</v>
      </c>
      <c r="C90" t="s">
        <v>151</v>
      </c>
    </row>
    <row r="91" spans="1:3" x14ac:dyDescent="0.25">
      <c r="A91">
        <v>90</v>
      </c>
      <c r="B91" t="s">
        <v>329</v>
      </c>
      <c r="C91" t="s">
        <v>330</v>
      </c>
    </row>
    <row r="92" spans="1:3" x14ac:dyDescent="0.25">
      <c r="A92">
        <v>91</v>
      </c>
      <c r="B92" t="s">
        <v>331</v>
      </c>
      <c r="C92" t="s">
        <v>332</v>
      </c>
    </row>
    <row r="93" spans="1:3" x14ac:dyDescent="0.25">
      <c r="A93">
        <v>92</v>
      </c>
      <c r="B93" t="s">
        <v>333</v>
      </c>
      <c r="C93" t="s">
        <v>334</v>
      </c>
    </row>
    <row r="94" spans="1:3" x14ac:dyDescent="0.25">
      <c r="A94">
        <v>93</v>
      </c>
      <c r="B94" t="s">
        <v>335</v>
      </c>
      <c r="C94" t="s">
        <v>336</v>
      </c>
    </row>
    <row r="95" spans="1:3" x14ac:dyDescent="0.25">
      <c r="A95">
        <v>94</v>
      </c>
      <c r="B95" t="s">
        <v>337</v>
      </c>
      <c r="C95" t="s">
        <v>338</v>
      </c>
    </row>
    <row r="96" spans="1:3" x14ac:dyDescent="0.25">
      <c r="A96">
        <v>95</v>
      </c>
      <c r="B96" t="s">
        <v>339</v>
      </c>
      <c r="C96" t="s">
        <v>340</v>
      </c>
    </row>
    <row r="97" spans="1:3" x14ac:dyDescent="0.25">
      <c r="A97">
        <v>96</v>
      </c>
      <c r="B97" t="s">
        <v>341</v>
      </c>
      <c r="C97" t="s">
        <v>342</v>
      </c>
    </row>
    <row r="98" spans="1:3" x14ac:dyDescent="0.25">
      <c r="A98">
        <v>97</v>
      </c>
      <c r="B98" t="s">
        <v>343</v>
      </c>
      <c r="C98" t="s">
        <v>344</v>
      </c>
    </row>
    <row r="99" spans="1:3" x14ac:dyDescent="0.25">
      <c r="A99">
        <v>98</v>
      </c>
      <c r="B99" t="s">
        <v>345</v>
      </c>
      <c r="C99" t="s">
        <v>346</v>
      </c>
    </row>
    <row r="100" spans="1:3" x14ac:dyDescent="0.25">
      <c r="A100">
        <v>99</v>
      </c>
      <c r="B100" t="s">
        <v>347</v>
      </c>
      <c r="C100" t="s">
        <v>348</v>
      </c>
    </row>
    <row r="101" spans="1:3" x14ac:dyDescent="0.25">
      <c r="A101">
        <v>100</v>
      </c>
      <c r="B101" t="s">
        <v>349</v>
      </c>
      <c r="C101" t="s">
        <v>350</v>
      </c>
    </row>
    <row r="102" spans="1:3" x14ac:dyDescent="0.25">
      <c r="A102">
        <v>101</v>
      </c>
      <c r="B102" t="s">
        <v>351</v>
      </c>
      <c r="C102" t="s">
        <v>352</v>
      </c>
    </row>
    <row r="103" spans="1:3" x14ac:dyDescent="0.25">
      <c r="A103">
        <v>102</v>
      </c>
      <c r="B103" t="s">
        <v>353</v>
      </c>
      <c r="C103" t="s">
        <v>354</v>
      </c>
    </row>
    <row r="104" spans="1:3" x14ac:dyDescent="0.25">
      <c r="A104">
        <v>103</v>
      </c>
      <c r="B104" t="s">
        <v>355</v>
      </c>
      <c r="C104" t="s">
        <v>356</v>
      </c>
    </row>
    <row r="105" spans="1:3" x14ac:dyDescent="0.25">
      <c r="A105">
        <v>104</v>
      </c>
      <c r="B105" t="s">
        <v>357</v>
      </c>
      <c r="C105" t="s">
        <v>358</v>
      </c>
    </row>
    <row r="106" spans="1:3" x14ac:dyDescent="0.25">
      <c r="A106">
        <v>105</v>
      </c>
      <c r="B106" t="s">
        <v>359</v>
      </c>
      <c r="C106" t="s">
        <v>360</v>
      </c>
    </row>
    <row r="107" spans="1:3" x14ac:dyDescent="0.25">
      <c r="A107">
        <v>106</v>
      </c>
      <c r="B107" t="s">
        <v>361</v>
      </c>
      <c r="C107" t="s">
        <v>366</v>
      </c>
    </row>
    <row r="108" spans="1:3" x14ac:dyDescent="0.25">
      <c r="A108">
        <v>107</v>
      </c>
      <c r="B108" t="s">
        <v>374</v>
      </c>
      <c r="C108" t="s">
        <v>375</v>
      </c>
    </row>
    <row r="109" spans="1:3" x14ac:dyDescent="0.25">
      <c r="A109">
        <v>108</v>
      </c>
      <c r="B109" t="s">
        <v>376</v>
      </c>
      <c r="C109" t="s">
        <v>377</v>
      </c>
    </row>
    <row r="110" spans="1:3" x14ac:dyDescent="0.25">
      <c r="A110">
        <v>109</v>
      </c>
      <c r="B110" t="s">
        <v>378</v>
      </c>
      <c r="C110" t="s">
        <v>379</v>
      </c>
    </row>
    <row r="111" spans="1:3" x14ac:dyDescent="0.25">
      <c r="A111">
        <v>110</v>
      </c>
      <c r="B111" t="s">
        <v>380</v>
      </c>
      <c r="C111" t="s">
        <v>382</v>
      </c>
    </row>
    <row r="112" spans="1:3" x14ac:dyDescent="0.25">
      <c r="A112">
        <v>111</v>
      </c>
      <c r="B112" t="s">
        <v>403</v>
      </c>
      <c r="C112" t="s">
        <v>404</v>
      </c>
    </row>
    <row r="113" spans="1:3" x14ac:dyDescent="0.25">
      <c r="A113">
        <v>112</v>
      </c>
      <c r="B113" t="s">
        <v>405</v>
      </c>
      <c r="C113" t="s">
        <v>406</v>
      </c>
    </row>
    <row r="114" spans="1:3" x14ac:dyDescent="0.25">
      <c r="A114">
        <v>113</v>
      </c>
      <c r="B114" t="s">
        <v>381</v>
      </c>
      <c r="C114" t="s">
        <v>382</v>
      </c>
    </row>
    <row r="115" spans="1:3" x14ac:dyDescent="0.25">
      <c r="A115">
        <v>114</v>
      </c>
      <c r="B115" t="s">
        <v>423</v>
      </c>
      <c r="C115" t="s">
        <v>424</v>
      </c>
    </row>
    <row r="116" spans="1:3" x14ac:dyDescent="0.25">
      <c r="A116">
        <v>115</v>
      </c>
      <c r="B116" t="s">
        <v>426</v>
      </c>
      <c r="C116" t="s">
        <v>425</v>
      </c>
    </row>
    <row r="117" spans="1:3" x14ac:dyDescent="0.25">
      <c r="A117">
        <v>116</v>
      </c>
      <c r="B117" t="s">
        <v>427</v>
      </c>
      <c r="C117" t="s">
        <v>117</v>
      </c>
    </row>
    <row r="118" spans="1:3" x14ac:dyDescent="0.25">
      <c r="A118">
        <v>117</v>
      </c>
      <c r="B118" t="s">
        <v>439</v>
      </c>
      <c r="C118" t="s">
        <v>440</v>
      </c>
    </row>
    <row r="119" spans="1:3" x14ac:dyDescent="0.25">
      <c r="A119">
        <v>118</v>
      </c>
      <c r="B119" t="s">
        <v>444</v>
      </c>
      <c r="C119" t="s">
        <v>445</v>
      </c>
    </row>
    <row r="120" spans="1:3" x14ac:dyDescent="0.25">
      <c r="A120">
        <v>119</v>
      </c>
      <c r="B120" t="s">
        <v>482</v>
      </c>
      <c r="C120" t="s">
        <v>483</v>
      </c>
    </row>
    <row r="121" spans="1:3" x14ac:dyDescent="0.25">
      <c r="A121">
        <v>120</v>
      </c>
      <c r="B121" t="s">
        <v>484</v>
      </c>
      <c r="C121" t="s">
        <v>485</v>
      </c>
    </row>
  </sheetData>
  <autoFilter ref="C1:C12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Отложенные</vt:lpstr>
      <vt:lpstr>Исключения</vt:lpstr>
      <vt:lpstr>Ключи</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2018-01-14T12:54:46Z</dcterms:modified>
</cp:coreProperties>
</file>