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2"/>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Ключи!$A$1:$C$133</definedName>
    <definedName name="_xlnm._FilterDatabase" localSheetId="2" hidden="1">Лист1!$A$1:$D$15</definedName>
    <definedName name="_xlnm._FilterDatabase" localSheetId="1" hidden="1">Прод!$T$1:$T$487</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<sst xmlns="http://schemas.openxmlformats.org/spreadsheetml/2006/main" count="1339" uniqueCount="709">
  <si>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</si>
  <si>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</si>
  <si>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</si>
  <si>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</si>
  <si>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</si>
  <si>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</si>
  <si>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</si>
  <si>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</si>
  <si>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</si>
  <si>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</si>
  <si>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</si>
  <si>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</si>
  <si>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</si>
  <si>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</si>
  <si>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</si>
  <si>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</si>
  <si>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</si>
  <si>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</si>
  <si>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</si>
  <si>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</si>
  <si>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</si>
  <si>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</si>
  <si>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</si>
  <si>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</si>
  <si>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</si>
  <si>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</si>
  <si>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</si>
  <si>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</si>
  <si>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</si>
  <si>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</si>
  <si>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</si>
  <si>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</si>
  <si>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</si>
  <si>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</si>
  <si>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</si>
  <si>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</si>
  <si>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</si>
  <si>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</si>
  <si>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</si>
  <si>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</si>
  <si>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</si>
  <si>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</si>
  <si>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</si>
  <si>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</si>
  <si>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</si>
  <si>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</si>
  <si>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</si>
  <si>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</si>
  <si>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</si>
  <si>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</si>
  <si>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</si>
  <si>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</si>
  <si>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</si>
  <si>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</si>
  <si>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</si>
  <si>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</si>
  <si>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</si>
  <si>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</si>
  <si>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</si>
  <si>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</si>
  <si>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</si>
  <si>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</si>
  <si>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</si>
  <si>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</si>
  <si>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Как орендовать недвижимость.</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</si>
  <si>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</si>
  <si>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</si>
  <si>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</si>
  <si>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</si>
  <si>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</si>
  <si>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</si>
  <si>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</si>
  <si>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</si>
  <si>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</si>
  <si>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</si>
  <si>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</si>
  <si>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</si>
  <si>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</si>
  <si>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</si>
  <si>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</si>
  <si>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</si>
  <si>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</si>
  <si>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</si>
  <si>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</si>
  <si>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</si>
  <si>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</si>
  <si>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</si>
  <si>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</si>
  <si>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</si>
  <si>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</si>
  <si>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</si>
  <si>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</si>
  <si>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</si>
  <si>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</si>
  <si>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</si>
  <si>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</si>
  <si>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</si>
  <si>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</si>
  <si>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</si>
  <si>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</si>
  <si>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</si>
  <si>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</si>
  <si>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</si>
  <si>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</si>
  <si>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</si>
  <si>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</si>
  <si>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</si>
  <si>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</si>
  <si>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</si>
  <si>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</si>
  <si>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</si>
  <si>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</si>
  <si>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</si>
  <si>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</si>
  <si>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</si>
  <si>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</si>
  <si>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</si>
  <si>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</si>
  <si>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</si>
  <si>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</si>
  <si>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</si>
  <si>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</si>
  <si>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</si>
  <si>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</si>
  <si>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</si>
  <si>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</si>
  <si>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</si>
  <si>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</si>
  <si>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</si>
  <si>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</si>
  <si>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</si>
  <si>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</si>
  <si>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</si>
  <si>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</si>
  <si>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</si>
  <si>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</si>
  <si>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</si>
  <si>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</si>
  <si>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</si>
  <si>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</si>
  <si>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</si>
  <si>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</si>
  <si>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</si>
  <si>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</si>
  <si>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</si>
  <si>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</si>
  <si>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</si>
  <si>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</si>
  <si>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</si>
  <si>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</si>
  <si>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</si>
  <si>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</si>
  <si>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</si>
  <si>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</si>
  <si>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</si>
  <si>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</si>
  <si>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</si>
  <si>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</si>
  <si>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</si>
  <si>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</si>
  <si>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</si>
  <si>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</si>
  <si>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</si>
  <si>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</si>
  <si>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</si>
  <si>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</si>
  <si>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</si>
  <si>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</si>
  <si>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</si>
  <si>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</si>
  <si>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</si>
  <si>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</si>
  <si>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</si>
  <si>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</si>
  <si>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</si>
  <si>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</si>
  <si>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</si>
  <si>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</si>
  <si>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</si>
  <si>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</si>
  <si>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</si>
  <si>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</si>
  <si>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</si>
  <si>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</si>
  <si>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</si>
  <si>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</si>
  <si>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</si>
  <si>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</si>
  <si>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</si>
  <si>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</si>
  <si>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</si>
  <si>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</si>
  <si>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</si>
  <si>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</si>
  <si>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</si>
  <si>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</si>
  <si>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</si>
  <si>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</si>
  <si>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</si>
  <si>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</si>
  <si>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</si>
  <si>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</si>
  <si>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</si>
  <si>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</si>
  <si>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</si>
  <si>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</si>
  <si>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</si>
  <si>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</si>
  <si>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</si>
  <si>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</si>
  <si>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</si>
  <si>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</si>
  <si>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</si>
  <si>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</si>
  <si>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</si>
  <si>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</si>
  <si>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</si>
  <si>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</si>
  <si>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</si>
  <si>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Виды оборудования для медучтереждений.</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</si>
  <si>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</si>
  <si>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</si>
  <si>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</si>
  <si>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</si>
  <si>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</si>
  <si>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</si>
  <si>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</si>
  <si>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</si>
  <si>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</si>
  <si>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</si>
  <si>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</si>
  <si>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</si>
  <si>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</si>
  <si>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</si>
  <si>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</si>
  <si>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</si>
  <si>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</si>
  <si>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</si>
  <si>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</si>
  <si>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Распостраненные женские болезни.</t>
  </si>
  <si>
    <t>приви</t>
  </si>
  <si>
    <t>Нужны ли прививки.</t>
  </si>
  <si>
    <t>холтер</t>
  </si>
  <si>
    <t>Что такое экг по холтеру.</t>
  </si>
  <si>
    <t>crm</t>
  </si>
  <si>
    <t>Как взаимодействовать с клиентами.</t>
  </si>
  <si>
    <t>путевк</t>
  </si>
  <si>
    <t>Как недорого выбрать тур.</t>
  </si>
  <si>
    <t>угл</t>
  </si>
  <si>
    <t>Чем уголь выгоднее.</t>
  </si>
  <si>
    <t>amway</t>
  </si>
  <si>
    <t>Как побдобрать себе косметику.</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</si>
  <si>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</si>
  <si>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</si>
  <si>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</si>
  <si>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</si>
  <si>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</si>
  <si>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</si>
  <si>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</si>
  <si>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</si>
  <si>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</si>
  <si>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Как расчитаться картой в магазине.</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</si>
  <si>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</si>
  <si>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</si>
  <si>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</si>
  <si>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</si>
  <si>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</si>
  <si>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</si>
  <si>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</si>
  <si>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</si>
  <si>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</si>
  <si>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</si>
  <si>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</si>
  <si>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</si>
  <si>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</si>
  <si>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</si>
  <si>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</si>
  <si>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</si>
  <si>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</si>
  <si>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</si>
  <si>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</si>
  <si>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</si>
  <si>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</si>
  <si>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</si>
  <si>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</si>
  <si>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</si>
  <si>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</si>
  <si>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</si>
  <si>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</si>
  <si>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</si>
  <si>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</si>
  <si>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</si>
  <si>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</si>
  <si>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</si>
  <si>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</si>
  <si>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</si>
  <si>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можно путешестовать по Европе.</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</si>
  <si>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</si>
  <si>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</si>
  <si>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</si>
  <si>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</si>
  <si>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</si>
  <si>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</si>
  <si>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</si>
  <si>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</si>
  <si>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</si>
  <si>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</si>
  <si>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</si>
  <si>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</si>
  <si>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</si>
  <si>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</si>
  <si>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</si>
  <si>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</si>
  <si>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</si>
  <si>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</si>
  <si>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</si>
  <si>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</si>
  <si>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</si>
  <si>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</si>
  <si>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</si>
  <si>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</si>
  <si>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</si>
  <si>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</si>
  <si>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</si>
  <si>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</si>
  <si>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</si>
  <si>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</si>
  <si>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</si>
  <si>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</si>
  <si>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</si>
  <si>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</si>
  <si>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</si>
  <si>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</si>
  <si>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</si>
  <si>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</si>
  <si>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</si>
  <si>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</si>
  <si>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Как првильно качать мышцы.</t>
  </si>
  <si>
    <t>рулев</t>
  </si>
  <si>
    <t>Распостраненные поломки автомобиля.</t>
  </si>
  <si>
    <t>сайдинг</t>
  </si>
  <si>
    <t>Как облицовать загородный дом.</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</si>
  <si>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</si>
  <si>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</si>
  <si>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</si>
  <si>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</si>
  <si>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</si>
  <si>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</si>
  <si>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</si>
  <si>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</si>
  <si>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</si>
  <si>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</si>
  <si>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</si>
  <si>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</si>
  <si>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</si>
  <si>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</si>
  <si>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</si>
  <si>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</si>
  <si>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</si>
  <si>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</si>
  <si>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</si>
  <si>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</si>
  <si>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</si>
  <si>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</si>
  <si>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</si>
  <si>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</si>
  <si>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</si>
  <si>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</si>
  <si>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</si>
  <si>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</si>
  <si>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Путешествуем по европе.</t>
  </si>
  <si>
    <t>билет</t>
  </si>
  <si>
    <t>Как недорого проехать весь мир.</t>
  </si>
  <si>
    <t>квитки</t>
  </si>
  <si>
    <t>Вібираем направление для путешествия.</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</si>
  <si>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</si>
  <si>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</si>
  <si>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</si>
  <si>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</si>
  <si>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</si>
  <si>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</si>
  <si>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</si>
  <si>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</si>
  <si>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</si>
  <si>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</si>
  <si>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</si>
  <si>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</si>
  <si>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</si>
  <si>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</si>
  <si>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</si>
  <si>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</si>
  <si>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</si>
  <si>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</si>
  <si>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</si>
  <si>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</si>
  <si>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</si>
  <si>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</si>
  <si>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</si>
  <si>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</si>
  <si>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</si>
  <si>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</si>
  <si>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</si>
  <si>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</si>
  <si>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</si>
  <si>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</si>
  <si>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</si>
  <si>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</si>
  <si>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</si>
  <si>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</si>
  <si>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</si>
  <si>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</si>
  <si>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</si>
  <si>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</si>
  <si>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</si>
  <si>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</si>
  <si>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</si>
  <si>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</si>
  <si>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</si>
  <si>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</si>
  <si>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</si>
  <si>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</si>
  <si>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</si>
  <si>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</si>
  <si>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</si>
  <si>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</si>
  <si>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</si>
  <si>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</si>
  <si>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</si>
  <si>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</si>
  <si>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</si>
  <si>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</si>
  <si>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</si>
  <si>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</si>
  <si>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</si>
  <si>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</si>
  <si>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</si>
  <si>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</si>
  <si>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</si>
  <si>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</si>
  <si>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</si>
  <si>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</si>
  <si>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</si>
  <si>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</si>
  <si>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</si>
  <si>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</si>
  <si>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</si>
  <si>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</si>
  <si>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</si>
  <si>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</si>
  <si>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</si>
  <si>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</si>
  <si>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</si>
  <si>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</si>
  <si>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</si>
  <si>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</si>
  <si>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</si>
  <si>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</si>
  <si>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</si>
  <si>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</si>
  <si>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</si>
  <si>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</si>
  <si>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</si>
  <si>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</si>
  <si>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выбрать район для жилья.</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</si>
  <si>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</si>
  <si>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</si>
  <si>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</si>
  <si>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</si>
  <si>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</si>
  <si>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</si>
  <si>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</si>
  <si>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</si>
  <si>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</si>
  <si>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</si>
  <si>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</si>
  <si>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</si>
  <si>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</si>
  <si>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</si>
  <si>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</si>
  <si>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</si>
  <si>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</si>
  <si>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</si>
  <si>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</si>
  <si>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</si>
  <si>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</si>
  <si>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</si>
  <si>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</si>
  <si>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</si>
  <si>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</si>
  <si>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</si>
  <si>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</si>
  <si>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</si>
  <si>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</si>
  <si>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</si>
  <si>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</si>
  <si>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</si>
  <si>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</si>
  <si>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</si>
  <si>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</si>
  <si>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</si>
  <si>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</si>
  <si>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</si>
  <si>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</si>
  <si>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</si>
  <si>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eb9a2a05-69eb-49b9-a917-48f43be3d582</t>
  </si>
  <si>
    <t>43ca56ec-2c6f-4152-a3ee-daf9c537003a</t>
  </si>
  <si>
    <t>61465022-6443-492b-a36c-140faf0e9e95</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</si>
  <si>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</si>
  <si>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</si>
  <si>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</si>
  <si>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</si>
  <si>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</si>
  <si>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</si>
  <si>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</si>
  <si>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</si>
  <si>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</si>
  <si>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</si>
  <si>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</si>
  <si>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</si>
  <si>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</si>
  <si>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</si>
  <si>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</si>
  <si>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</si>
  <si>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</si>
  <si>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</si>
  <si>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</si>
  <si>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</si>
  <si>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</si>
  <si>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</si>
  <si>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</si>
  <si>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</si>
  <si>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</si>
  <si>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</si>
  <si>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</si>
  <si>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</si>
  <si>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</si>
  <si>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</si>
  <si>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Постовой должен быть окружен тематическим текстом
Только один постовой на страницу
Постовой должен быть в новой статье
Желательно, чтобы анкор встречался в заголовке материала
Уникальность по https://text.ru/ не менее - 80%</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</si>
  <si>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</si>
  <si>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</si>
  <si>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</si>
  <si>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</si>
  <si>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</si>
  <si>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</si>
  <si>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</si>
  <si>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</si>
  <si>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</si>
  <si>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</si>
  <si>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</si>
  <si>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</si>
  <si>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</si>
  <si>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</si>
  <si>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</si>
  <si>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</si>
  <si>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ErrorPublic</t>
  </si>
  <si>
    <t>NeOK</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</si>
  <si>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</si>
  <si>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</si>
  <si>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</si>
  <si>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</si>
  <si>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</si>
  <si>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</si>
  <si>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</si>
  <si>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</si>
  <si>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</si>
  <si>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</si>
  <si>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</si>
  <si>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</si>
  <si>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</si>
  <si>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</si>
  <si>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</si>
  <si>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</si>
  <si>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</si>
  <si>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</si>
  <si>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</si>
  <si>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</si>
  <si>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</si>
  <si>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</si>
  <si>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</si>
  <si>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</si>
  <si>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</si>
  <si>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</si>
  <si>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</si>
  <si>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</si>
  <si>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</si>
  <si>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На проверке</t>
  </si>
  <si>
    <t>Post</t>
  </si>
  <si>
    <t>Ссылку вставить в первом абзаце.							
Добавить одно-три изображение с заполненым тегом alt.							
Объем текста, знаков (без пробелов): от 2000 тыс знаков							
Обязательные требования:							
Не писать от 1 лица.							
Текст должен быть полезным и удобочитаемым для пользователя.							
Должен присутствовать заголовок H1: Батареи от Xiaomi - как выбрать подходящую
Технические требования к тексту:							
- Статья на русском языке;							
- Уникальность: от 95% по Advego Plagiatus;							
- Вода: не более 60%
Проверяется наличие ссылки: https://fishki.ua/portativnye-batarei/brend-is-xiaomi/tsvet-is-belyy/
с текстом (анкором): https://fishki.ua/portativnye-batarei/brend-is-xiaomi/tsvet-is-belyy/
Длина поста: до 1 500</t>
  </si>
  <si>
    <t>http://fledur.org.ua/%d1%8f%d0%ba-%d0%b2%d0%b8%d0%b1%d1%80%d0%b0%d1%82%d0%b8-%d1%8f%d0%ba%d1%96%d1%81%d0%bd%d0%b8%d0%b9-%d0%b7%d0%be%d0%b2%d0%bd%d1%96%d1%88%d0%bd%d1%96%d0%b9-%d1%83%d0%bd%d1%96%d0%b2%d0%b5%d1%80%d1%81/</t>
  </si>
  <si>
    <t>2018-01-19T14:12:07</t>
  </si>
  <si>
    <t>2018-01-19T15:19:40</t>
  </si>
  <si>
    <t>2018-01-30T11:24:31</t>
  </si>
  <si>
    <t>No href!</t>
  </si>
  <si>
    <t>Ссылка на страницу https://amaister.com.ua/shody/hvyntovi
Анкор - від українського виробника</t>
  </si>
  <si>
    <t>2018-01-23T13:28:17</t>
  </si>
  <si>
    <t>2018-01-23T13:36:32</t>
  </si>
  <si>
    <t>2018-01-30T13:36:32</t>
  </si>
  <si>
    <t>Анкор - більше в статті
Ссылка на страницу https://veller.com.ua/ua/teploizolyatsiya-dahu-yaku-buvayut-uteplyuvachi/</t>
  </si>
  <si>
    <t>2018-01-23T13:28:16</t>
  </si>
  <si>
    <t>Ссылка на страницу https://amaister.com.ua/shody
Анкор - один з виробників</t>
  </si>
  <si>
    <t>frontier.net.ua</t>
  </si>
  <si>
    <t>2018-01-23T13:31:29</t>
  </si>
  <si>
    <t>2018-01-30T13:31:29</t>
  </si>
  <si>
    <t>Анкор - почитати тут
Ссылка на страницу https://veller.com.ua/ua/materiali-dlya-uteplennya-budinku/</t>
  </si>
  <si>
    <t>2018-01-23T13:31:31</t>
  </si>
  <si>
    <t>2018-01-30T13:31:31</t>
  </si>
  <si>
    <t>Not found</t>
  </si>
  <si>
    <t>No img!</t>
  </si>
  <si>
    <t>No keyword!</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</si>
  <si>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</si>
  <si>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</si>
  <si>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</si>
  <si>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</si>
  <si>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</si>
  <si>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</si>
  <si>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Error keyword!</t>
  </si>
  <si>
    <t>http://adonaidenver.org/yak-zrobiti-originalnij-podarunok/</t>
  </si>
  <si>
    <t>http://e-knigka.org.ua/%D1%83%D0%BB%D1%8E%D0%B1%D0%BB%D0%B5%D0%BD%D1%96-%D0%B6%D0%B0%D0%BD%D1%80%D0%B8-%D0%B2-%D0%BA%D1%96%D0%BD%D0%BE/</t>
  </si>
  <si>
    <t>Не поддерживает публикацию.</t>
  </si>
  <si>
    <t>ВСЕ</t>
  </si>
  <si>
    <t>Постовой должен быть окружен тематическим текстом
Только один постовой на страницу
Постовой должен быть в новой статье</t>
  </si>
  <si>
    <t>- статья на указанную тему
- уникальность не менее 95%
- ссылка в середине статьи, гармонично вписанная в текст
Проверяется наличие ссылки: http://kopii-duxov.pp.ua/catalog/zhenskaya-parfyumeriya
с текстом (анкором): Лицензионная парфюмения
Длина поста: 1 501 — 2 500</t>
  </si>
  <si>
    <t>freya.kiev.ua</t>
  </si>
  <si>
    <t>2018-01-24T16:29:54</t>
  </si>
  <si>
    <t>2018-01-24T20:18:22</t>
  </si>
  <si>
    <t>2018-01-31T20:18:22</t>
  </si>
  <si>
    <t>4e7d05ec-ceca-4bd9-9f22-0b89c403d149</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</si>
  <si>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</si>
  <si>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</si>
  <si>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</si>
  <si>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</si>
  <si>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</si>
  <si>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</si>
  <si>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</si>
  <si>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Dublicate</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</si>
  <si>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</si>
  <si>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</si>
  <si>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</si>
  <si>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</si>
  <si>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</si>
  <si>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2018-01-21T16:55:32</t>
  </si>
  <si>
    <t>2018-01-21T17:06:23</t>
  </si>
  <si>
    <t>2018-02-02T01:02:14</t>
  </si>
  <si>
    <t>Математика для детей - математика для малышей и дошкольников – Развитие ребенка</t>
  </si>
  <si>
    <t>математика для детей, математика для дошкольников, математика для малышей, математика в картинках, математические задания</t>
  </si>
  <si>
    <t>http://animan.kiev.ua/yak-vibrati-garni-kviti/</t>
  </si>
  <si>
    <t>http://druzhba-lux.com.ua/yak-vybraty-garni-kvity/</t>
  </si>
  <si>
    <t>http://print-media-group.com.ua/</t>
  </si>
  <si>
    <t>&lt;a href="http://print-media-group.com.ua/" title="услуги широкоформатной печати"&gt;услуги широкоформатной печати&lt;/a&gt;</t>
  </si>
  <si>
    <t>2018-01-26T17:44:24</t>
  </si>
  <si>
    <t>2018-01-26T17:45:14</t>
  </si>
  <si>
    <t>2018-02-02T17:45:14</t>
  </si>
  <si>
    <t>&lt;a href="https://btq-tv.com/ru/pers_shop/bracelets_jewelry/" title="Добавить анкор для этой страницы"&gt;Добавить анкор для этой страницы&lt;/a&gt;</t>
  </si>
  <si>
    <t>2018-01-26T18:28:03</t>
  </si>
  <si>
    <t>2018-01-26T23:59:42</t>
  </si>
  <si>
    <t>2018-02-02T23:59:42</t>
  </si>
  <si>
    <t>https://btq-tv.com/ru/pers_shop/bracelets_jewelry/</t>
  </si>
  <si>
    <t>&lt;a href="https://childdevelop.ru/worksheets/tag-math/" title="https://childdevelop.ru/worksheets/tag-math/"&gt;https://childdevelop.ru/worksheets/tag-math/&lt;/a&gt;</t>
  </si>
  <si>
    <t>http://e-knigka.org.ua/%d1%8f%d0%ba-%d0%bd%d0%b0%d0%b2%d1%87%d0%b8%d1%82%d0%b8-%d0%b4%d0%b8%d1%82%d0%b8%d0%bd%d1%83-%d1%80%d0%b0%d1%85%d1%83%d0%b2%d0%b0%d1%82%d0%b8/</t>
  </si>
  <si>
    <t>https://childdevelop.ru/worksheets/tag-math/</t>
  </si>
  <si>
    <t>&lt;a href="http://print-media-group.com.ua/" title="полиграфия широкоформатная печать"&gt;полиграфия широкоформатная печать&lt;/a&gt;</t>
  </si>
  <si>
    <t>2018-01-26T17:42:21</t>
  </si>
  <si>
    <t>2018-01-26T17:50:53</t>
  </si>
  <si>
    <t>2018-02-02T17:50:53</t>
  </si>
  <si>
    <t>Широкоформатная печать - Киев - Самая низкая цена!</t>
  </si>
  <si>
    <t>широкоформатная печать киев цена украина</t>
  </si>
  <si>
    <t>http://aerodizain.com/wp-content/uploads/2016/01/plakatyi4.jpg</t>
  </si>
  <si>
    <t>Браслеты &amp; Ювелирные изделия</t>
  </si>
  <si>
    <t>телев</t>
  </si>
  <si>
    <t>Как правильно выбрать телевизор.</t>
  </si>
  <si>
    <t>телефон</t>
  </si>
  <si>
    <t>Как правильно выбрать телефон.</t>
  </si>
  <si>
    <t>Small Text</t>
  </si>
  <si>
    <t>Small block!</t>
  </si>
  <si>
    <t>http://myiphone.net.ua/%D1%8F%D0%BA-%D0%BF%D1%80%D0%B0%D0%B2%D0%B8%D0%BB%D1%8C%D0%BD%D0%BE-%D0%B2%D0%B8%D0%B1%D1%80%D0%B0%D1%82%D0%B8-%D0%BD%D0%BE%D1%83%D1%82%D0%B1%D1%83%D0%BA/</t>
  </si>
  <si>
    <t>YES</t>
  </si>
  <si>
    <t>&lt;a href="https://sunbeam.dp.ua/g24049005-setevye-solnechnye-elektrostantsii" title="выбрать здесь"&gt;выбрать здесь&lt;/a&gt;</t>
  </si>
  <si>
    <t>Только один постовой на страницу
Постовой должен быть в новой ТЕМАТИЧЕСКОЙ статье
Статья должна быть не менее чем 1500сбп
Повторение слов в статье не более двух трех раз на 500сбп
Статья должна быть уникальной
Постовой должен быть окружен тематическим текстом
Ссылка должна быть видна глазами
Статья не должна находиться в скрытых каталогах
По возможности в начале
Транслитерация на главную (доступ к статье в один клик с главной)</t>
  </si>
  <si>
    <t>2018-01-29T10:49:45</t>
  </si>
  <si>
    <t>2018-01-29T10:53:11</t>
  </si>
  <si>
    <t>2018-02-05T10:53:11</t>
  </si>
  <si>
    <t>https://sunbeam.dp.ua/g24049005-setevye-solnechnye-elektrostantsii</t>
  </si>
  <si>
    <t>Постовой не найден на странице</t>
  </si>
  <si>
    <t>https://www.e-reading.club/illustrations/1019/1019434-cover.jpg</t>
  </si>
  <si>
    <t xml:space="preserve">Купить сетевую солнечную электростанцию - интернет магазин в Днепре, Украине | SunBeam
</t>
  </si>
  <si>
    <t>солнечные панели
солнечные станции
зеленый тариф
зеленый тариф под ключ
солнечные батареи
солнечные коллекторы
вакуумные коллекторы
солнечная электростанция
гелиосистема, инверторы
контроллер заряда
аккумуляторы
альтернативная энергетика</t>
  </si>
  <si>
    <t>http://greenevolution.ru/wp-content/uploads/2015/07/252-630x319.jpg</t>
  </si>
  <si>
    <t>http://noman.ru/wp-content/uploads/2013/02/kak-nauchit-rebenka-schitat.jpg</t>
  </si>
  <si>
    <t>http://www.kontext.ru/pic/sposoby-i-vidy-pechati-2.jpg</t>
  </si>
  <si>
    <t>Не подключена</t>
  </si>
  <si>
    <t>https://www.dp.ru/a/2015/09/23/Peterburg_idet_k_solncu</t>
  </si>
  <si>
    <t>https://www.youtube.com/watch?v=_FT92r93WRk</t>
  </si>
  <si>
    <t>https://news.rambler.ru/other/38323902-vygodno-li-maynit-na-solnechnoy-energii/</t>
  </si>
  <si>
    <t xml:space="preserve">Ещё _x000D_
Выгодно ли майнить на солнечной энергии? _x000D_
Далее:_x000D_
Читайте также:_x000D_
Найти _x000D_
Выберите регион _x000D_
Москва _x000D_
В мире Новости Москвы Политика Армия Общество Происшествия Наука и техника Шоу-бизнес Статьи Видео Фото Тесты Экономика Компании Рынки Личный счет Недвижимость _x000D_
Ещё _x000D_
Все новости _x000D_
Бизнес и финансы _x000D_
Женский _x000D_
Развлечения _x000D_
Спорт _x000D_
Автомобили _x000D_
Здоровье _x000D_
Субботний _x000D_
Игры _x000D_
Выгодно ли майнить на солнечной энергии?  _x000D_
Hi-News.ru 2 ноября 2017 _x000D_
 _x000D_
Фото: Hi-News.ru _x000D_
Комментарии _x000D_
Процесс добычи криптовалют связан с целым рядом дополнительных денежных затрат. Ведь помимо единоразовой покупки дорогостоящего оборудования, приходится регулярно платить кругленькие суммы за электричество. А что будет, если отказаться от обычного электричества из розетки и перейти на солнечные батареи, которые и будут снабжать фермы для майнинга электричеством? Считаем._x000D_
Во-первых, для того чтобы начать майнить с помощью солнечной энергии, надо жить там, где этого солнца полно круглый год, либо ждать, пока в продаже появятся новые батареи, способные добывать электричество с одинаковой эффективностью круглосуточно. Но мы живём здесь и сейчас, поэтому представим себя где-нибудь в тёплом и солнечном месте и зайдём на Alibaba, где в продаже имеется вот такой агрегат._x000D_
Да, одна ферма как раз потребляет примерно один киловатт в час, но этого явно маловато, да и специалисты рекомендуют умножать требуемую мощность на четыре, чтобы на выходе получить рекомендуемую по производительности установку._x000D_
Ищем готовый комплект. Такой, например. Готовая система на 4 КВт стоит 3600 долларов, но с учётом необходимости докупить сюда аккумуляторов и оплатить доставку получается уже около пяти тысяч долларов._x000D_
Пусть один кВт⋅ч стоит 5 рублей. Таким образом, за 365 дней ферма расходует электричества на 700 долларов, а это значит, что ещё лет пять — и солнечная установка нужных нам габаритов и возможностей как раз отобьётся. Не выгоднее ли в таком случае вложиться ещё в одну ферму?_x000D_
Вывод: солнечная энергия для майнинга определённо подходит, но лучше как-то всё-таки без неё._x000D_
Hi-News.ru: последние новости _x000D_
 Микробиолог расшифровал закодированный в ДНК Биткоин  Японская компания GMO Internet разработала 12-нанометровые чипы для майнинг-систем  Роскосмос создает спутник для поиска полезных ископаемых _x000D_
Комментарии _x000D_
Читайте также_x000D_
Новости партнеров_x000D_
Главное сейчас _x000D_
 _x000D_
Рейс Стамбул-Москва готовится к экстренной посадке14 _x000D_
 _x000D_
Обзор зарубежных СМИ: новые козыри РФ на Олимпиаде13 _x000D_
 _x000D_
Шнуров сравнил церковь с борделем379 _x000D_
 _x000D_
Собчак обвинила ведущую «Эха Москвы» во вранье63 _x000D_
 _x000D_
Самое страшное место на планете5 _x000D_
Видео _x000D_
 _x000D_
01:55_x000D_
«У НАТО проблемы»: Запад признал превосходство Су-57 _x000D_
Армия Оружие _x000D_
 _x000D_
00:34_x000D_
В России стартовал «Киберпонедельник» _x000D_
Личный счет Рынки _x000D_
 _x000D_
01:19_x000D_
«Опоздали на неделю»: Как Украина пыталась сохранить Крым _x000D_
Политика Конфликты _x000D_
 _x000D_
00:40_x000D_
Слон протаранил машину туристов и лишился бивня _x000D_
Происшествия _x000D_
 _x000D_
01:16_x000D_
В Харькове прогремел взрыв, есть пострадавшие _x000D_
Происшествия Украина _x000D_
 _x000D_
00:37_x000D_
Обзор зарубежных СМИ: новые козыри РФ на Олимпиаде _x000D_
В мире _x000D_
 _x000D_
01:55_x000D_
Новые двигатели сделают Су-57 «убийцей F-22» _x000D_
Армия Оружие _x000D_
 _x000D_
11:54_x000D_
Наталья Краско показала редкое семейное фото _x000D_
Шоу-бизнес _x000D_
 _x000D_
09:55_x000D_
Состояние Вадима Казаченко ухудшилось _x000D_
Шоу-бизнес _x000D_
 _x000D_
00:49_x000D_
Шнуров сравнил церковь с борделем _x000D_
Шоу-бизнес _x000D_
Больше видео _x000D_
18+_x000D_
Все новости_x000D_
В мире_x000D_
Новости Москвы_x000D_
Политика_x000D_
Армия_x000D_
Общество_x000D_
Происшествия_x000D_
Наука и техника_x000D_
Шоу-бизнес_x000D_
Статьи_x000D_
Видео_x000D_
Фото_x000D_
Тесты_x000D_
Ещё Свернуть _x000D_
Бизнес и финансы_x000D_
Экономика_x000D_
Компании_x000D_
Рынки_x000D_
Личный счет_x000D_
Недвижимость_x000D_
Ещё Свернуть _x000D_
Женский_x000D_
Мода_x000D_
Красота_x000D_
Любовь_x000D_
Звёзды_x000D_
Еда_x000D_
Здоровье_x000D_
Психология_x000D_
Дом и сад_x000D_
Дети_x000D_
Фото_x000D_
Видео_x000D_
Ещё Свернуть _x000D_
Развлечения_x000D_
Кино_x000D_
Концерты_x000D_
Театры_x000D_
Рестораны_x000D_
Город_x000D_
Выставки_x000D_
С детьми_x000D_
Фото_x000D_
Ещё Свернуть _x000D_
Спорт_x000D_
Футбол_x000D_
Хоккей_x000D_
Баскетбол_x000D_
Биатлон_x000D_
Автоспорт/Мотоспорт_x000D_
Фигурное катание_x000D_
Теннис_x000D_
Киберспорт_x000D_
MMA_x000D_
Бокс_x000D_
Шахматы_x000D_
Легкая атлетика_x000D_
Летние виды спорта_x000D_
Зимние виды спорта_x000D_
Ещё Свернуть _x000D_
Автомобили_x000D_
Новости_x000D_
Тест-драйвы_x000D_
Бортжурнал_x000D_
ПДД_x000D_
Экзамен_x000D_
Ещё Свернуть _x000D_
Ещё Свернуть _x000D_
Субботний_x000D_
Истории_x000D_
Люди_x000D_
Вещи_x000D_
Безумный мир_x000D_
Места_x000D_
Ещё Свернуть _x000D_
Класс_x000D_
Ответы_x000D_
Темы_x000D_
Доктор_x000D_
Вопросы_x000D_
Темы_x000D_
Гороскопы_x000D_
Сонник_x000D_
Имена_x000D_
Гадания_x000D_
Лунный гороскоп_x000D_
Китайский гороскоп_x000D_
Приметы_x000D_
Ещё Свернуть _x000D_
Игры_x000D_
Игровые новости и видео_x000D_
Магазин игр_x000D_
© Рамблер, 2018 _x000D_
Мобильная версия Реклама Помощь Вакансии Пользовательское соглашение </t>
  </si>
  <si>
    <t xml:space="preserve"> Процесс добычи криптовалют связан с целым рядом дополнительных денежных затрат. Ведь помимо единоразовой покупки дорогостоящего оборудования, приходится регулярно платить кругленькие суммы за электричество. А что будет, если отказаться от обычного электричества из розетки и перейти на солнечные батареи, которые и будут снабжать фермы для майнинга электричеством? Считаем._x000D_ Во-первых, для того чтобы начать майнить с помощью солнечной энергии, надо жить там, где этого солнца полно круглый год, либо ждать, пока в продаже появятся новые батареи, способные добывать электричество с одинаковой эффективностью круглосуточно. Но мы живём здесь и сейчас, поэтому представим себя где-нибудь в тёплом и солнечном месте и зайдём на Alibaba, где в продаже имеется вот такой агрегат._x000D_ Да, одна ферма как раз потребляет примерно один киловатт в час, но этого явно маловато, да и специалисты рекомендуют умножать требуемую мощность на четыре, чтобы на выходе получить рекомендуемую по производительности установку._x000D_ Ищем готовый комплект. Такой, например. Готовая система на 4 КВт стоит 3600 долларов, но с учётом необходимости докупить сюда аккумуляторов и оплатить доставку получается уже около пяти тысяч долларов._x000D_</t>
  </si>
  <si>
    <t xml:space="preserve"> Процесс добычи криптовалют связан с целым рядом дополнительных денежных затрат. Ведь помимо единоразовой покупки дорогостоящего оборудования, приходится регулярно платить кругленькие суммы за электричество. А что будет, если отказаться от обычного электричества из розетки и перейти на солнечные батареи, которые и будут снабжать фермы для майнинга электричеством? Считаем._x000D_ Во-первых, для того чтобы начать майнить с помощью солнечной энергии, надо жить там, где этого солнца полно круглый год, либо ждать, пока в продаже появятся новые батареи, способные добывать электричество с одинаковой эффективностью круглосуточно. Но мы живём здесь и сейчас, поэтому представим себя где-нибудь в тёплом и солнечном месте и зайдём на Alibaba, где в продаже имеется вот такой агрегат._x000D_ Да, одна ферма как раз потребляет примерно один киловатт в час, но этого явно маловато, да и специалисты рекомендуют умножать требуемую мощность на четыре, чтобы на выходе получить рекомендуемую по производительности установку._x000D_ Ищем готовый комплект. Такой, например. Готовая система на 4 КВт стоит 3600 долларов, но с учётом необходимости докупить сюда аккумуляторов и оплатить доставку получается уже около пяти тысяч долларов._x000D_. </t>
  </si>
  <si>
    <t>Процес видобутку криптовалют пов'язаний з цілим рядом додаткових грошових витрат. Адже крім одноразової покупки дорогого устаткування, доводиться регулярно платити кругленькі суми за електрику. А що буде, якщо відмовитися від звичайного електрики з розетки і перейти на сонячні батареї, які будуть забезпечувати ферми для майнінг електрикою? Вважаємо. По-перше, для того щоб почати майнить з допомогою сонячної енергії, треба жити там, де цього повно сонця круглий рік, або чекати, поки у продажу з'являться нові батареї, здатні видобувати електрику з однаковою ефективністю цілодобово. Але ми живемо тут і зараз, тому представимо себе де-небудь в теплому і сонячному місці і зайдемо на Alibaba, де у продажу є ось такий агрегат. Так, одна ферма якраз споживає приблизно один кіловат на годину, але цього явно замало, та й фахівці рекомендують множити необхідну потужність на чотири, щоб на виході отримати рекомендовану по продуктивності установку. Шукаємо готовий комплект. Такий, наприклад. Готова система на 4 КВт коштує 3600 доларів, але з урахуванням необхідності докупити сюди акумуляторів і оплатити доставку виходить вже близько п'яти тисяч доларів. .</t>
  </si>
  <si>
    <t xml:space="preserve">Процес видобутку криптовалют пов'язаний з цілим рядом додаткових грошових витрат. Адже крім одноразової покупки дорогого устаткування, доводиться регулярно платити кругленькі суми за електрику. А що буде, якщо відмовитися від звичайного електрики з розетки і перейти на сонячні батареї, які будуть забезпечувати ферми для майнінг електрикою? Вважаємо. По-перше, для того щоб почати майнить з допомогою сонячної енергії, треба жити там, де цього повно сонця круглий рік, або чекати, поки у продажу з'являться нові батареї, здатні видобувати електрику з однаковою ефективністю цілодобово. Але ми живемо тут і зараз, тому представимо себе де-небудь в теплому і сонячному місці і зайдемо на Alibaba, де у продажу є ось такий агрегат. Так, одна ферма якраз споживає приблизно один кіловат на годину, але цього явно замало, та й фахівці рекомендують множити необхідну потужність на чотири, щоб на виході отримати рекомендовану по продуктивності установку. Шукаємо готовий комплект. Такий, наприклад. Готова система на 4 КВт коштує 3600 доларів, але з урахуванням необхідності докупити сюди акумуляторів і оплатити доставку виходить вже близько п'яти тисяч доларів. </t>
  </si>
  <si>
    <t>_x000D_
РџСЂРѕРїСѓСЃС‚РёС‚СЊ _x000D_
 _x000D_
UA_x000D_
Р’РѕР№С‚Рё_x000D_
РџРѕРёСЃРє_x000D_
_x000D_
Р—Р°РіСЂСѓР·РєР°... _x000D_
Р’С‹Р±РµСЂРёС‚Рµ СЏР·С‹Рє. _x000D_
Р—Р°РєСЂС‹С‚СЊ_x000D_
РџРѕРґСЂРѕР±РЅРµРµвЂ¦_x000D_
View this message in English _x000D_
РўРµРєСѓС‰РёР№ СЏР·С‹Рє РїСЂРѕСЃРјРѕС‚СЂР° YouTube: Р СѓСЃСЃРєРёР№. Р’С‹Р±СЂР°С‚СЊ РґСЂСѓРіРѕР№ СЏР·С‹Рє РјРѕР¶РЅРѕ РІ СЃРїРёСЃРєРµ РЅРёР¶Рµ. _x000D_
Learn more_x000D_
_x000D_
You're viewing YouTube in Russian. You can change this preference below. _x000D_
Р—Р°РєСЂС‹С‚СЊ_x000D_
Р”Р°, СЃРѕС…СЂР°РЅРёС‚СЊРћС‚РјРµРЅРёС‚СЊР—Р°РєСЂС‹С‚СЊ_x000D_
 _x000D_
Р­С‚Рѕ РІРёРґРµРѕ РЅРµРґРѕСЃС‚СѓРїРЅРѕ. _x000D_
РћС‡РµСЂРµРґСЊ РїСЂРѕСЃРјРѕС‚СЂР°_x000D_
РћС‡РµСЂРµРґСЊ_x000D_
РћС‡РµСЂРµРґСЊ РїСЂРѕСЃРјРѕС‚СЂР°РћС‡РµСЂРµРґСЊ_x000D_
РЈРґР°Р»РёС‚СЊ РІСЃРµ_x000D_
РћС‚РєР»СЋС‡РёС‚СЊ_x000D_
 _x000D_
 _x000D_
РЎРµР№С‡Р°СЃ РЅР°С‡РЅРµС‚СЃСЏ СЃР»РµРґСѓСЋС‰РµРµ РІРёРґРµРѕРѕС‚РјРµРЅР°_x000D_
Р—Р°РіСЂСѓР·РєР°... _x000D_
_x000D_
РћС‡РµСЂРµРґСЊ РїСЂРѕСЃРјРѕС‚СЂР° _x000D_
РћС‡РµСЂРµРґСЊ_x000D_
__count__/__total__ _x000D_
РЎРѕР»РЅРµС‡РЅС‹Рµ Р±Р°С‚Р°СЂРµРё. Р”Р»СЏ С‡РµРіРѕ РЅРµ СЃС‚РѕРёС‚ РїРѕРєСѓРїР°С‚СЊ. РњРёС„С‹ Рё СЂРµР°Р»СЊРЅРѕСЃС‚СЊ С‡ 1. _x000D_
 _x000D_
Р•-РџРѕРєСѓРїРєРё _x000D_
Р—Р°РіСЂСѓР·РєР°... _x000D_
РћС‚РјРµРЅРёС‚СЊ РїРѕРґРїРёСЃРєСѓ РЅР° РєР°РЅР°Р» "Р•-РџРѕРєСѓРїРєРё"? _x000D_
РќРµС‚РћС‚РєР°Р·Р°С‚СЊСЃСЏ РѕС‚ РїРѕРґРїРёСЃРєРё _x000D_
РћР±СЂР°Р±РѕС‚РєР°... _x000D_
РџРѕРґРїРёСЃР°С‚СЊСЃСЏР’С‹ РїРѕРґРїРёСЃР°РЅС‹РћС‚РјРµРЅРёС‚СЊ РїРѕРґРїРёСЃРєСѓ13В С‚С‹СЃ. _x000D_
Р—Р°РіСЂСѓР·РєР°... _x000D_
Р—Р°РіСЂСѓР·РєР°... _x000D_
РћР±СЂР°Р±РѕС‚РєР°... _x000D_
Р”РѕР±Р°РІРёС‚СЊ РІ _x000D_
РҐРѕС‚РёС‚Рµ СЃРѕС…СЂР°РЅРёС‚Рµ СЌС‚Рѕ РІРёРґРµРѕ?_x000D_
Р’РѕР№РґРёС‚Рµ РІВ Р°РєРєР°СѓРЅС‚ Рё РґРѕР±Р°РІСЊС‚Рµ РµРіРѕ РІ РїР»РµР№Р»РёСЃС‚. _x000D_
Р’РѕР№С‚Рё _x000D_
РџРѕРґРµР»РёС‚СЊСЃСЏ  _x000D_
Р•С‰С‘ _x000D_
РџРѕР¶Р°Р»РѕРІР°С‚СЊСЃСЏ _x000D_
РџРѕР¶Р°Р»РѕРІР°С‚СЊСЃСЏ РЅР° РІРёРґРµРѕ?_x000D_
Р’С‹РїРѕР»РЅРёС‚Рµ РІС…РѕРґ, С‡С‚РѕР±С‹ СЃРѕРѕР±С‰РёС‚СЊ Рѕ РЅРµРїСЂРёРµРјР»РµРјРѕРј РєРѕРЅС‚РµРЅС‚Рµ. _x000D_
Р’РѕР№С‚Рё _x000D_
РўРµРєСЃС‚ РІРёРґРµРѕ _x000D_
РЎС‚Р°С‚РёСЃС‚РёРєР° _x000D_
РџРѕСЂР°Р±РѕС‚Р°С‚СЊ РЅР°Рґ РїРµСЂРµРІРѕРґРѕРј _x000D_
340В 523 РїСЂРѕСЃРјРѕС‚СЂР°_x000D_
_x000D_
1В 728 _x000D_
РџРѕРЅСЂР°РІРёР»РѕСЃСЊ?_x000D_
Р’РѕР№РґРёС‚Рµ РІ Р°РєРєР°СѓРЅС‚, С‡С‚РѕР±С‹ РїРѕСЃС‚Р°РІРёС‚СЊ РѕС‚РјРµС‚РєСѓ. _x000D_
Р’РѕР№С‚Рё _x000D_
1В 729 759 _x000D_
РќРµ РїРѕРЅСЂР°РІРёР»РѕСЃСЊ?_x000D_
Р’РѕР№РґРёС‚Рµ РІ Р°РєРєР°СѓРЅС‚, С‡С‚РѕР±С‹ РїРѕСЃС‚Р°РІРёС‚СЊ РѕС‚РјРµС‚РєСѓ. _x000D_
Р’РѕР№С‚Рё _x000D_
760 _x000D_
Р—Р°РіСЂСѓР·РєР°... _x000D_
Р—Р°РіСЂСѓР·РєР°... _x000D_
РўРµРєСЃС‚ РІРёРґРµРѕ _x000D_
РќРµ СѓРґР°Р»РѕСЃСЊ Р·Р°РіСЂСѓР·РёС‚СЊ РёРЅС‚РµСЂР°РєС‚РёРІРЅС‹Рµ СЃСѓР±С‚РёС‚СЂС‹. _x000D_
Р—Р°РіСЂСѓР·РєР°... _x000D_
Р—Р°РіСЂСѓР·РєР°... _x000D_
РћС†РµРЅРєР° СЃС‚Р°РЅРѕРІРёС‚СЃСЏ РґРѕСЃС‚СѓРїРЅР° РїРѕСЃР»Рµ Р°СЂРµРЅРґС‹ РІРёРґРµРѕ- _x000D_
Р’ РґР°РЅРЅС‹Р№ РјРѕРјРµРЅС‚ СЌС‚Р° С„СѓРЅРєС†РёСЏ РЅРµРґРѕСЃС‚СѓРїРЅР°. РџРѕРІС‚РѕСЂРёС‚Рµ РїРѕРїС‹С‚РєСѓ РїРѕР·Р¶Рµ. _x000D_
 _x000D_
РћРїСѓР±Р»РёРєРѕРІР°РЅРѕ: 9 РЅРѕСЏР±. 2015 Рі._x000D_
РєРѕРЅС‚СЂРѕР»РµСЂ Р·Р°СЂСЏРґР° РєРѕС‚РѕСЂС‹Р№ РїРѕРґС…РѕРґРёС‚ РґР»СЏ Р°РјРѕСЂС„РЅС‹С… РїР°РЅРµР»РµР№ https://goo.gl/DBdS5k_x000D_
РЎС‚Р°РІСЊС‚Рµ Р»Р°Р№Рє Рё РїРѕРґРїРёСЃС‹РІР°Р№С‚РµСЃСЊ РЅР° РјРѕР№ РєР°РЅР°Р» - СѓС‡Р°СЃС‚РІСѓР№С‚Рµ РІ РµР¶РµРјРµСЃСЏС‡РЅРѕРј СЂРѕР·С‹РіСЂС‹С€Рµ РїСЂРёР·РѕРІ _x000D_
like and subscribe. _x000D_
Wesprzyj mnie subskrypcjД… i zostaw lajka :)_x000D_
РїРѕР»РµР·РЅС‹Рµ С‚РѕРІР°СЂС‹ РґР»СЏ Р»СЋР±РёС‚РµР»РµР№ Р°Р»СЊС‚РµСЂРЅР°С‚РёРІРЅРѕР№ СЌРЅРµСЂРіРёРё_x000D_
https://goo.gl/N7ATBp_x000D_
https://goo.gl/ArVupF_x000D_
https://goo.gl/mXBdWk_x000D_
https://goo.gl/4AWYGG СЃРµСЂС‚РёС„РёРєР°С‚ 10 Р±Р°РєСЃРѕРІ _x000D_
https://goo.gl/Hz4Vn3 РѕР±РѕСЂСѓРґРѕРІР°РЅРёРµ РґР»СЏ РїР°Р№РєРё_x000D_
https://goo.gl/909AYB РїР°СЏР»СЊРЅРёРє_x000D_
_x000D_
_x000D_
Р›СѓС‡С€РёРµ С‚РѕРІР°СЂС‹ РґР»СЏ Р°Р»СЊС‚РµСЂРЅР°С‚РёРІРЅРѕР№ СЌРЅРµСЂРіРµС‚РёРєРё_x000D_
https://goo.gl/gOxvxA РјРёРЅРёС‚РµР»РµС„РѕРЅ РїРѕРІРµСЂР±Р°РЅРє СЃ С„РѕРЅР°СЂРµРј _x000D_
https://goo.gl/kF51SC РѕСЂРёРіРёРЅР°Р»СЊРЅС‹Р№ РїРѕРІРµСЂР±Р°РЅРє xiaomi 20000_x000D_
https://goo.gl/fDxpWq 5000 _x000D_
https://goo.gl/eMB7r2 mira skrin_x000D_
https://goo.gl/yCtMVF СЃСѓРјРєР° РґР»СЏ РёРЅСЃС‚СЂСѓРјРµРЅС‚Р°_x000D_
https://goo.gl/LkVybX СЃРѕР»РЅРµС‡РЅС‹Р№ СЌР»РµРјРµРЅС‚ 12 РІРѕР»СЊС‚ Р·Р° 2 РґРѕР»Р»Р°СЂР°_x000D_
https://goo.gl/2fUvrJ Р·Р° 1 РґРѕР»Р»Р°СЂ РїР°РЅРµР»СЊ РЅР° 6 РІРѕР»СЊС‚- РїРѕРґРѕР№РґРµС‚ РґР»СЏ Р·Р°СЂСЏРґРєРё С‚РµР»РµС„РѕРЅР° Рё РїРѕРІРµСЂР±Р°РЅРєР°_x000D_
https://goo.gl/g9CcSd РіРѕС‚РѕРІРѕРµ РїРѕСЂС‚Р°С‚РёРІРЅРѕРµ СѓСЃС‚СЂРѕР№СЃС‚РІРѕ РґР»СЏ РїРѕС…РѕРґРѕРІ Рё РѕС‚РґС‹С…Р° РЅР° РїСЂРёСЂРѕРґРµ_x000D_
РїРѕРІРµСЂР±Р°РЅРє СЃ СЃРѕР»РЅРµС‡РЅРѕР№ РїР°РЅРµР»СЊСЋ https://goo.gl/HV53TC_x000D_
Р±СЂРµР»РѕРє - РїРѕРІРµСЂР±Р°РЅРє https://goo.gl/IsuzAV_x000D_
https://goo.gl/bxKwP0 РјР°Р»РµРЅСЊРєРёР№ РІРµС‚СЂРѕРіРµРЅРµСЂР°С‚РѕСЂ _x000D_
https://goo.gl/ght8Tk РјРѕС‰РЅС‹Р№ РІРµС‚СЂРѕ РіРµРЅРµСЂР°С‚РѕСЂ_x000D_
https://goo.gl/0XXaNa РєРѕРЅС‚СЂРѕР»РµСЂ СЃ РґРёСЃРїР»РµРµРј Р·Р° 8 Р±Р°РєСЃРѕРІ _x000D_
https://goo.gl/7r4FQV СЃР°РјС‹Р№ РґРµС€РµРІС‹Р№ РёР· РЅРѕСЂРјР°Р»СЊРЅС‹С… РєРѕРЅС‚СЂРѕР»РµСЂРѕРІ Р·Р°СЂСЏРґР°_x000D_
https://goo.gl/yLzGbe РЅРµРґРѕСЂРѕРіРѕРµ Р·Р°СЂСЏРґРЅРѕРµ РєРѕС‚РѕСЂРѕРµ РјРѕР¶РЅРѕ РёСЃРїРѕР»СЊР·РѕРІР°С‚СЊ Рё РєР°Рє РєРѕРЅС‚СЂРѕР»РµСЂ Р·Р°СЂСЏРґРєСѓ_x000D_
_x000D_
_x000D_
_x000D_
_x000D_
РЎРѕР»РЅРµС‡РЅС‹Рµ Р±Р°С‚Р°СЂРµРё РґР»СЏ РґРѕРјР° Рё РґР°С‡Рё.РњРёС„С‹ Рё СЂРµР°Р»СЊРЅРѕСЃС‚СЊ.Р§С‚Рѕ СЃС‚РѕРёС‚ Рё С‡С‚Рѕ РЅРµ СЃС‚РѕРёС‚ Р¶РґР°С‚СЊ РѕС‚ СЃРѕР»РЅРµС‡РЅС‹С… Р±Р°С‚Р°СЂРµР№. РџР»СЋСЃС‹ Рё РјРёРЅСѓСЃС‹. Р­РєРѕРЅРѕРјРёС‡РµСЃРєР°СЏ РІС‹РіРѕРґР° СЃРѕР»РЅРµС‡РЅС‹С… РјРёРЅРё СЌР»РµРєС‚СЂРѕСЃС‚Р°РЅС†РёР№.РљР°Рє СЃРґРµР»Р°С‚СЊ СЃС‚Р°РЅС†РёСЋ РґРѕРјР° РЅРµ РїРµСЂРµРїР»Р°С‡РёРІР°СЏ_x000D_
_x000D_
РџРѕ РјРЅРѕРіРѕС‡РёСЃР»РµРЅРЅС‹Рј РїСЂРѕСЃСЊР±Р°Рј РїСѓР±Р»РёРєСѓСЋ СЃСЃС‹Р»РєСѓ РЅР° Р·Р°РІРѕРґСЃРєРёРµ РєРѕРЅС‚СЂРѕР»РµСЂС‹ РєРѕС‚РѕСЂС‹Рµ РїРѕРґС…РѕРґСЏС‚ РґР»СЏ СЌС‚РѕР№ РїР°РЅРµР»Рё_x000D_
РІРѕС‚ С‚Р°РєРёРј СЏ РїРѕР»СЊР·СѓСЋСЃСЊ СЃР°Рј. СЌС‚Рѕ РїСЂРµРґР»РѕР¶РµРЅРёРµ СЃ Р±РµСЃРїР»Р°С‚РЅРѕР№ РґРѕСЃС‚Р°РІРєРѕР№ РІ РЈРєСЂР°РёРЅСѓ https://goo.gl/081zfk_x000D_
С‚Р°Рє Р¶Рµ СЃРѕРІРµС‚СѓСЋ СЃСЂР°Р·Сѓ РєСѓРїРёС‚СЊ РґРёСЃРїР»РµР№ Рє СЌС‚РѕРјСѓ РєРѕРЅС‚СЂРѕР»РµСЂСѓ РЅР° РЅРµРј РјРЅРѕРіРѕ РїРѕР»РµР·РЅРѕР№ РёРЅС„РѕСЂРјР°С†РёРё.Р’РѕР»СЊС‚Р°Р¶ , СЃРёР»Р° С‚РѕРєР° ,РѕСЃС‚Р°С‚РѕРє Р·Р°СЂСЏРґР° РІ Р°РєРєСѓРјСѓР»СЏС‚РѕСЂР°С…, С‚РµРјРїРµСЂР°С‚СѓСЂР° Рё РјРЅРѕРіРѕ РґСЂСѓРіРѕРіРѕ _x000D_
РІРѕС‚ РєР°Рє РІР°СЂРёР°РЅС‚ СЃСЂР°Р·Сѓ СЃ РґРёСЃРїР»РµРµРј Рё Р±РµСЃРїР»Р°С‚РЅРѕР№ РґРѕСЃС‚Р°РІРєРѕР№ https://goo.gl/sWPXUO_x000D_
Р’ РєР°С‡РµСЃС‚РІРµ РёРЅРІРµСЂС‚РѕСЂР° ( РїСЂРµРѕР±СЂР°Р·РѕРІР°С‚РµР»СЏ 12-220 Р’РѕР»СЊС‚) Р•СЃР»Рё Р’С‹ СЃРѕР±РёСЂР°РµС‚Рµ СЃРёСЃС‚РµРјСѓ РїСЂРѕСЃС‚РµРЅСЊРєСѓСЋ ,С‚Рѕ РјРѕР¶РЅРѕ РІР·СЏС‚СЊ Р‘/РЈ Р‘РµСЃРїРµСЂРµР±РѕР№РЅРёРє. Р•СЃР»Рё Р’С‹ СЃРѕР±РёСЂР°РµС‚Рµ СЃРµСЂСЊРµР·РЅСѓСЋ СЃРёСЃС‚РµРјСѓ С‚Рѕ СЃРѕРІРµС‚СѓСЋ РёСЃРїРѕР»СЊР·РѕРІР°С‚СЊ РєР°РєРѕР№ С‚Рѕ РёР· СЌС‚РёС… РёРЅРІРµСЂС‚РѕСЂРѕРІ (РР‘Рџ ) _x000D_
_x000D_
https://goo.gl/AAQSY4_x000D_
_x000D_
https://goo.gl/bdcIR2_x000D_
_x000D_
https://goo.gl/szcGdS РР»Рё Р»СЋР±РѕР№ РР‘Рџ РёР· СЌС‚РѕР№ СЃРµСЂРёРё. _x000D_
РЈ РЅРёС… РїСЂР°РІРёР»СЊРЅР°СЏ СЃРёРЅСѓСЃРѕРёРґР° Рё РїРѕСЌС‚РѕРјСѓ РѕС‚ РЅРёС… Р±СѓРґСѓС‚ СЂР°Р±РѕС‚Р°С‚СЊ РЅРѕСЂРјР°Р»СЊРЅРѕ РІСЃРµ РїСЂРёР±РѕСЂС‹ РІ С‚РѕРј С‡РёСЃР»Рµ, РіР°Р·РѕРІС‹Рµ РєРѕС‚Р»С‹, РЅР°СЃРѕСЃС‹ ,С…РѕР»РѕРґРёР»СЊРЅРёРєРё. _x000D_
РђРєРєСѓРјСѓР»СЏС‚РѕСЂС‹ С‚Р°РєРѕРіРѕ С‚РёРїР° https://goo.gl/VyZKG0 _x000D_
РїРѕРґС…РѕРґСЏС‚ РґР»СЏ СѓСЃС‚Р°РЅРѕРІРєРё РІ Р¶РёР»С‹С… РїРѕРјРµС‰РµРЅРёСЏС…. РњРѕС‰РЅРѕСЃС‚СЊ РёРЅРІРµСЂС‚РѕСЂР° Рё РєРѕР»РёС‡РµСЃС‚РІРѕ Р°РєРєСѓРјСѓР»СЏС‚РѕСЂРѕРІ РѕРїСЂРµРґРµР»СЏРµС‚СЃСЏ РёРЅРґРёРІРёРґСѓР°Р»СЊРЅРѕ РёСЃС…РѕРґСЏ РёР· Р·Р°РїСЂРѕСЃРѕРІ Рё РїРѕС‚СЂРµР±РЅРѕСЃС‚РµР№ РєР°Р¶РґРѕРіРѕ РІР»Р°РґРµР»СЊС†Р</t>
  </si>
  <si>
    <t>https://ubr.ua/market/industrial/energiia-solnca-ne-tolko-vozmojno-no-i-kraine-vygodno-177882</t>
  </si>
  <si>
    <t>http://okrovle.com/ustrojstvo-krysh/krysha-iz-solnechnyh-batarej.html</t>
  </si>
  <si>
    <t>http://elektrovesti.net/55699_pochemu-legalizatsiya-marikhuany-vygodna-dlya-solnechnoy-energetiki</t>
  </si>
  <si>
    <t xml:space="preserve"> _x000D_
Новости _x000D_
Истории _x000D_
Тренды _x000D_
Игры _x000D_
Календарь _x000D_
RSS _x000D_
 _x000D_
Истории_x000D_
5 сентября 2017, 14:45_x000D_
Почему легализация марихуаны выгодна для солнечной энергетики_x000D_
Производство марихуаны по энергоемкости сравнимо с дата-центрами. И солнечные панели могут стать весьма востребованными на этом быстрорастущем рынке. Особенно, если учитывать повышенный интерес к легализации этого бизнеса (и не только в США). _x000D_
Поделиться _x000D_
Твитнуть _x000D_
Производство марихуаны - это огромна отрасль, темпы легализации которой растут с каждым годом. В 2016 году объем продаж (легальных) «готового продукта» только в Северной Америке, составил $6,73 млрд, что на 34% больше, чем в 2015. По другим данным, объемы легального рынка превысили $7 млрд, специализированное издание Cannabis Business Times._x000D_
Но отрасль эта не только прибыльна, но и весьма затратна с точки зрения энергопотребления. Так, 1% от общего энергопотребления в США приходится на площадки, где выращивают марихуану (легально). И чем больше штатов легализуют коноплю, тем больше будет появляться площадок по ее производству, и тем сильнее будет нагрузка на электросеть._x000D_
На сегодня употребление конопли легально в девяти штатах: Аляске, Калифорнии, Колорадо, Мэне, Массачусетсе, Неваде, Орегоне, Вашингтоне и Вашингтоне, округ Колумбия (D.C). При этом еще в 30 штатах марихуану разрешено употреблять исключительно в медицинских целях._x000D_
Помимо указанных штатов в США, конопля легализована полностью в Уругвае. В ряде стран (достаточно большом) разрешено медицинское употребление конопли, в ряде стран употребление нелегально, но декриминализовано, или разрешается выращивание ограниченного количества растений для частного пользования._x000D_
_x000D_
Фото Resource Innovation Institute_x000D_
На что тратится электроэнергия_x000D_
Так, площадка для выращивания марихуаны площадью 460 кв. м потребляет около 29 тыс. кВт-ч электроэнергии (данные для площадки в Колорадо в 2015 году, где среднестатистическое домохозяйство потребляет около 630 кВт-ч энергии)._x000D_
Выращивание марихуаны требует искусственного освещения, вентиляторов, осушителей, водяных насосов и других элементов системы, которые работают круглосуточно и потребляют огромные объемы электричества._x000D_
Объекты выращивания конопли можно условно поделить на 3 категории: полностью в закрытых помещениях, в частично открытых (то есть со смешанным и искусственным, и естественных освещением), и в полностью открытых помещениях. Понятно, что чем больше легализируется марихуана, тем больше вариантов выращивать ее вне тщательно маскируемого помещения. И тем меньше трат на электроэнергию - так как доступно естественное освещение._x000D_
Основные энергозатраты при выращивании конопли на отрытой площадке - это полив и система безопасности (как же без нее), но если это закрытое помещение, то энергия нужна и для искусственного освещения, и для кондиционирования воздуха, закачки CO2, осушения, вентиляции, орошения и безопасности. На частично открытых площадках - те же затраты, но в меньших объемах - за счет того же доступа к естественному освещению._x000D_
Интересно, что на каждом этапе развития растения требуется разное количество света: на стадии проросших семян - освещение должно быть 24 часа в сутки (эта стадия длится 4 недели), когда на растении начинают появляться листья - 18 часов (на протяжении 5 недель), следующие 60 дней - до полной готовности собирать урожай - освещение нужно 12 часов в день._x000D_
При этом для выращивания конопли в преобладающем большинстве используются натриевые лампы высокого давления. А они не только светят, но и греют, поэтому идут дополнительные траты на кондиционирование воздуха, чтобы поддерживать оптимальную температуру._x000D_
Согласно данным независимого исследования, проведенного, правда, еще в 2012 году, типичное закрытое помещение для выращивания марихуаны имеет ту же плотность энергопотребления, что и центр обработки данных. На отопление, кондиционирование и вентиляцию уходит около 50% всей затрачиваемой энергии, на освещение - 33% и больше._x000D_
_x000D_
Фото the Guardian_x000D_
Как это энергопотребление можно снизить_x000D_
В первую очередь, замена ламп на энергосберегающие поможет ощутимо._x000D_
Если вместо привычных натриевых ламп отрасль перейдет на более энергоэффективные светодиодные, то согласно подсчетам, на освещении можно будет экономить до 33% электроэнергии, или 25% от общих энергозатрат. Также стоит учитывать снижение затрат на кондиционирование, так как LED-лампы не выделют столько тепла, сколько натриевые._x000D_
Но если марихуану выращивают на открытых или полуоткрытых площадках, то освещение практически полностью покрывается за счет солнечного света. И в итоге неспрятанные теплицы, которых, как можно предположить, с ускорением темпом легализации конопли будет все больше, потребляют как минимум на одну треть меньше энергии, чем скрытые от солнца._x000D_
При этом, как показывает практика, не всегда в тех штатах, где марихуана легализована, люди выводят свои «проекты» на дневной свет. Согласно тенденции, около 50% площадок для выращивания конопли в США все же действуют в закрытых помещениях, так как там легче контролировать процесс роста растений, и в итоге получается более качественный продукт, который будет стоить дороже, процентов на 47 (то есть затраты на энергопотребление с лихвой окупятся)._x000D_
Во-вторых, для экономии энергии важно максимально автоматизировать процесс выращивания. Это может быть автоматическое включение полива, автоматическое включение/выключение освещения, в зависимости от фазы, а также синхронизация этих двух процессов. Не меньшую экономию принесут модернизированные системы вентиляции и кондиционирования воздуха._x000D_
Во-третьих, можно устанавливать солнечные батареи._x000D_
Если раньше солнечные панели чаще использовались нелегальными теплицами, чтобы скрыть подозрительно высокие траты электроэнергии, то сейчас, когда легализация марихуаны набирает оборотов, солнечные батареи рассматриваются уже как самый простой способ снизить энергопотребление и нагрузку на электросети - эксперты, ссылаясь на небывалый рост количества легальных конопляных плантаций, особенно подчеркивают растущие риски нарушения работы энергосетей, из-за высоких нагрузок. И рекомендуют размещать на крышах закрытых помещений, в которых растет конопля, солнечные панели._x000D_
«По-хорошему» солнечные панели могут покрывать около 25% энергопотребления этого бизнеса, который по энергоемкости сравним с дата-центрами, говорят эксперты Scale Microgrid Solutions, которые консультируют фермеров, работающих в закрытых помещениях, среди которых много выращивающих коноплю (легально)._x000D_
И при этом они призывают компании, работающие на рынке солнечной энергии, обратить внимание на таких энергоемких потребителей - ведь ряд производителей марихуаны намерены превратить свое дело в долгоиграющий источник прибыли и нацелены даже на создание собственного бренда. А в современном мире ни одному бренду не навредит репутация того, что он экологичный, так как пользуется «зелеными источниками» энергии._x000D_
Энергонезависимость при этом тоже может привлечь внимание крупных производителей к солнечным панелям. Ведь п</t>
  </si>
  <si>
    <t xml:space="preserve"> Но отрасль эта не только прибыльна, но и весьма затратна с точки зрения энергопотребления. Так, 1% от общего энергопотребления в США приходится на площадки, где выращивают марихуану (легально). И чем больше штатов легализуют коноплю, тем больше будет появляться площадок по ее производству, и тем сильнее будет нагрузка на электросеть._x000D_ На сегодня употребление конопли легально в девяти штатах: Аляске, Калифорнии, Колорадо, Мэне, Массачусетсе, Неваде, Орегоне, Вашингтоне и Вашингтоне, округ Колумбия (D.C). При этом еще в 30 штатах марихуану разрешено употреблять исключительно в медицинских целях._x000D_ Помимо указанных штатов в США, конопля легализована полностью в Уругвае. В ряде стран (достаточно большом) разрешено медицинское употребление конопли, в ряде стран употребление нелегально, но декриминализовано, или разрешается выращивание ограниченного количества растений для частного пользования._x000D_ Выращивание марихуаны требует искусственного освещения, вентиляторов, осушителей, водяных насосов и других элементов системы, которые работают круглосуточно и потребляют огромные объемы электричества._x000D_ Объекты выращивания конопли можно условно поделить на 3 категории: полностью в закрытых помещениях, в частично открытых (то есть со смешанным и искусственным, и естественных освещением), и в полностью открытых помещениях. Понятно, что чем больше легализируется марихуана, тем больше вариантов выращивать ее вне тщательно маскируемого помещения. И тем меньше трат на электроэнергию - так как доступно естественное освещение._x000D_ Основные энергозатраты при выращивании конопли на отрытой площадке - это полив и система безопасности (как же без нее), но если это закрытое помещение, то энергия нужна и для искусственного освещения, и для кондиционирования воздуха, закачки CO2, осушения, вентиляции, орошения и безопасности. На частично открытых площадках - те же затраты, но в меньших объемах - за счет того же доступа к естественному освещению._x000D_ Интересно, что на каждом этапе развития растения требуется разное количество света: на стадии проросших семян - освещение должно быть 24 часа в сутки (эта стадия длится 4 недели), когда на растении начинают появляться листья - 18 часов (на протяжении 5 недель), следующие 60 дней - до полной готовности собирать урожай - освещение нужно 12 часов в день._x000D_ При этом для выращивания конопли в преобладающем большинстве используются натриевые лампы высокого давления. А они не только светят, но и греют, поэтому идут дополнительные траты на кондиционирование воздуха, чтобы поддерживать оптимальную температуру._x000D_ Согласно данным независимого исследования, проведенного, правда, еще в 2012 году, типичное закрытое помещение для выращивания марихуаны имеет ту же плотность энергопотребления, что и центр обработки данных. На отопление, кондиционирование и вентиляцию уходит около 50% всей затрачиваемой энергии, на освещение - 33% и больше._x000D_ Если вместо привычных натриевых ламп отрасль перейдет на более энергоэффективные светодиодные, то согласно подсчетам, на освещении можно будет экономить до 33% электроэнергии, или 25% от общих энергозатрат. Также стоит учитывать снижение затрат на кондиционирование, так как LED-лампы не выделют столько тепла, сколько натриевые._x000D_ Но если марихуану выращивают на открытых или полуоткрытых площадках, то освещение практически полностью покрывается за счет солнечного света. И в итоге неспрятанные теплицы, которых, как можно предположить, с ускорением темпом легализации конопли будет все больше, потребляют как минимум на одну треть меньше энергии, чем скрытые от солнца._x000D_ Во-вторых, для экономии энергии важно максимально автоматизировать процесс выращивания. Это может быть автоматическое включение полива, автоматическое включение/выключение освещения, в зависимости от фазы, а также синхронизация этих двух процессов. Не меньшую экономию принесут модернизированные системы вентиляции и кондиционирования воздуха._x000D_ Если раньше солнечные панели чаще использовались нелегальными теплицами, чтобы скрыть подозрительно высокие траты электроэнергии, то сейчас, когда легализация марихуаны набирает оборотов, солнечные батареи рассматриваются уже как самый простой способ снизить энергопотребление и нагрузку на электросети - эксперты, ссылаясь на небывалый рост количества легальных конопляных плантаций, особенно подчеркивают растущие риски нарушения работы энергосетей, из-за высоких нагрузок. И рекомендуют размещать на крышах закрытых помещений, в которых растет конопля, солнечные панели._x000D_ И при этом они призывают компании, работающие на рынке солнечной энергии, обратить внимание на таких энергоемких потребителей - ведь ряд производителей марихуаны намерены превратить свое дело в долгоиграющий источник прибыли и нацелены даже на создание собственного бренда. А в современном мире ни одному бренду не навредит репутация того, что он экологичный, так как пользуется «зелеными источниками» энергии._x000D_ Энергонезависимость при этом тоже может привлечь внимание крупных производителей к солнечным панелям. Ведь потеря электроснабжения на один день некоторым владельцам больших «конопляных теплиц» может обойтись в кругленькую сумму - до $1 млн._x000D_ Солнечная установка, каких бы размеров она ни была - это инвестиция с немалым сроком окупаемости - в районе 6+ лет, в зависимости от региона._x000D_ А участников рынка, которые сремятся к созданию собственного бренда и планируют заниматься этим «агроремеслом» десяток лет не так уж и много. Большинство существующих производителей марихуаны не заинтересованы в том, чтобы ждать эти 6 и больше лет, пока солнечная установка окупиться - они хотят просто заработать по-быстрому._x000D_</t>
  </si>
  <si>
    <t xml:space="preserve"> Но отрасль эта не только прибыльна, но и весьма затратна с точки зрения энергопотребления. Так, 1% от общего энергопотребления в США приходится на площадки, где выращивают марихуану (легально). И чем больше штатов легализуют коноплю, тем больше будет появляться площадок по ее производству, и тем сильнее будет нагрузка на электросеть._x000D_ На сегодня употребление конопли легально в девяти штатах: Аляске, Калифорнии, Колорадо, Мэне, Массачусетсе, Неваде, Орегоне, Вашингтоне и Вашингтоне, округ Колумбия (D.C). При этом еще в 30 штатах марихуану разрешено употреблять исключительно в медицинских целях._x000D_ Помимо указанных штатов в США, конопля легализована полностью в Уругвае. В ряде стран (достаточно большом) разрешено медицинское употребление конопли, в ряде стран употребление нелегально, но декриминализовано, или разрешается выращивание ограниченного количества растений для частного пользования._x000D_ Выращивание марихуаны требует искусственного освещения, вентиляторов, осушителей, водяных насосов и других элементов системы, которые работают круглосуточно и потребляют огромные объемы электричества._x000D_ Объекты выращивания конопли можно условно поделить на 3 категории: полностью в закрытых помещениях, в частично открытых (то есть со смешанным и искусственным, и естественных освещением), и в полностью открытых помещениях. Понятно, что чем больше легализируется марихуана, тем больше вариантов выращивать ее вне тщательно маскируемого помещения. </t>
  </si>
  <si>
    <t xml:space="preserve">Але ця галузь не тільки прибуткова, але й досить дорога з погляду енергоспоживання. Так, 1% від загального енергоспоживання в США припадає на майданчики, де вирощують марихуану (легально). І чим більше штатів легалізують коноплі, тим більше буде з'являтися майданчиків по її виробництву, і тим сильніше буде навантаження на електромережу. На сьогодні вживання конопель легально в дев'яти штатах: Алясці, Каліфорнії, Колорадо, Мені, Массачусетсі, Неваді, Орегоні, Вашинґтоні та Вашингтоні, округ Колумбія (D. C). При цьому ще в 30 штатах дозволено вживати марихуану виключно у медичних цілях. Крім зазначених штатів у США, коноплі повністю легалізована в Уругваї. У ряді країн (досить великий) дозволено медичне вживання конопель, у ряді країн вживання нелегально, але декриміналізовано, чи дозволяється вирощування обмеженої кількості рослин для приватного користування. Вирощування марихуани вимагає штучного освітлення, вентиляторів, осушувачів, водяних насосів та інших елементів системи, які працюють цілодобово і споживають величезні обсяги електрики. Об'єкти вирощування конопель можна умовно поділити на 3 категорії: повністю у закритих приміщеннях, частково відкритих (тобто зі змішаним і штучним, і природних освітленням), і повністю відкритих приміщеннях. </t>
  </si>
  <si>
    <t>Чим вигідна сонячна енергія.</t>
  </si>
  <si>
    <t>[caption id="" align="aligncenter" width="350"]&lt;img src="http://greenevolution.ru/wp-content/uploads/2015/07/252-630x319.jpg" alt="" width="350" height="300" /&gt; Чим вигідна сонячна енергія.[/caption]    Але ця галузь не тільки прибуткова, але й досить дорога з погляду енергоспоживання. Так, 1% від загального енергоспоживання в США припадає на майданчики, де вирощують марихуану (легально). І чим більше штатів легалізують коноплі, тим більше буде з'являтися майданчиків по її виробництву, і тим сильніше буде навантаження на електромережу. На сьогодні вживання конопель легально в дев'яти штатах: Алясці, Каліфорнії, Колорадо, Мені, Массачусетсі, Неваді, Орегоні, Вашинґтоні та Вашингтоні, округ Колумбія (D. Також ви можете знайти все необхідне на ресурсі &lt;a href="https://sunbeam.dp.ua/g24049005-setevye-solnechnye-elektrostantsii" title="выбрать здесь"&gt;выбрать здесь&lt;/a&gt;._x000D_
    C). При цьому ще в 30 штатах дозволено вживати марихуану виключно у медичних цілях. Крім зазначених штатів у США, коноплі повністю легалізована в Уругваї. У ряді країн (досить великий) дозволено медичне вживання конопель, у ряді країн вживання нелегально, але декриміналізовано, чи дозволяється вирощування обмеженої кількості рослин для приватного користування. Вирощування марихуани вимагає штучного освітлення, вентиляторів, осушувачів, водяних насосів та інших елементів системи, які працюють цілодобово і споживають величезні обсяги електрики. _x000D_
     Об'єкти вирощування конопель можна умовно поділити на 3 категорії: повністю у закритих приміщеннях, частково відкритих (тобто зі змішаним і штучним, і природних освітленням), і повністю відкритих приміщеннях. Зрозуміло, що чим більше легалізується марихуана, тим більше варіантів вирощувати її поза ретельно маскируемого приміщення.</t>
  </si>
  <si>
    <t>http://ve4e.com.ua/chim-vigidna-sonyachna-energiya/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</si>
</sst>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1">
    <xf numFmtId="0" fontId="0" fillId="0" borderId="0"/>
  </cellStyleXfs>
  <cellXfs count="62">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1">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N36"/>
  <sheetViews>
    <sheetView zoomScale="80" zoomScaleNormal="80" workbookViewId="0">
      <selection activeCell="B8" sqref="B8:L8"/>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0" ht="16.5" customHeight="1" thickBot="1" x14ac:dyDescent="0.35">
      <c r="A1" s="58" t="str">
        <f xml:space="preserve"> "Авторизация"</f>
        <v>Авторизация</v>
      </c>
      <c r="B1" s="59"/>
      <c r="C1" s="39"/>
      <c r="D1" s="39"/>
      <c r="E1" s="42" t="s">
        <v>54</v>
      </c>
      <c r="F1" s="42" t="s">
        <v>43</v>
      </c>
    </row>
    <row r="2" spans="1:40" ht="15.6" x14ac:dyDescent="0.3">
      <c r="A2" s="54" t="s">
        <v>502</v>
      </c>
      <c r="B2" s="51" t="s">
        <v>504</v>
      </c>
      <c r="C2" s="39"/>
      <c r="D2" s="39"/>
      <c r="E2" s="44" t="s">
        <v>509</v>
      </c>
      <c r="F2" s="43" t="s">
        <v>619</v>
      </c>
    </row>
    <row r="3" spans="1:40" x14ac:dyDescent="0.3">
      <c r="A3" s="55" t="s">
        <v>503</v>
      </c>
      <c r="B3" s="52" t="s">
        <v>505</v>
      </c>
      <c r="C3" s="39"/>
      <c r="D3" s="39"/>
      <c r="E3" s="39"/>
      <c r="F3" s="39"/>
    </row>
    <row r="4" spans="1:40" x14ac:dyDescent="0.3">
      <c r="A4" s="55" t="s">
        <v>428</v>
      </c>
      <c r="B4" s="52" t="s">
        <v>506</v>
      </c>
      <c r="C4" s="40"/>
      <c r="D4" s="39"/>
      <c r="E4" s="39"/>
      <c r="F4" s="39"/>
    </row>
    <row r="5" spans="1:40" ht="15" thickBot="1" x14ac:dyDescent="0.35">
      <c r="A5" s="56" t="s">
        <v>438</v>
      </c>
      <c r="B5" s="53" t="s">
        <v>626</v>
      </c>
      <c r="C5" s="41"/>
      <c r="D5" s="39"/>
      <c r="E5" s="39"/>
      <c r="F5" s="39"/>
    </row>
    <row r="6" spans="1:40" x14ac:dyDescent="0.3">
      <c r="E6" s="39"/>
    </row>
    <row r="7" spans="1:40" x14ac:dyDescent="0.3">
      <c r="A7" s="2" t="s">
        <v>5</v>
      </c>
      <c r="B7" s="57">
        <v>28582610</v>
      </c>
      <c r="C7" s="57">
        <v>28585568</v>
      </c>
      <c r="D7" s="57">
        <v>28585562</v>
      </c>
      <c r="E7" s="57">
        <v>28589032</v>
      </c>
      <c r="F7" s="57">
        <v>28589104</v>
      </c>
      <c r="G7" s="1">
        <v>28590421</v>
      </c>
      <c r="H7" s="57">
        <v>28585565</v>
      </c>
      <c r="I7" s="57">
        <v>28585566</v>
      </c>
      <c r="J7" s="57">
        <v>28586508</v>
      </c>
      <c r="K7" s="57">
        <v>28583579</v>
      </c>
      <c r="L7" s="57">
        <v>28589019</v>
      </c>
      <c r="M7"/>
      <c r="N7"/>
      <c r="O7"/>
      <c r="P7"/>
      <c r="Q7"/>
      <c r="R7"/>
      <c r="S7"/>
      <c r="T7"/>
      <c r="U7"/>
      <c r="V7"/>
      <c r="W7"/>
      <c r="X7"/>
      <c r="Y7"/>
      <c r="Z7"/>
      <c r="AA7"/>
      <c r="AB7"/>
      <c r="AC7"/>
      <c r="AD7"/>
      <c r="AE7"/>
      <c r="AF7"/>
      <c r="AG7"/>
      <c r="AH7"/>
      <c r="AI7"/>
      <c r="AJ7"/>
      <c r="AK7"/>
      <c r="AL7"/>
      <c r="AM7"/>
      <c r="AN7"/>
    </row>
    <row r="8" spans="1:40" x14ac:dyDescent="0.3">
      <c r="A8" s="2" t="s">
        <v>6</v>
      </c>
      <c r="B8" s="1" t="s">
        <v>586</v>
      </c>
      <c r="C8" s="1" t="s">
        <v>586</v>
      </c>
      <c r="D8" s="1" t="s">
        <v>586</v>
      </c>
      <c r="E8" s="1" t="s">
        <v>507</v>
      </c>
      <c r="F8" s="1" t="s">
        <v>507</v>
      </c>
      <c r="G8" s="1" t="s">
        <v>507</v>
      </c>
      <c r="H8" s="1" t="s">
        <v>586</v>
      </c>
      <c r="I8" s="1" t="s">
        <v>586</v>
      </c>
      <c r="J8" s="1" t="s">
        <v>586</v>
      </c>
      <c r="K8" s="1" t="s">
        <v>507</v>
      </c>
      <c r="L8" s="1" t="s">
        <v>507</v>
      </c>
      <c r="M8"/>
      <c r="N8"/>
      <c r="O8"/>
      <c r="P8"/>
      <c r="Q8"/>
      <c r="R8"/>
      <c r="S8"/>
      <c r="T8"/>
      <c r="U8"/>
      <c r="V8"/>
      <c r="W8"/>
      <c r="X8"/>
      <c r="Y8"/>
      <c r="Z8"/>
      <c r="AA8"/>
      <c r="AB8"/>
      <c r="AC8"/>
      <c r="AD8"/>
      <c r="AE8"/>
      <c r="AF8"/>
      <c r="AG8"/>
      <c r="AH8"/>
      <c r="AI8"/>
      <c r="AJ8"/>
      <c r="AK8"/>
      <c r="AL8"/>
      <c r="AM8"/>
      <c r="AN8"/>
    </row>
    <row r="9" spans="1:40" x14ac:dyDescent="0.3">
      <c r="A9" s="2" t="s">
        <v>7</v>
      </c>
      <c r="B9" s="1" t="s">
        <v>587</v>
      </c>
      <c r="C9" s="1" t="s">
        <v>593</v>
      </c>
      <c r="D9" s="1" t="s">
        <v>597</v>
      </c>
      <c r="E9" s="1" t="s">
        <v>648</v>
      </c>
      <c r="F9" s="1" t="s">
        <v>652</v>
      </c>
      <c r="G9" s="1" t="s">
        <v>676</v>
      </c>
      <c r="H9" s="1" t="s">
        <v>599</v>
      </c>
      <c r="I9" s="1" t="s">
        <v>603</v>
      </c>
      <c r="J9" s="1" t="s">
        <v>621</v>
      </c>
      <c r="K9" s="1" t="s">
        <v>657</v>
      </c>
      <c r="L9" s="1" t="s">
        <v>660</v>
      </c>
      <c r="M9"/>
      <c r="N9"/>
      <c r="O9"/>
      <c r="P9"/>
      <c r="Q9"/>
      <c r="R9"/>
      <c r="S9"/>
      <c r="T9"/>
      <c r="U9"/>
      <c r="V9"/>
      <c r="W9"/>
      <c r="X9"/>
      <c r="Y9"/>
      <c r="Z9"/>
      <c r="AA9"/>
      <c r="AB9"/>
      <c r="AC9"/>
      <c r="AD9"/>
      <c r="AE9"/>
      <c r="AF9"/>
      <c r="AG9"/>
      <c r="AH9"/>
      <c r="AI9"/>
      <c r="AJ9"/>
      <c r="AK9"/>
      <c r="AL9"/>
      <c r="AM9"/>
      <c r="AN9"/>
    </row>
    <row r="10" spans="1:40" x14ac:dyDescent="0.3">
      <c r="A10" s="2" t="s">
        <v>8</v>
      </c>
      <c r="B10" s="1"/>
      <c r="C10" s="1"/>
      <c r="D10" s="1"/>
      <c r="E10" s="1" t="s">
        <v>620</v>
      </c>
      <c r="F10" s="1" t="s">
        <v>620</v>
      </c>
      <c r="G10" s="1" t="s">
        <v>677</v>
      </c>
      <c r="H10" s="1"/>
      <c r="I10" s="1"/>
      <c r="J10" s="1"/>
      <c r="K10" s="1" t="s">
        <v>537</v>
      </c>
      <c r="L10" s="1" t="s">
        <v>620</v>
      </c>
      <c r="M10"/>
      <c r="N10"/>
      <c r="O10"/>
      <c r="P10"/>
      <c r="Q10"/>
      <c r="R10"/>
      <c r="S10"/>
      <c r="T10"/>
      <c r="U10"/>
      <c r="V10"/>
      <c r="W10"/>
      <c r="X10"/>
      <c r="Y10"/>
      <c r="Z10"/>
      <c r="AA10"/>
      <c r="AB10"/>
      <c r="AC10"/>
      <c r="AD10"/>
      <c r="AE10"/>
      <c r="AF10"/>
      <c r="AG10"/>
      <c r="AH10"/>
      <c r="AI10"/>
      <c r="AJ10"/>
      <c r="AK10"/>
      <c r="AL10"/>
      <c r="AM10"/>
      <c r="AN10"/>
    </row>
    <row r="11" spans="1:40" x14ac:dyDescent="0.3">
      <c r="A11" s="2" t="s">
        <v>9</v>
      </c>
      <c r="B11" s="1" t="s">
        <v>212</v>
      </c>
      <c r="C11" s="1" t="s">
        <v>212</v>
      </c>
      <c r="D11" s="1" t="s">
        <v>481</v>
      </c>
      <c r="E11" s="1" t="s">
        <v>141</v>
      </c>
      <c r="F11" s="1" t="s">
        <v>206</v>
      </c>
      <c r="G11" s="1" t="s">
        <v>142</v>
      </c>
      <c r="H11" s="1" t="s">
        <v>600</v>
      </c>
      <c r="I11" s="1" t="s">
        <v>364</v>
      </c>
      <c r="J11" s="1" t="s">
        <v>622</v>
      </c>
      <c r="K11" s="1" t="s">
        <v>540</v>
      </c>
      <c r="L11" s="1" t="s">
        <v>394</v>
      </c>
      <c r="M11"/>
      <c r="N11"/>
      <c r="O11"/>
      <c r="P11"/>
      <c r="Q11"/>
      <c r="R11"/>
      <c r="S11"/>
      <c r="T11"/>
      <c r="U11"/>
      <c r="V11"/>
      <c r="W11"/>
      <c r="X11"/>
      <c r="Y11"/>
      <c r="Z11"/>
      <c r="AA11"/>
      <c r="AB11"/>
      <c r="AC11"/>
      <c r="AD11"/>
      <c r="AE11"/>
      <c r="AF11"/>
      <c r="AG11"/>
      <c r="AH11"/>
      <c r="AI11"/>
      <c r="AJ11"/>
      <c r="AK11"/>
      <c r="AL11"/>
      <c r="AM11"/>
      <c r="AN11"/>
    </row>
    <row r="12" spans="1:40" x14ac:dyDescent="0.3">
      <c r="A12" s="2" t="s">
        <v>10</v>
      </c>
      <c r="B12" s="1" t="s">
        <v>588</v>
      </c>
      <c r="C12" s="1"/>
      <c r="D12" s="1"/>
      <c r="E12" s="1" t="s">
        <v>689</v>
      </c>
      <c r="F12" s="1" t="s">
        <v>689</v>
      </c>
      <c r="G12" s="1"/>
      <c r="H12" s="1"/>
      <c r="I12" s="1"/>
      <c r="J12" s="1"/>
      <c r="K12" s="1" t="s">
        <v>658</v>
      </c>
      <c r="L12" s="1" t="s">
        <v>674</v>
      </c>
      <c r="M12"/>
      <c r="N12"/>
      <c r="O12"/>
      <c r="P12"/>
      <c r="Q12"/>
      <c r="R12"/>
      <c r="S12"/>
      <c r="T12"/>
      <c r="U12"/>
      <c r="V12"/>
      <c r="W12"/>
      <c r="X12"/>
      <c r="Y12"/>
      <c r="Z12"/>
      <c r="AA12"/>
      <c r="AB12"/>
      <c r="AC12"/>
      <c r="AD12"/>
      <c r="AE12"/>
      <c r="AF12"/>
      <c r="AG12"/>
      <c r="AH12"/>
      <c r="AI12"/>
      <c r="AJ12"/>
      <c r="AK12"/>
      <c r="AL12"/>
      <c r="AM12"/>
      <c r="AN12"/>
    </row>
    <row r="13" spans="1:40" x14ac:dyDescent="0.3">
      <c r="A13" s="2" t="s">
        <v>11</v>
      </c>
      <c r="B13" s="1">
        <v>350</v>
      </c>
      <c r="C13" s="1">
        <v>350</v>
      </c>
      <c r="D13" s="1">
        <v>250</v>
      </c>
      <c r="E13" s="1">
        <v>50</v>
      </c>
      <c r="F13" s="1">
        <v>50</v>
      </c>
      <c r="G13" s="1">
        <v>50</v>
      </c>
      <c r="H13" s="1">
        <v>200</v>
      </c>
      <c r="I13" s="1">
        <v>250</v>
      </c>
      <c r="J13" s="1">
        <v>300</v>
      </c>
      <c r="K13" s="1">
        <v>50</v>
      </c>
      <c r="L13" s="1">
        <v>50</v>
      </c>
      <c r="M13"/>
      <c r="N13"/>
      <c r="O13"/>
      <c r="P13"/>
      <c r="Q13"/>
      <c r="R13"/>
      <c r="S13"/>
      <c r="T13"/>
      <c r="U13"/>
      <c r="V13"/>
      <c r="W13"/>
      <c r="X13"/>
      <c r="Y13"/>
      <c r="Z13"/>
      <c r="AA13"/>
      <c r="AB13"/>
      <c r="AC13"/>
      <c r="AD13"/>
      <c r="AE13"/>
      <c r="AF13"/>
      <c r="AG13"/>
      <c r="AH13"/>
      <c r="AI13"/>
      <c r="AJ13"/>
      <c r="AK13"/>
      <c r="AL13"/>
      <c r="AM13"/>
      <c r="AN13"/>
    </row>
    <row r="14" spans="1:40" x14ac:dyDescent="0.3">
      <c r="A14" s="2" t="s">
        <v>12</v>
      </c>
      <c r="B14" s="1" t="s">
        <v>589</v>
      </c>
      <c r="C14" s="1" t="s">
        <v>594</v>
      </c>
      <c r="D14" s="1" t="s">
        <v>598</v>
      </c>
      <c r="E14" s="1" t="s">
        <v>649</v>
      </c>
      <c r="F14" s="1" t="s">
        <v>653</v>
      </c>
      <c r="G14" s="1" t="s">
        <v>678</v>
      </c>
      <c r="H14" s="1" t="s">
        <v>594</v>
      </c>
      <c r="I14" s="1" t="s">
        <v>594</v>
      </c>
      <c r="J14" s="1" t="s">
        <v>623</v>
      </c>
      <c r="K14" s="1" t="s">
        <v>640</v>
      </c>
      <c r="L14" s="1" t="s">
        <v>661</v>
      </c>
      <c r="M14"/>
      <c r="N14"/>
      <c r="O14"/>
      <c r="P14"/>
      <c r="Q14"/>
      <c r="R14"/>
      <c r="S14"/>
      <c r="T14"/>
      <c r="U14"/>
      <c r="V14"/>
      <c r="W14"/>
      <c r="X14"/>
      <c r="Y14"/>
      <c r="Z14"/>
      <c r="AA14"/>
      <c r="AB14"/>
      <c r="AC14"/>
      <c r="AD14"/>
      <c r="AE14"/>
      <c r="AF14"/>
      <c r="AG14"/>
      <c r="AH14"/>
      <c r="AI14"/>
      <c r="AJ14"/>
      <c r="AK14"/>
      <c r="AL14"/>
      <c r="AM14"/>
      <c r="AN14"/>
    </row>
    <row r="15" spans="1:40" x14ac:dyDescent="0.3">
      <c r="A15" s="2" t="s">
        <v>13</v>
      </c>
      <c r="B15" s="1" t="s">
        <v>590</v>
      </c>
      <c r="C15" s="1" t="s">
        <v>595</v>
      </c>
      <c r="D15" s="1" t="s">
        <v>595</v>
      </c>
      <c r="E15" s="1" t="s">
        <v>650</v>
      </c>
      <c r="F15" s="1" t="s">
        <v>654</v>
      </c>
      <c r="G15" s="1" t="s">
        <v>679</v>
      </c>
      <c r="H15" s="1" t="s">
        <v>601</v>
      </c>
      <c r="I15" s="1" t="s">
        <v>604</v>
      </c>
      <c r="J15" s="1" t="s">
        <v>624</v>
      </c>
      <c r="K15" s="1" t="s">
        <v>641</v>
      </c>
      <c r="L15" s="1" t="s">
        <v>662</v>
      </c>
      <c r="M15"/>
      <c r="N15"/>
      <c r="O15"/>
      <c r="P15"/>
      <c r="Q15"/>
      <c r="R15"/>
      <c r="S15"/>
      <c r="T15"/>
      <c r="U15"/>
      <c r="V15"/>
      <c r="W15"/>
      <c r="X15"/>
      <c r="Y15"/>
      <c r="Z15"/>
      <c r="AA15"/>
      <c r="AB15"/>
      <c r="AC15"/>
      <c r="AD15"/>
      <c r="AE15"/>
      <c r="AF15"/>
      <c r="AG15"/>
      <c r="AH15"/>
      <c r="AI15"/>
      <c r="AJ15"/>
      <c r="AK15"/>
      <c r="AL15"/>
      <c r="AM15"/>
      <c r="AN15"/>
    </row>
    <row r="16" spans="1:40" x14ac:dyDescent="0.3">
      <c r="A16" s="2" t="s">
        <v>14</v>
      </c>
      <c r="B16" s="1"/>
      <c r="C16" s="1"/>
      <c r="D16" s="1"/>
      <c r="E16" s="1"/>
      <c r="F16" s="1"/>
      <c r="G16" s="1"/>
      <c r="H16" s="1"/>
      <c r="I16" s="1"/>
      <c r="J16" s="1"/>
      <c r="K16" s="1"/>
      <c r="L16" s="1"/>
      <c r="M16"/>
      <c r="N16"/>
      <c r="O16"/>
      <c r="P16"/>
      <c r="Q16"/>
      <c r="R16"/>
      <c r="S16"/>
      <c r="T16"/>
      <c r="U16"/>
      <c r="V16"/>
      <c r="W16"/>
      <c r="X16"/>
      <c r="Y16"/>
      <c r="Z16"/>
      <c r="AA16"/>
      <c r="AB16"/>
      <c r="AC16"/>
      <c r="AD16"/>
      <c r="AE16"/>
      <c r="AF16"/>
      <c r="AG16"/>
      <c r="AH16"/>
      <c r="AI16"/>
      <c r="AJ16"/>
      <c r="AK16"/>
      <c r="AL16"/>
      <c r="AM16"/>
      <c r="AN16"/>
    </row>
    <row r="17" spans="1:40" x14ac:dyDescent="0.3">
      <c r="A17" s="2" t="s">
        <v>15</v>
      </c>
      <c r="B17" s="1"/>
      <c r="C17" s="1"/>
      <c r="D17" s="1"/>
      <c r="E17" s="1"/>
      <c r="F17" s="1"/>
      <c r="G17" s="1"/>
      <c r="H17" s="1"/>
      <c r="I17" s="1"/>
      <c r="J17" s="1"/>
      <c r="K17" s="1"/>
      <c r="L17" s="1"/>
      <c r="M17"/>
      <c r="N17"/>
      <c r="O17"/>
      <c r="P17"/>
      <c r="Q17"/>
      <c r="R17"/>
      <c r="S17"/>
      <c r="T17"/>
      <c r="U17"/>
      <c r="V17"/>
      <c r="W17"/>
      <c r="X17"/>
      <c r="Y17"/>
      <c r="Z17"/>
      <c r="AA17"/>
      <c r="AB17"/>
      <c r="AC17"/>
      <c r="AD17"/>
      <c r="AE17"/>
      <c r="AF17"/>
      <c r="AG17"/>
      <c r="AH17"/>
      <c r="AI17"/>
      <c r="AJ17"/>
      <c r="AK17"/>
      <c r="AL17"/>
      <c r="AM17"/>
      <c r="AN17"/>
    </row>
    <row r="18" spans="1:40" x14ac:dyDescent="0.3">
      <c r="A18" s="2" t="s">
        <v>16</v>
      </c>
      <c r="B18" s="1"/>
      <c r="C18" s="1"/>
      <c r="D18" s="1"/>
      <c r="E18" s="1"/>
      <c r="F18" s="1"/>
      <c r="G18" s="1"/>
      <c r="H18" s="1"/>
      <c r="I18" s="1"/>
      <c r="J18" s="1"/>
      <c r="K18" s="1"/>
      <c r="L18" s="1"/>
      <c r="M18"/>
      <c r="N18"/>
      <c r="O18"/>
      <c r="P18"/>
      <c r="Q18"/>
      <c r="R18"/>
      <c r="S18"/>
      <c r="T18"/>
      <c r="U18"/>
      <c r="V18"/>
      <c r="W18"/>
      <c r="X18"/>
      <c r="Y18"/>
      <c r="Z18"/>
      <c r="AA18"/>
      <c r="AB18"/>
      <c r="AC18"/>
      <c r="AD18"/>
      <c r="AE18"/>
      <c r="AF18"/>
      <c r="AG18"/>
      <c r="AH18"/>
      <c r="AI18"/>
      <c r="AJ18"/>
      <c r="AK18"/>
      <c r="AL18"/>
      <c r="AM18"/>
      <c r="AN18"/>
    </row>
    <row r="19" spans="1:40" x14ac:dyDescent="0.3">
      <c r="A19" s="2" t="s">
        <v>17</v>
      </c>
      <c r="B19" s="1">
        <v>2</v>
      </c>
      <c r="C19" s="1">
        <v>0</v>
      </c>
      <c r="D19" s="1">
        <v>0</v>
      </c>
      <c r="E19" s="1">
        <v>0</v>
      </c>
      <c r="F19" s="1">
        <v>0</v>
      </c>
      <c r="G19" s="1">
        <v>0</v>
      </c>
      <c r="H19" s="1">
        <v>0</v>
      </c>
      <c r="I19" s="1">
        <v>0</v>
      </c>
      <c r="J19" s="1">
        <v>0</v>
      </c>
      <c r="K19" s="1">
        <v>2</v>
      </c>
      <c r="L19" s="1">
        <v>0</v>
      </c>
      <c r="M19"/>
      <c r="N19"/>
      <c r="O19"/>
      <c r="P19"/>
      <c r="Q19"/>
      <c r="R19"/>
      <c r="S19"/>
      <c r="T19"/>
      <c r="U19"/>
      <c r="V19"/>
      <c r="W19"/>
      <c r="X19"/>
      <c r="Y19"/>
      <c r="Z19"/>
      <c r="AA19"/>
      <c r="AB19"/>
      <c r="AC19"/>
      <c r="AD19"/>
      <c r="AE19"/>
      <c r="AF19"/>
      <c r="AG19"/>
      <c r="AH19"/>
      <c r="AI19"/>
      <c r="AJ19"/>
      <c r="AK19"/>
      <c r="AL19"/>
      <c r="AM19"/>
      <c r="AN19"/>
    </row>
    <row r="20" spans="1:40" x14ac:dyDescent="0.3">
      <c r="A20" s="2" t="s">
        <v>18</v>
      </c>
      <c r="B20" s="1">
        <v>0</v>
      </c>
      <c r="C20" s="1">
        <v>0</v>
      </c>
      <c r="D20" s="1">
        <v>0</v>
      </c>
      <c r="E20" s="1">
        <v>0</v>
      </c>
      <c r="F20" s="1">
        <v>0</v>
      </c>
      <c r="G20" s="1">
        <v>0</v>
      </c>
      <c r="H20" s="1">
        <v>0</v>
      </c>
      <c r="I20" s="1">
        <v>0</v>
      </c>
      <c r="J20" s="1">
        <v>0</v>
      </c>
      <c r="K20" s="1">
        <v>0</v>
      </c>
      <c r="L20" s="1">
        <v>0</v>
      </c>
      <c r="M20"/>
      <c r="N20"/>
      <c r="O20"/>
      <c r="P20"/>
      <c r="Q20"/>
      <c r="R20"/>
      <c r="S20"/>
      <c r="T20"/>
      <c r="U20"/>
      <c r="V20"/>
      <c r="W20"/>
      <c r="X20"/>
      <c r="Y20"/>
      <c r="Z20"/>
      <c r="AA20"/>
      <c r="AB20"/>
      <c r="AC20"/>
      <c r="AD20"/>
      <c r="AE20"/>
      <c r="AF20"/>
      <c r="AG20"/>
      <c r="AH20"/>
      <c r="AI20"/>
      <c r="AJ20"/>
      <c r="AK20"/>
      <c r="AL20"/>
      <c r="AM20"/>
      <c r="AN20"/>
    </row>
    <row r="21" spans="1:40" x14ac:dyDescent="0.3">
      <c r="A21" s="2" t="s">
        <v>19</v>
      </c>
      <c r="B21" s="1" t="s">
        <v>591</v>
      </c>
      <c r="C21" s="1" t="s">
        <v>596</v>
      </c>
      <c r="D21" s="1" t="s">
        <v>596</v>
      </c>
      <c r="E21" s="1" t="s">
        <v>651</v>
      </c>
      <c r="F21" s="1" t="s">
        <v>655</v>
      </c>
      <c r="G21" s="1" t="s">
        <v>680</v>
      </c>
      <c r="H21" s="1" t="s">
        <v>602</v>
      </c>
      <c r="I21" s="1" t="s">
        <v>605</v>
      </c>
      <c r="J21" s="1" t="s">
        <v>625</v>
      </c>
      <c r="K21" s="1" t="s">
        <v>642</v>
      </c>
      <c r="L21" s="1" t="s">
        <v>663</v>
      </c>
      <c r="M21"/>
      <c r="N21"/>
      <c r="O21"/>
      <c r="P21"/>
      <c r="Q21"/>
      <c r="R21"/>
      <c r="S21"/>
      <c r="T21"/>
      <c r="U21"/>
      <c r="V21"/>
      <c r="W21"/>
      <c r="X21"/>
      <c r="Y21"/>
      <c r="Z21"/>
      <c r="AA21"/>
      <c r="AB21"/>
      <c r="AC21"/>
      <c r="AD21"/>
      <c r="AE21"/>
      <c r="AF21"/>
      <c r="AG21"/>
      <c r="AH21"/>
      <c r="AI21"/>
      <c r="AJ21"/>
      <c r="AK21"/>
      <c r="AL21"/>
      <c r="AM21"/>
      <c r="AN21"/>
    </row>
    <row r="22" spans="1:40" x14ac:dyDescent="0.3">
      <c r="A22" s="2" t="s">
        <v>20</v>
      </c>
      <c r="B22" s="1" t="b">
        <v>0</v>
      </c>
      <c r="C22" s="1" t="b">
        <v>0</v>
      </c>
      <c r="D22" s="1" t="b">
        <v>0</v>
      </c>
      <c r="E22" s="1" t="b">
        <v>0</v>
      </c>
      <c r="F22" s="1" t="b">
        <v>0</v>
      </c>
      <c r="G22" s="1" t="b">
        <v>0</v>
      </c>
      <c r="H22" s="1" t="b">
        <v>0</v>
      </c>
      <c r="I22" s="1" t="b">
        <v>0</v>
      </c>
      <c r="J22" s="1" t="b">
        <v>0</v>
      </c>
      <c r="K22" s="1" t="b">
        <v>0</v>
      </c>
      <c r="L22" s="1" t="b">
        <v>0</v>
      </c>
      <c r="M22"/>
      <c r="N22"/>
      <c r="O22"/>
      <c r="P22"/>
      <c r="Q22"/>
      <c r="R22"/>
      <c r="S22"/>
      <c r="T22"/>
      <c r="U22"/>
      <c r="V22"/>
      <c r="W22"/>
      <c r="X22"/>
      <c r="Y22"/>
      <c r="Z22"/>
      <c r="AA22"/>
      <c r="AB22"/>
      <c r="AC22"/>
      <c r="AD22"/>
      <c r="AE22"/>
      <c r="AF22"/>
      <c r="AG22"/>
      <c r="AH22"/>
      <c r="AI22"/>
      <c r="AJ22"/>
      <c r="AK22"/>
      <c r="AL22"/>
      <c r="AM22"/>
      <c r="AN22"/>
    </row>
    <row r="23" spans="1:40" x14ac:dyDescent="0.3">
      <c r="A23" s="2" t="s">
        <v>21</v>
      </c>
      <c r="B23" s="1"/>
      <c r="C23" s="1"/>
      <c r="D23" s="1"/>
      <c r="E23" s="1"/>
      <c r="F23" s="1"/>
      <c r="G23" s="1"/>
      <c r="H23" s="1"/>
      <c r="I23" s="1"/>
      <c r="J23" s="1"/>
      <c r="K23" s="1"/>
      <c r="L23" s="1" t="s">
        <v>682</v>
      </c>
      <c r="M23"/>
      <c r="N23"/>
      <c r="O23"/>
      <c r="P23"/>
      <c r="Q23"/>
      <c r="R23"/>
      <c r="S23"/>
      <c r="T23"/>
      <c r="U23"/>
      <c r="V23"/>
      <c r="W23"/>
      <c r="X23"/>
      <c r="Y23"/>
      <c r="Z23"/>
      <c r="AA23"/>
      <c r="AB23"/>
      <c r="AC23"/>
      <c r="AD23"/>
      <c r="AE23"/>
      <c r="AF23"/>
      <c r="AG23"/>
      <c r="AH23"/>
      <c r="AI23"/>
      <c r="AJ23"/>
      <c r="AK23"/>
      <c r="AL23"/>
      <c r="AM23"/>
      <c r="AN23"/>
    </row>
    <row r="24" spans="1:40" x14ac:dyDescent="0.3">
      <c r="A24" s="2" t="s">
        <v>0</v>
      </c>
      <c r="B24" s="1" t="s">
        <v>592</v>
      </c>
      <c r="C24" s="1" t="s">
        <v>592</v>
      </c>
      <c r="D24" s="1" t="s">
        <v>592</v>
      </c>
      <c r="E24" s="1" t="s">
        <v>647</v>
      </c>
      <c r="F24" s="1" t="s">
        <v>656</v>
      </c>
      <c r="G24" s="1" t="s">
        <v>681</v>
      </c>
      <c r="H24" s="1" t="s">
        <v>592</v>
      </c>
      <c r="I24" s="1" t="s">
        <v>592</v>
      </c>
      <c r="J24" s="1" t="s">
        <v>592</v>
      </c>
      <c r="K24" s="1" t="s">
        <v>659</v>
      </c>
      <c r="L24" s="1" t="s">
        <v>647</v>
      </c>
      <c r="M24"/>
      <c r="N24"/>
      <c r="O24"/>
      <c r="P24"/>
      <c r="Q24"/>
      <c r="R24"/>
      <c r="S24"/>
      <c r="T24"/>
      <c r="U24"/>
      <c r="V24"/>
      <c r="W24"/>
      <c r="X24"/>
      <c r="Y24"/>
      <c r="Z24"/>
      <c r="AA24"/>
      <c r="AB24"/>
      <c r="AC24"/>
      <c r="AD24"/>
      <c r="AE24"/>
      <c r="AF24"/>
      <c r="AG24"/>
      <c r="AH24"/>
      <c r="AI24"/>
      <c r="AJ24"/>
      <c r="AK24"/>
      <c r="AL24"/>
      <c r="AM24"/>
      <c r="AN24"/>
    </row>
    <row r="25" spans="1:40" x14ac:dyDescent="0.3">
      <c r="A25" s="31" t="s">
        <v>1</v>
      </c>
      <c r="B25" t="s">
        <v>608</v>
      </c>
      <c r="C25" t="s">
        <v>608</v>
      </c>
      <c r="D25" t="s">
        <v>608</v>
      </c>
      <c r="E25" t="s">
        <v>234</v>
      </c>
      <c r="F25" t="s">
        <v>517</v>
      </c>
      <c r="G25" t="s">
        <v>610</v>
      </c>
      <c r="H25" t="s">
        <v>608</v>
      </c>
      <c r="I25" t="s">
        <v>608</v>
      </c>
      <c r="J25" t="s">
        <v>608</v>
      </c>
      <c r="K25" t="s">
        <v>551</v>
      </c>
      <c r="L25" t="s">
        <v>234</v>
      </c>
      <c r="M25"/>
      <c r="N25"/>
      <c r="O25"/>
      <c r="P25"/>
      <c r="Q25"/>
      <c r="R25"/>
      <c r="S25"/>
      <c r="T25"/>
      <c r="U25"/>
      <c r="V25"/>
      <c r="W25"/>
      <c r="X25"/>
      <c r="Y25"/>
      <c r="Z25"/>
      <c r="AA25"/>
      <c r="AB25"/>
      <c r="AC25"/>
      <c r="AD25"/>
      <c r="AE25"/>
      <c r="AF25"/>
      <c r="AG25"/>
      <c r="AH25"/>
      <c r="AI25"/>
      <c r="AJ25"/>
      <c r="AK25"/>
      <c r="AL25"/>
      <c r="AM25"/>
      <c r="AN25"/>
    </row>
    <row r="26" spans="1:40" x14ac:dyDescent="0.3">
      <c r="A26" s="3" t="s">
        <v>30</v>
      </c>
      <c r="B26" t="s">
        <v>606</v>
      </c>
      <c r="C26" t="s">
        <v>606</v>
      </c>
      <c r="D26" t="s">
        <v>606</v>
      </c>
      <c r="E26" t="s">
        <v>648</v>
      </c>
      <c r="F26" t="s">
        <v>652</v>
      </c>
      <c r="G26" t="s">
        <v>676</v>
      </c>
      <c r="H26" t="s">
        <v>606</v>
      </c>
      <c r="I26" t="s">
        <v>606</v>
      </c>
      <c r="J26" t="s">
        <v>606</v>
      </c>
      <c r="K26" t="s">
        <v>657</v>
      </c>
      <c r="L26" t="s">
        <v>660</v>
      </c>
      <c r="M26"/>
      <c r="N26"/>
      <c r="O26"/>
      <c r="P26"/>
      <c r="Q26"/>
      <c r="R26"/>
      <c r="S26"/>
      <c r="T26"/>
      <c r="U26"/>
      <c r="V26"/>
      <c r="W26"/>
      <c r="X26"/>
      <c r="Y26"/>
      <c r="Z26"/>
      <c r="AA26"/>
      <c r="AB26"/>
      <c r="AC26"/>
      <c r="AD26"/>
      <c r="AE26"/>
      <c r="AF26"/>
      <c r="AG26"/>
      <c r="AH26"/>
      <c r="AI26"/>
      <c r="AJ26"/>
      <c r="AK26"/>
      <c r="AL26"/>
      <c r="AM26"/>
      <c r="AN26"/>
    </row>
    <row r="27" spans="1:40" x14ac:dyDescent="0.3">
      <c r="A27" s="3" t="s">
        <v>42</v>
      </c>
      <c r="B27" s="1" t="s">
        <v>607</v>
      </c>
      <c r="C27" s="1" t="s">
        <v>607</v>
      </c>
      <c r="D27" s="1" t="s">
        <v>607</v>
      </c>
      <c r="E27" s="1" t="s">
        <v>666</v>
      </c>
      <c r="F27" s="1" t="s">
        <v>683</v>
      </c>
      <c r="G27" s="1" t="s">
        <v>686</v>
      </c>
      <c r="H27" s="1" t="s">
        <v>607</v>
      </c>
      <c r="I27" s="1" t="s">
        <v>607</v>
      </c>
      <c r="J27" s="1" t="s">
        <v>607</v>
      </c>
      <c r="K27" s="1" t="s">
        <v>687</v>
      </c>
      <c r="L27" s="1" t="s">
        <v>688</v>
      </c>
      <c r="M27"/>
      <c r="N27"/>
      <c r="O27"/>
      <c r="P27"/>
      <c r="Q27"/>
      <c r="R27"/>
      <c r="S27"/>
      <c r="T27"/>
      <c r="U27"/>
      <c r="V27"/>
      <c r="W27"/>
      <c r="X27"/>
      <c r="Y27"/>
      <c r="Z27"/>
      <c r="AA27"/>
      <c r="AB27"/>
      <c r="AC27"/>
      <c r="AD27"/>
      <c r="AE27"/>
      <c r="AF27"/>
      <c r="AG27"/>
      <c r="AH27"/>
      <c r="AI27"/>
      <c r="AJ27"/>
      <c r="AK27"/>
      <c r="AL27"/>
      <c r="AM27"/>
      <c r="AN27"/>
    </row>
    <row r="28" spans="1:40" x14ac:dyDescent="0.3">
      <c r="A28" s="3" t="s">
        <v>50</v>
      </c>
      <c r="B28" t="s">
        <v>585</v>
      </c>
      <c r="C28" t="s">
        <v>413</v>
      </c>
      <c r="D28" t="s">
        <v>413</v>
      </c>
      <c r="E28" t="s">
        <v>413</v>
      </c>
      <c r="F28" t="s">
        <v>413</v>
      </c>
      <c r="G28" t="s">
        <v>413</v>
      </c>
      <c r="H28" t="s">
        <v>413</v>
      </c>
      <c r="I28" t="s">
        <v>413</v>
      </c>
      <c r="J28" t="s">
        <v>413</v>
      </c>
      <c r="K28" t="s">
        <v>585</v>
      </c>
      <c r="L28" t="s">
        <v>585</v>
      </c>
      <c r="M28"/>
      <c r="N28"/>
      <c r="O28"/>
      <c r="P28"/>
      <c r="Q28"/>
      <c r="R28"/>
      <c r="S28"/>
      <c r="T28"/>
      <c r="U28"/>
      <c r="V28"/>
      <c r="W28"/>
      <c r="X28"/>
      <c r="Y28"/>
      <c r="Z28"/>
      <c r="AA28"/>
      <c r="AB28"/>
      <c r="AC28"/>
      <c r="AD28"/>
      <c r="AE28"/>
      <c r="AF28"/>
      <c r="AG28"/>
      <c r="AH28"/>
      <c r="AI28"/>
      <c r="AJ28"/>
      <c r="AK28"/>
      <c r="AL28"/>
      <c r="AM28"/>
      <c r="AN28"/>
    </row>
    <row r="29" spans="1:40" x14ac:dyDescent="0.3">
      <c r="A29" s="50" t="s">
        <v>67</v>
      </c>
      <c r="B29"/>
      <c r="C29"/>
      <c r="D29"/>
      <c r="E29" s="1" t="s">
        <v>664</v>
      </c>
      <c r="F29" s="1" t="s">
        <v>667</v>
      </c>
      <c r="G29" s="1" t="s">
        <v>684</v>
      </c>
      <c r="H29"/>
      <c r="I29"/>
      <c r="J29"/>
      <c r="K29" s="1" t="s">
        <v>643</v>
      </c>
      <c r="L29" s="1" t="s">
        <v>664</v>
      </c>
      <c r="M29"/>
      <c r="N29"/>
      <c r="O29"/>
      <c r="P29"/>
      <c r="Q29"/>
      <c r="R29"/>
      <c r="S29"/>
      <c r="T29"/>
      <c r="U29"/>
      <c r="V29"/>
      <c r="W29"/>
      <c r="X29"/>
      <c r="Y29"/>
      <c r="Z29"/>
      <c r="AA29"/>
      <c r="AB29"/>
      <c r="AC29"/>
      <c r="AD29"/>
      <c r="AE29"/>
      <c r="AF29"/>
      <c r="AG29"/>
      <c r="AH29"/>
      <c r="AI29"/>
      <c r="AJ29"/>
      <c r="AK29"/>
      <c r="AL29"/>
      <c r="AM29"/>
      <c r="AN29"/>
    </row>
    <row r="30" spans="1:40" x14ac:dyDescent="0.3">
      <c r="A30" s="32" t="s">
        <v>113</v>
      </c>
      <c r="B30" s="1" t="s">
        <v>508</v>
      </c>
      <c r="C30" s="1" t="s">
        <v>508</v>
      </c>
      <c r="D30" s="1" t="s">
        <v>508</v>
      </c>
      <c r="E30" s="1" t="s">
        <v>665</v>
      </c>
      <c r="F30" s="1" t="s">
        <v>508</v>
      </c>
      <c r="G30" s="1" t="s">
        <v>685</v>
      </c>
      <c r="H30" s="1" t="s">
        <v>508</v>
      </c>
      <c r="I30" s="1" t="s">
        <v>508</v>
      </c>
      <c r="J30" s="1" t="s">
        <v>508</v>
      </c>
      <c r="K30" s="1" t="s">
        <v>644</v>
      </c>
      <c r="L30" s="1" t="s">
        <v>665</v>
      </c>
      <c r="M30"/>
      <c r="N30"/>
      <c r="O30"/>
      <c r="P30"/>
      <c r="Q30"/>
      <c r="R30"/>
      <c r="S30"/>
      <c r="T30"/>
      <c r="U30"/>
      <c r="V30"/>
      <c r="W30"/>
      <c r="X30"/>
      <c r="Y30"/>
      <c r="Z30"/>
      <c r="AA30"/>
      <c r="AB30"/>
      <c r="AC30"/>
      <c r="AD30"/>
      <c r="AE30"/>
      <c r="AF30"/>
      <c r="AG30"/>
      <c r="AH30"/>
      <c r="AI30"/>
      <c r="AJ30"/>
      <c r="AK30"/>
      <c r="AL30"/>
      <c r="AM30"/>
      <c r="AN30"/>
    </row>
    <row r="31" spans="1:40" x14ac:dyDescent="0.3">
      <c r="A31" s="32" t="s">
        <v>43</v>
      </c>
      <c r="B31" t="s">
        <v>503</v>
      </c>
      <c r="C31" t="s">
        <v>503</v>
      </c>
      <c r="D31" t="s">
        <v>503</v>
      </c>
      <c r="E31" t="s">
        <v>503</v>
      </c>
      <c r="F31" t="s">
        <v>503</v>
      </c>
      <c r="G31" t="s">
        <v>503</v>
      </c>
      <c r="H31" t="s">
        <v>428</v>
      </c>
      <c r="I31" t="s">
        <v>428</v>
      </c>
      <c r="J31" t="s">
        <v>428</v>
      </c>
      <c r="K31" t="s">
        <v>428</v>
      </c>
      <c r="L31" t="s">
        <v>438</v>
      </c>
      <c r="M31"/>
      <c r="N31"/>
      <c r="O31"/>
      <c r="P31"/>
      <c r="Q31"/>
      <c r="R31"/>
      <c r="S31"/>
      <c r="T31"/>
      <c r="U31"/>
      <c r="V31"/>
      <c r="W31"/>
      <c r="X31"/>
      <c r="Y31"/>
      <c r="Z31"/>
      <c r="AA31"/>
      <c r="AB31"/>
      <c r="AC31"/>
      <c r="AD31"/>
      <c r="AE31"/>
      <c r="AF31"/>
      <c r="AG31"/>
      <c r="AH31"/>
      <c r="AI31"/>
      <c r="AJ31"/>
      <c r="AK31"/>
      <c r="AL31"/>
      <c r="AM31"/>
      <c r="AN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V15"/>
  <sheetViews>
    <sheetView zoomScale="70" zoomScaleNormal="70" workbookViewId="0">
      <selection activeCell="T5" sqref="T5"/>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1" t="s">
        <v>33</v>
      </c>
      <c r="B1" s="61"/>
      <c r="C1" s="22" t="s">
        <v>39</v>
      </c>
      <c r="D1" s="23"/>
      <c r="L1" s="8" t="s">
        <v>44</v>
      </c>
    </row>
    <row r="2" spans="1:22" s="17" customFormat="1" ht="31.5" customHeight="1" thickBot="1" x14ac:dyDescent="0.35">
      <c r="A2" s="60" t="s">
        <v>675</v>
      </c>
      <c r="B2" s="60"/>
      <c r="C2" s="24">
        <f>COUNTA(A:A)-2</f>
        <v>13</v>
      </c>
      <c r="D2" s="12" t="s">
        <v>43</v>
      </c>
      <c r="E2" s="12" t="s">
        <v>46</v>
      </c>
      <c r="F2" s="13" t="s">
        <v>23</v>
      </c>
      <c r="G2" s="14" t="s">
        <v>45</v>
      </c>
      <c r="H2" s="15" t="s">
        <v>24</v>
      </c>
      <c r="I2" s="21" t="s">
        <v>51</v>
      </c>
      <c r="J2" s="16" t="s">
        <v>22</v>
      </c>
      <c r="L2" s="20" t="s">
        <v>2</v>
      </c>
      <c r="N2" s="18" t="s">
        <v>25</v>
      </c>
      <c r="P2" s="19" t="s">
        <v>3</v>
      </c>
      <c r="R2" s="25" t="s">
        <v>31</v>
      </c>
      <c r="T2" s="12" t="s">
        <v>32</v>
      </c>
      <c r="U2" s="33" t="s">
        <v>70</v>
      </c>
      <c r="V2" s="26" t="s">
        <v>38</v>
      </c>
    </row>
    <row r="3" spans="1:22" x14ac:dyDescent="0.3">
      <c r="A3">
        <v>28585568</v>
      </c>
      <c r="D3" t="s">
        <v>503</v>
      </c>
      <c r="E3" t="s">
        <v>212</v>
      </c>
      <c r="G3" s="48">
        <v>43123.561111111114</v>
      </c>
      <c r="I3" t="s">
        <v>413</v>
      </c>
      <c r="L3" s="1" t="s">
        <v>615</v>
      </c>
      <c r="T3" t="s">
        <v>554</v>
      </c>
      <c r="U3" t="s">
        <v>555</v>
      </c>
      <c r="V3" t="s">
        <v>220</v>
      </c>
    </row>
    <row r="4" spans="1:22" x14ac:dyDescent="0.3">
      <c r="A4">
        <v>28585562</v>
      </c>
      <c r="D4" t="s">
        <v>503</v>
      </c>
      <c r="E4" t="s">
        <v>481</v>
      </c>
      <c r="G4" s="48">
        <v>43123.561111111114</v>
      </c>
      <c r="I4" t="s">
        <v>413</v>
      </c>
      <c r="L4" s="1" t="s">
        <v>615</v>
      </c>
      <c r="T4" t="s">
        <v>554</v>
      </c>
      <c r="U4" t="s">
        <v>555</v>
      </c>
      <c r="V4" t="s">
        <v>220</v>
      </c>
    </row>
    <row r="5" spans="1:22" x14ac:dyDescent="0.3">
      <c r="A5">
        <v>28590421</v>
      </c>
      <c r="D5" t="s">
        <v>503</v>
      </c>
      <c r="E5" t="s">
        <v>142</v>
      </c>
      <c r="G5" s="48">
        <v>43129.450694444444</v>
      </c>
      <c r="I5" t="s">
        <v>413</v>
      </c>
      <c r="L5" s="1" t="s">
        <v>707</v>
      </c>
      <c r="R5" t="s">
        <v>706</v>
      </c>
      <c r="T5" t="s">
        <v>708</v>
      </c>
      <c r="U5" t="s">
        <v>535</v>
      </c>
      <c r="V5" t="b">
        <v>1</v>
      </c>
    </row>
    <row r="6" spans="1:22" x14ac:dyDescent="0.3">
      <c r="A6" t="s">
        <v>692</v>
      </c>
      <c r="F6" s="1" t="s">
        <v>693</v>
      </c>
      <c r="H6" s="1" t="s">
        <v>694</v>
      </c>
      <c r="J6" s="1" t="s">
        <v>695</v>
      </c>
      <c r="L6" s="1" t="s">
        <v>696</v>
      </c>
      <c r="N6" s="1" t="s">
        <v>697</v>
      </c>
      <c r="P6" s="1">
        <v>5.0999999999999996</v>
      </c>
    </row>
    <row r="7" spans="1:22" x14ac:dyDescent="0.3">
      <c r="A7" t="s">
        <v>690</v>
      </c>
      <c r="F7" s="1" t="s">
        <v>672</v>
      </c>
    </row>
    <row r="8" spans="1:22" x14ac:dyDescent="0.3">
      <c r="A8" t="s">
        <v>691</v>
      </c>
      <c r="F8" s="1" t="s">
        <v>698</v>
      </c>
      <c r="H8" s="1" t="s">
        <v>673</v>
      </c>
    </row>
    <row r="9" spans="1:22" x14ac:dyDescent="0.3">
      <c r="A9" t="s">
        <v>691</v>
      </c>
      <c r="F9" t="s">
        <v>634</v>
      </c>
    </row>
    <row r="10" spans="1:22" x14ac:dyDescent="0.3">
      <c r="A10" t="s">
        <v>699</v>
      </c>
      <c r="F10" s="1" t="s">
        <v>672</v>
      </c>
    </row>
    <row r="11" spans="1:22" x14ac:dyDescent="0.3">
      <c r="A11" t="s">
        <v>700</v>
      </c>
      <c r="F11" s="1" t="s">
        <v>672</v>
      </c>
    </row>
    <row r="12" spans="1:22" x14ac:dyDescent="0.3">
      <c r="A12" t="s">
        <v>701</v>
      </c>
      <c r="F12" s="1" t="s">
        <v>702</v>
      </c>
      <c r="H12" s="1" t="s">
        <v>703</v>
      </c>
      <c r="J12" s="1" t="s">
        <v>704</v>
      </c>
      <c r="L12" s="1" t="s">
        <v>706</v>
      </c>
      <c r="N12" s="1" t="s">
        <v>705</v>
      </c>
      <c r="P12" s="1">
        <v>100</v>
      </c>
    </row>
    <row r="13" spans="1:22" x14ac:dyDescent="0.3">
      <c r="A13">
        <v>28585565</v>
      </c>
      <c r="D13" t="s">
        <v>428</v>
      </c>
      <c r="E13" t="s">
        <v>600</v>
      </c>
      <c r="G13" s="48">
        <v>43123.561111111114</v>
      </c>
      <c r="I13" t="s">
        <v>413</v>
      </c>
      <c r="L13" s="1" t="s">
        <v>615</v>
      </c>
      <c r="T13" t="s">
        <v>554</v>
      </c>
      <c r="U13" t="s">
        <v>555</v>
      </c>
      <c r="V13" t="s">
        <v>220</v>
      </c>
    </row>
    <row r="14" spans="1:22" x14ac:dyDescent="0.3">
      <c r="A14">
        <v>28585566</v>
      </c>
      <c r="D14" t="s">
        <v>428</v>
      </c>
      <c r="E14" t="s">
        <v>364</v>
      </c>
      <c r="G14" s="48">
        <v>43123.561111111114</v>
      </c>
      <c r="I14" t="s">
        <v>413</v>
      </c>
      <c r="L14" s="1" t="s">
        <v>615</v>
      </c>
      <c r="T14" t="s">
        <v>554</v>
      </c>
      <c r="U14" t="s">
        <v>555</v>
      </c>
      <c r="V14" t="s">
        <v>220</v>
      </c>
    </row>
    <row r="15" spans="1:22" x14ac:dyDescent="0.3">
      <c r="A15">
        <v>28586508</v>
      </c>
      <c r="D15" t="s">
        <v>428</v>
      </c>
      <c r="E15" t="s">
        <v>622</v>
      </c>
      <c r="G15" s="48">
        <v>43124.686805555553</v>
      </c>
      <c r="I15" t="s">
        <v>413</v>
      </c>
      <c r="L15" s="1" t="s">
        <v>615</v>
      </c>
      <c r="T15" t="s">
        <v>554</v>
      </c>
      <c r="U15" t="s">
        <v>555</v>
      </c>
      <c r="V15" t="s">
        <v>220</v>
      </c>
    </row>
  </sheetData>
  <autoFilter ref="T1:T487"/>
  <mergeCells count="2">
    <mergeCell ref="A2:B2"/>
    <mergeCell ref="A1:B1"/>
  </mergeCells>
  <dataValidations count="7">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13">
      <formula1>"OK,NeOK,Отложить"</formula1>
    </dataValidation>
    <dataValidation type="list" allowBlank="1" showInputMessage="1" showErrorMessage="1" sqref="U14">
      <formula1>"OK,NeOK,Отложить"</formula1>
    </dataValidation>
    <dataValidation type="list" allowBlank="1" showInputMessage="1" showErrorMessage="1" sqref="U15">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E247"/>
  <sheetViews>
    <sheetView tabSelected="1" topLeftCell="A204" workbookViewId="0">
      <selection activeCell="A237" sqref="A237:E247"/>
    </sheetView>
  </sheetViews>
  <sheetFormatPr defaultRowHeight="14.4" x14ac:dyDescent="0.3"/>
  <sheetData>
    <row r="1" spans="1:5" x14ac:dyDescent="0.3">
      <c r="A1" s="45" t="s">
        <v>154</v>
      </c>
      <c r="B1" s="45" t="s">
        <v>46</v>
      </c>
      <c r="C1" s="45" t="s">
        <v>155</v>
      </c>
      <c r="D1" s="45" t="s">
        <v>51</v>
      </c>
      <c r="E1" s="46" t="s">
        <v>182</v>
      </c>
    </row>
    <row r="2" spans="1:5" x14ac:dyDescent="0.3">
      <c r="A2" s="45">
        <v>28542234</v>
      </c>
      <c r="B2" s="45" t="s">
        <v>145</v>
      </c>
      <c r="C2" s="45"/>
      <c r="D2" s="45" t="s">
        <v>174</v>
      </c>
      <c r="E2" s="39" t="s">
        <v>183</v>
      </c>
    </row>
    <row r="3" spans="1:5" x14ac:dyDescent="0.3">
      <c r="A3" s="45">
        <v>28549279</v>
      </c>
      <c r="B3" s="45" t="s">
        <v>169</v>
      </c>
      <c r="C3" s="45"/>
      <c r="D3" s="45" t="s">
        <v>174</v>
      </c>
      <c r="E3" s="39" t="s">
        <v>183</v>
      </c>
    </row>
    <row r="4" spans="1:5" x14ac:dyDescent="0.3">
      <c r="A4">
        <v>28546343</v>
      </c>
      <c r="B4" t="s">
        <v>142</v>
      </c>
      <c r="D4" s="45" t="s">
        <v>174</v>
      </c>
      <c r="E4" s="6" t="s">
        <v>186</v>
      </c>
    </row>
    <row r="5" spans="1:5" x14ac:dyDescent="0.3">
      <c r="A5" s="45">
        <v>28544868</v>
      </c>
      <c r="B5" s="45" t="s">
        <v>158</v>
      </c>
      <c r="C5" s="45" t="s">
        <v>175</v>
      </c>
      <c r="D5" s="45" t="s">
        <v>180</v>
      </c>
    </row>
    <row r="6" spans="1:5" x14ac:dyDescent="0.3">
      <c r="A6" s="45">
        <v>28546435</v>
      </c>
      <c r="B6" s="45" t="s">
        <v>159</v>
      </c>
      <c r="C6" s="45" t="s">
        <v>179</v>
      </c>
      <c r="D6" s="45" t="s">
        <v>180</v>
      </c>
    </row>
    <row r="7" spans="1:5" x14ac:dyDescent="0.3">
      <c r="A7" s="45">
        <v>28546613</v>
      </c>
      <c r="B7" s="45" t="s">
        <v>160</v>
      </c>
      <c r="C7" s="45" t="s">
        <v>173</v>
      </c>
      <c r="D7" s="45" t="s">
        <v>180</v>
      </c>
    </row>
    <row r="8" spans="1:5" x14ac:dyDescent="0.3">
      <c r="A8">
        <v>28547795</v>
      </c>
      <c r="B8" t="s">
        <v>162</v>
      </c>
      <c r="D8" s="46" t="s">
        <v>174</v>
      </c>
      <c r="E8" t="s">
        <v>181</v>
      </c>
    </row>
    <row r="9" spans="1:5" x14ac:dyDescent="0.3">
      <c r="A9" s="45">
        <v>28549107</v>
      </c>
      <c r="B9" s="45" t="s">
        <v>141</v>
      </c>
      <c r="C9" s="45"/>
      <c r="D9" s="45" t="s">
        <v>174</v>
      </c>
      <c r="E9" t="s">
        <v>183</v>
      </c>
    </row>
    <row r="10" spans="1:5" x14ac:dyDescent="0.3">
      <c r="A10" s="45">
        <v>28549521</v>
      </c>
      <c r="B10" s="45" t="s">
        <v>170</v>
      </c>
      <c r="C10" s="45"/>
      <c r="D10" s="45" t="s">
        <v>174</v>
      </c>
      <c r="E10" s="39" t="s">
        <v>183</v>
      </c>
    </row>
    <row r="11" spans="1:5" x14ac:dyDescent="0.3">
      <c r="A11" s="45">
        <v>28549420</v>
      </c>
      <c r="B11" s="45" t="s">
        <v>171</v>
      </c>
      <c r="C11" s="45" t="s">
        <v>185</v>
      </c>
      <c r="D11" s="45" t="s">
        <v>180</v>
      </c>
    </row>
    <row r="12" spans="1:5" x14ac:dyDescent="0.3">
      <c r="A12" s="45">
        <v>28539436</v>
      </c>
      <c r="B12" s="45" t="s">
        <v>140</v>
      </c>
      <c r="C12" s="45" t="s">
        <v>150</v>
      </c>
      <c r="D12" s="45" t="s">
        <v>187</v>
      </c>
    </row>
    <row r="13" spans="1:5" x14ac:dyDescent="0.3">
      <c r="A13" s="45">
        <v>28546504</v>
      </c>
      <c r="B13" s="45" t="s">
        <v>161</v>
      </c>
      <c r="C13" s="45" t="s">
        <v>188</v>
      </c>
      <c r="D13" s="45" t="s">
        <v>180</v>
      </c>
    </row>
    <row r="14" spans="1:5" x14ac:dyDescent="0.3">
      <c r="A14" s="47">
        <v>28550443</v>
      </c>
      <c r="B14" s="45" t="s">
        <v>191</v>
      </c>
      <c r="C14" s="45" t="s">
        <v>195</v>
      </c>
      <c r="D14" s="45" t="s">
        <v>180</v>
      </c>
    </row>
    <row r="15" spans="1:5" x14ac:dyDescent="0.3">
      <c r="A15" s="47">
        <v>28550474</v>
      </c>
      <c r="B15" t="s">
        <v>192</v>
      </c>
      <c r="C15" t="s">
        <v>196</v>
      </c>
      <c r="D15" s="45" t="s">
        <v>180</v>
      </c>
    </row>
    <row r="16" spans="1:5" x14ac:dyDescent="0.3">
      <c r="A16" s="47">
        <v>28546504</v>
      </c>
      <c r="B16" t="s">
        <v>161</v>
      </c>
      <c r="C16" t="s">
        <v>188</v>
      </c>
      <c r="D16" s="45" t="s">
        <v>187</v>
      </c>
    </row>
    <row r="18" spans="1:5" x14ac:dyDescent="0.3">
      <c r="A18">
        <v>28552804</v>
      </c>
      <c r="B18" t="s">
        <v>199</v>
      </c>
      <c r="C18" t="s">
        <v>203</v>
      </c>
      <c r="D18" t="s">
        <v>180</v>
      </c>
    </row>
    <row r="19" spans="1:5" x14ac:dyDescent="0.3">
      <c r="A19">
        <v>28553902</v>
      </c>
      <c r="B19" t="s">
        <v>160</v>
      </c>
      <c r="C19" t="s">
        <v>204</v>
      </c>
      <c r="D19" s="39" t="s">
        <v>180</v>
      </c>
    </row>
    <row r="20" spans="1:5" x14ac:dyDescent="0.3">
      <c r="A20" s="1">
        <v>28552247</v>
      </c>
      <c r="B20" s="1" t="s">
        <v>141</v>
      </c>
      <c r="D20" s="6" t="s">
        <v>174</v>
      </c>
      <c r="E20" t="s">
        <v>209</v>
      </c>
    </row>
    <row r="21" spans="1:5" x14ac:dyDescent="0.3">
      <c r="A21" s="47">
        <v>28546504</v>
      </c>
      <c r="B21" s="47" t="s">
        <v>161</v>
      </c>
      <c r="D21" s="6" t="s">
        <v>174</v>
      </c>
      <c r="E21" t="s">
        <v>210</v>
      </c>
    </row>
    <row r="22" spans="1:5" x14ac:dyDescent="0.3">
      <c r="A22" s="47">
        <v>28556692</v>
      </c>
      <c r="B22" s="47" t="s">
        <v>205</v>
      </c>
      <c r="D22" s="6" t="s">
        <v>174</v>
      </c>
      <c r="E22" t="s">
        <v>211</v>
      </c>
    </row>
    <row r="23" spans="1:5" x14ac:dyDescent="0.3">
      <c r="A23" s="47">
        <v>28556689</v>
      </c>
      <c r="B23" s="47" t="s">
        <v>142</v>
      </c>
      <c r="D23" s="6" t="s">
        <v>174</v>
      </c>
      <c r="E23" t="s">
        <v>211</v>
      </c>
    </row>
    <row r="24" spans="1:5" x14ac:dyDescent="0.3">
      <c r="A24" s="47">
        <v>28556977</v>
      </c>
      <c r="B24" s="47" t="s">
        <v>206</v>
      </c>
      <c r="D24" s="6" t="s">
        <v>174</v>
      </c>
      <c r="E24" t="s">
        <v>209</v>
      </c>
    </row>
    <row r="26" spans="1:5" x14ac:dyDescent="0.3">
      <c r="A26">
        <v>28560698</v>
      </c>
      <c r="B26" t="s">
        <v>212</v>
      </c>
      <c r="D26" s="6" t="s">
        <v>174</v>
      </c>
      <c r="E26" s="39" t="s">
        <v>209</v>
      </c>
    </row>
    <row r="27" spans="1:5" x14ac:dyDescent="0.3">
      <c r="A27">
        <v>28560696</v>
      </c>
      <c r="B27" t="s">
        <v>142</v>
      </c>
      <c r="C27" t="s">
        <v>215</v>
      </c>
      <c r="D27" s="6" t="s">
        <v>216</v>
      </c>
    </row>
    <row r="28" spans="1:5" x14ac:dyDescent="0.3">
      <c r="A28" s="49">
        <v>28560698</v>
      </c>
      <c r="B28" t="s">
        <v>212</v>
      </c>
      <c r="C28" s="6" t="s">
        <v>216</v>
      </c>
    </row>
    <row r="29" spans="1:5" x14ac:dyDescent="0.3">
      <c r="A29">
        <v>28561581</v>
      </c>
      <c r="B29" t="s">
        <v>217</v>
      </c>
      <c r="C29" s="6" t="s">
        <v>216</v>
      </c>
    </row>
    <row r="30" spans="1:5" x14ac:dyDescent="0.3">
      <c r="A30">
        <v>28561582</v>
      </c>
      <c r="B30" t="s">
        <v>162</v>
      </c>
      <c r="C30" s="6" t="s">
        <v>174</v>
      </c>
      <c r="D30" t="s">
        <v>252</v>
      </c>
    </row>
    <row r="31" spans="1:5" x14ac:dyDescent="0.3">
      <c r="A31">
        <v>28546504</v>
      </c>
      <c r="B31" t="s">
        <v>161</v>
      </c>
      <c r="C31" s="6" t="s">
        <v>253</v>
      </c>
    </row>
    <row r="33" spans="1:5" x14ac:dyDescent="0.3">
      <c r="A33">
        <v>28561582</v>
      </c>
      <c r="B33" t="s">
        <v>162</v>
      </c>
      <c r="D33" s="6" t="s">
        <v>174</v>
      </c>
      <c r="E33" t="s">
        <v>220</v>
      </c>
    </row>
    <row r="34" spans="1:5" x14ac:dyDescent="0.3">
      <c r="A34">
        <v>28562075</v>
      </c>
      <c r="B34" t="s">
        <v>254</v>
      </c>
      <c r="C34" t="s">
        <v>257</v>
      </c>
      <c r="D34" s="6" t="s">
        <v>216</v>
      </c>
    </row>
    <row r="35" spans="1:5" x14ac:dyDescent="0.3">
      <c r="A35" t="s">
        <v>258</v>
      </c>
      <c r="B35" t="s">
        <v>161</v>
      </c>
      <c r="D35" s="6" t="s">
        <v>259</v>
      </c>
    </row>
    <row r="36" spans="1:5" x14ac:dyDescent="0.3">
      <c r="A36">
        <v>28563723</v>
      </c>
      <c r="B36" t="s">
        <v>169</v>
      </c>
      <c r="C36" t="s">
        <v>283</v>
      </c>
      <c r="D36" s="6" t="s">
        <v>216</v>
      </c>
    </row>
    <row r="37" spans="1:5" x14ac:dyDescent="0.3">
      <c r="A37">
        <v>28563725</v>
      </c>
      <c r="B37" t="s">
        <v>170</v>
      </c>
      <c r="C37" t="s">
        <v>284</v>
      </c>
      <c r="D37" s="6" t="s">
        <v>216</v>
      </c>
    </row>
    <row r="38" spans="1:5" x14ac:dyDescent="0.3">
      <c r="A38">
        <v>28563671</v>
      </c>
      <c r="B38" t="s">
        <v>280</v>
      </c>
      <c r="C38" t="s">
        <v>285</v>
      </c>
      <c r="D38" s="6" t="s">
        <v>216</v>
      </c>
    </row>
    <row r="39" spans="1:5" x14ac:dyDescent="0.3">
      <c r="A39">
        <v>28563721</v>
      </c>
      <c r="B39" t="s">
        <v>281</v>
      </c>
      <c r="C39" t="s">
        <v>286</v>
      </c>
      <c r="D39" s="6" t="s">
        <v>216</v>
      </c>
    </row>
    <row r="40" spans="1:5" x14ac:dyDescent="0.3">
      <c r="A40">
        <v>28562625</v>
      </c>
      <c r="B40" t="s">
        <v>282</v>
      </c>
      <c r="D40" s="6" t="s">
        <v>288</v>
      </c>
      <c r="E40" t="s">
        <v>183</v>
      </c>
    </row>
    <row r="42" spans="1:5" x14ac:dyDescent="0.3">
      <c r="A42">
        <v>28567486</v>
      </c>
      <c r="B42" t="s">
        <v>291</v>
      </c>
      <c r="C42" t="s">
        <v>292</v>
      </c>
      <c r="D42" s="6" t="s">
        <v>216</v>
      </c>
    </row>
    <row r="43" spans="1:5" x14ac:dyDescent="0.3">
      <c r="A43">
        <v>28562625</v>
      </c>
      <c r="B43" t="s">
        <v>282</v>
      </c>
      <c r="D43" s="6" t="s">
        <v>174</v>
      </c>
      <c r="E43" t="s">
        <v>293</v>
      </c>
    </row>
    <row r="44" spans="1:5" x14ac:dyDescent="0.3">
      <c r="A44">
        <v>28563927</v>
      </c>
      <c r="B44" t="s">
        <v>171</v>
      </c>
      <c r="D44" s="6" t="s">
        <v>174</v>
      </c>
      <c r="E44" s="39" t="s">
        <v>293</v>
      </c>
    </row>
    <row r="46" spans="1:5" x14ac:dyDescent="0.3">
      <c r="A46">
        <v>28572285</v>
      </c>
      <c r="B46" t="s">
        <v>212</v>
      </c>
      <c r="C46" t="s">
        <v>359</v>
      </c>
      <c r="D46" s="6" t="s">
        <v>216</v>
      </c>
    </row>
    <row r="47" spans="1:5" x14ac:dyDescent="0.3">
      <c r="A47">
        <v>28572434</v>
      </c>
      <c r="B47" t="s">
        <v>294</v>
      </c>
      <c r="C47" t="s">
        <v>360</v>
      </c>
      <c r="D47" s="6" t="s">
        <v>216</v>
      </c>
    </row>
    <row r="48" spans="1:5" x14ac:dyDescent="0.3">
      <c r="A48">
        <v>28572147</v>
      </c>
      <c r="B48" t="s">
        <v>217</v>
      </c>
      <c r="C48" t="s">
        <v>362</v>
      </c>
      <c r="D48" s="6" t="s">
        <v>216</v>
      </c>
    </row>
    <row r="50" spans="1:5" x14ac:dyDescent="0.3">
      <c r="A50">
        <v>28567399</v>
      </c>
      <c r="B50" t="s">
        <v>363</v>
      </c>
      <c r="C50" t="s">
        <v>378</v>
      </c>
      <c r="D50" s="6" t="s">
        <v>216</v>
      </c>
    </row>
    <row r="51" spans="1:5" x14ac:dyDescent="0.3">
      <c r="A51">
        <v>28567404</v>
      </c>
      <c r="B51" t="s">
        <v>365</v>
      </c>
      <c r="C51" t="s">
        <v>379</v>
      </c>
      <c r="D51" s="6" t="s">
        <v>216</v>
      </c>
    </row>
    <row r="52" spans="1:5" x14ac:dyDescent="0.3">
      <c r="A52">
        <v>28567402</v>
      </c>
      <c r="B52" t="s">
        <v>366</v>
      </c>
      <c r="C52" t="s">
        <v>380</v>
      </c>
      <c r="D52" s="6" t="s">
        <v>216</v>
      </c>
    </row>
    <row r="53" spans="1:5" x14ac:dyDescent="0.3">
      <c r="A53">
        <v>28570198</v>
      </c>
      <c r="B53" t="s">
        <v>368</v>
      </c>
      <c r="C53" t="s">
        <v>381</v>
      </c>
      <c r="D53" s="6" t="s">
        <v>216</v>
      </c>
    </row>
    <row r="54" spans="1:5" x14ac:dyDescent="0.3">
      <c r="A54">
        <v>28570195</v>
      </c>
      <c r="B54" t="s">
        <v>368</v>
      </c>
      <c r="C54" t="s">
        <v>382</v>
      </c>
      <c r="D54" s="6" t="s">
        <v>216</v>
      </c>
    </row>
    <row r="55" spans="1:5" x14ac:dyDescent="0.3">
      <c r="A55">
        <v>28568341</v>
      </c>
      <c r="B55" t="s">
        <v>367</v>
      </c>
      <c r="D55" s="6" t="s">
        <v>174</v>
      </c>
      <c r="E55" t="s">
        <v>293</v>
      </c>
    </row>
    <row r="56" spans="1:5" x14ac:dyDescent="0.3">
      <c r="A56">
        <v>28571296</v>
      </c>
      <c r="B56" t="s">
        <v>368</v>
      </c>
      <c r="C56" t="s">
        <v>383</v>
      </c>
      <c r="D56" s="6" t="s">
        <v>216</v>
      </c>
    </row>
    <row r="57" spans="1:5" x14ac:dyDescent="0.3">
      <c r="A57">
        <v>28573145</v>
      </c>
      <c r="B57" t="s">
        <v>364</v>
      </c>
      <c r="E57" t="s">
        <v>384</v>
      </c>
    </row>
    <row r="58" spans="1:5" x14ac:dyDescent="0.3">
      <c r="A58" s="1">
        <v>28573132</v>
      </c>
      <c r="B58" s="1" t="s">
        <v>171</v>
      </c>
      <c r="D58" s="6" t="s">
        <v>174</v>
      </c>
      <c r="E58" s="39" t="s">
        <v>384</v>
      </c>
    </row>
    <row r="59" spans="1:5" x14ac:dyDescent="0.3">
      <c r="A59" s="1">
        <v>28573136</v>
      </c>
      <c r="B59" s="1" t="s">
        <v>141</v>
      </c>
      <c r="D59" s="6" t="s">
        <v>174</v>
      </c>
      <c r="E59" s="39" t="s">
        <v>384</v>
      </c>
    </row>
    <row r="60" spans="1:5" x14ac:dyDescent="0.3">
      <c r="A60" s="1">
        <v>28573137</v>
      </c>
      <c r="B60" s="1" t="s">
        <v>281</v>
      </c>
      <c r="D60" s="6" t="s">
        <v>174</v>
      </c>
      <c r="E60" s="39" t="s">
        <v>384</v>
      </c>
    </row>
    <row r="61" spans="1:5" x14ac:dyDescent="0.3">
      <c r="A61" s="1">
        <v>28573142</v>
      </c>
      <c r="B61" s="1" t="s">
        <v>385</v>
      </c>
      <c r="D61" s="6" t="s">
        <v>174</v>
      </c>
      <c r="E61" s="39" t="s">
        <v>384</v>
      </c>
    </row>
    <row r="62" spans="1:5" x14ac:dyDescent="0.3">
      <c r="A62" s="1">
        <v>28573139</v>
      </c>
      <c r="B62" s="1" t="s">
        <v>140</v>
      </c>
      <c r="D62" s="6" t="s">
        <v>174</v>
      </c>
      <c r="E62" s="39" t="s">
        <v>384</v>
      </c>
    </row>
    <row r="63" spans="1:5" x14ac:dyDescent="0.3">
      <c r="A63">
        <v>28567388</v>
      </c>
      <c r="B63" t="s">
        <v>386</v>
      </c>
      <c r="C63" t="s">
        <v>402</v>
      </c>
      <c r="D63" s="6" t="s">
        <v>216</v>
      </c>
    </row>
    <row r="64" spans="1:5" x14ac:dyDescent="0.3">
      <c r="A64">
        <v>28568419</v>
      </c>
      <c r="B64" t="s">
        <v>387</v>
      </c>
      <c r="C64" t="s">
        <v>403</v>
      </c>
      <c r="D64" s="6" t="s">
        <v>216</v>
      </c>
    </row>
    <row r="65" spans="1:5" x14ac:dyDescent="0.3">
      <c r="A65">
        <v>28570174</v>
      </c>
      <c r="B65" t="s">
        <v>388</v>
      </c>
      <c r="C65" t="s">
        <v>404</v>
      </c>
      <c r="D65" s="6" t="s">
        <v>216</v>
      </c>
    </row>
    <row r="66" spans="1:5" x14ac:dyDescent="0.3">
      <c r="A66">
        <v>28570566</v>
      </c>
      <c r="B66" t="s">
        <v>389</v>
      </c>
      <c r="C66" t="s">
        <v>405</v>
      </c>
      <c r="D66" s="6" t="s">
        <v>216</v>
      </c>
    </row>
    <row r="67" spans="1:5" x14ac:dyDescent="0.3">
      <c r="A67">
        <v>28570199</v>
      </c>
      <c r="B67" t="s">
        <v>390</v>
      </c>
      <c r="C67" t="s">
        <v>406</v>
      </c>
      <c r="D67" s="6" t="s">
        <v>216</v>
      </c>
    </row>
    <row r="68" spans="1:5" x14ac:dyDescent="0.3">
      <c r="A68">
        <v>28570196</v>
      </c>
      <c r="B68" t="s">
        <v>390</v>
      </c>
      <c r="C68" t="s">
        <v>407</v>
      </c>
      <c r="D68" s="6" t="s">
        <v>216</v>
      </c>
    </row>
    <row r="69" spans="1:5" x14ac:dyDescent="0.3">
      <c r="A69">
        <v>28570211</v>
      </c>
      <c r="B69" t="s">
        <v>391</v>
      </c>
      <c r="C69" t="s">
        <v>408</v>
      </c>
      <c r="D69" s="6" t="s">
        <v>216</v>
      </c>
    </row>
    <row r="70" spans="1:5" x14ac:dyDescent="0.3">
      <c r="A70">
        <v>28570197</v>
      </c>
      <c r="B70" t="s">
        <v>392</v>
      </c>
      <c r="C70" t="s">
        <v>409</v>
      </c>
      <c r="D70" s="6" t="s">
        <v>216</v>
      </c>
    </row>
    <row r="71" spans="1:5" x14ac:dyDescent="0.3">
      <c r="A71">
        <v>28572090</v>
      </c>
      <c r="B71" t="s">
        <v>393</v>
      </c>
      <c r="C71" t="s">
        <v>410</v>
      </c>
      <c r="D71" s="6" t="s">
        <v>216</v>
      </c>
    </row>
    <row r="72" spans="1:5" x14ac:dyDescent="0.3">
      <c r="A72">
        <v>28573146</v>
      </c>
      <c r="B72" t="s">
        <v>394</v>
      </c>
      <c r="D72" s="6" t="s">
        <v>174</v>
      </c>
      <c r="E72" s="39" t="s">
        <v>384</v>
      </c>
    </row>
    <row r="73" spans="1:5" x14ac:dyDescent="0.3">
      <c r="A73">
        <v>28573141</v>
      </c>
      <c r="B73" t="s">
        <v>389</v>
      </c>
      <c r="D73" s="6" t="s">
        <v>174</v>
      </c>
      <c r="E73" s="39" t="s">
        <v>384</v>
      </c>
    </row>
    <row r="74" spans="1:5" x14ac:dyDescent="0.3">
      <c r="A74">
        <v>28573133</v>
      </c>
      <c r="B74" t="s">
        <v>386</v>
      </c>
      <c r="D74" s="6" t="s">
        <v>174</v>
      </c>
      <c r="E74" s="39" t="s">
        <v>384</v>
      </c>
    </row>
    <row r="75" spans="1:5" x14ac:dyDescent="0.3">
      <c r="A75">
        <v>28573144</v>
      </c>
      <c r="B75" t="s">
        <v>395</v>
      </c>
      <c r="D75" s="6" t="s">
        <v>174</v>
      </c>
      <c r="E75" s="39" t="s">
        <v>384</v>
      </c>
    </row>
    <row r="76" spans="1:5" x14ac:dyDescent="0.3">
      <c r="A76">
        <v>28573135</v>
      </c>
      <c r="B76" t="s">
        <v>393</v>
      </c>
      <c r="D76" s="6" t="s">
        <v>174</v>
      </c>
      <c r="E76" s="39" t="s">
        <v>384</v>
      </c>
    </row>
    <row r="77" spans="1:5" x14ac:dyDescent="0.3">
      <c r="A77">
        <v>28567394</v>
      </c>
      <c r="B77" t="s">
        <v>391</v>
      </c>
      <c r="D77" s="6" t="s">
        <v>253</v>
      </c>
    </row>
    <row r="78" spans="1:5" x14ac:dyDescent="0.3">
      <c r="A78" s="47">
        <v>28567393</v>
      </c>
      <c r="B78" s="47" t="s">
        <v>396</v>
      </c>
      <c r="D78" s="6" t="s">
        <v>253</v>
      </c>
    </row>
    <row r="79" spans="1:5" x14ac:dyDescent="0.3">
      <c r="A79" s="47">
        <v>28567390</v>
      </c>
      <c r="B79" s="47" t="s">
        <v>390</v>
      </c>
      <c r="D79" s="6" t="s">
        <v>253</v>
      </c>
    </row>
    <row r="80" spans="1:5" x14ac:dyDescent="0.3">
      <c r="A80" s="47">
        <v>28567396</v>
      </c>
      <c r="B80" s="47" t="s">
        <v>397</v>
      </c>
      <c r="D80" s="6" t="s">
        <v>253</v>
      </c>
    </row>
    <row r="81" spans="1:5" x14ac:dyDescent="0.3">
      <c r="A81" s="47">
        <v>28567401</v>
      </c>
      <c r="B81" s="47" t="s">
        <v>388</v>
      </c>
      <c r="D81" s="6" t="s">
        <v>253</v>
      </c>
    </row>
    <row r="82" spans="1:5" x14ac:dyDescent="0.3">
      <c r="A82" s="47">
        <v>28567400</v>
      </c>
      <c r="B82" s="47" t="s">
        <v>389</v>
      </c>
      <c r="D82" s="6" t="s">
        <v>253</v>
      </c>
    </row>
    <row r="84" spans="1:5" x14ac:dyDescent="0.3">
      <c r="A84">
        <v>28573902</v>
      </c>
      <c r="B84" t="s">
        <v>396</v>
      </c>
      <c r="C84" t="s">
        <v>412</v>
      </c>
      <c r="D84" t="s">
        <v>180</v>
      </c>
    </row>
    <row r="86" spans="1:5" x14ac:dyDescent="0.3">
      <c r="A86" t="s">
        <v>427</v>
      </c>
    </row>
    <row r="87" spans="1:5" x14ac:dyDescent="0.3">
      <c r="A87">
        <v>28575643</v>
      </c>
      <c r="B87" t="s">
        <v>414</v>
      </c>
      <c r="C87" t="s">
        <v>420</v>
      </c>
      <c r="D87" s="39" t="s">
        <v>180</v>
      </c>
    </row>
    <row r="88" spans="1:5" x14ac:dyDescent="0.3">
      <c r="A88">
        <v>28575762</v>
      </c>
      <c r="B88" t="s">
        <v>199</v>
      </c>
      <c r="C88" t="s">
        <v>421</v>
      </c>
      <c r="D88" s="39" t="s">
        <v>180</v>
      </c>
    </row>
    <row r="89" spans="1:5" x14ac:dyDescent="0.3">
      <c r="A89">
        <v>28575760</v>
      </c>
      <c r="B89" t="s">
        <v>142</v>
      </c>
      <c r="C89" t="s">
        <v>422</v>
      </c>
      <c r="D89" s="39" t="s">
        <v>180</v>
      </c>
    </row>
    <row r="90" spans="1:5" x14ac:dyDescent="0.3">
      <c r="A90">
        <v>28576107</v>
      </c>
      <c r="B90" t="s">
        <v>142</v>
      </c>
      <c r="C90" t="s">
        <v>423</v>
      </c>
      <c r="D90" s="39" t="s">
        <v>180</v>
      </c>
    </row>
    <row r="91" spans="1:5" x14ac:dyDescent="0.3">
      <c r="A91">
        <v>28576095</v>
      </c>
      <c r="B91" t="s">
        <v>254</v>
      </c>
      <c r="C91" t="s">
        <v>424</v>
      </c>
      <c r="D91" s="39" t="s">
        <v>180</v>
      </c>
    </row>
    <row r="92" spans="1:5" x14ac:dyDescent="0.3">
      <c r="A92">
        <v>28576108</v>
      </c>
      <c r="B92" t="s">
        <v>160</v>
      </c>
      <c r="C92" t="s">
        <v>425</v>
      </c>
      <c r="D92" s="39" t="s">
        <v>180</v>
      </c>
    </row>
    <row r="93" spans="1:5" x14ac:dyDescent="0.3">
      <c r="A93">
        <v>28576070</v>
      </c>
      <c r="B93" t="s">
        <v>192</v>
      </c>
      <c r="C93" t="s">
        <v>426</v>
      </c>
      <c r="D93" s="39" t="s">
        <v>180</v>
      </c>
    </row>
    <row r="95" spans="1:5" x14ac:dyDescent="0.3">
      <c r="A95" t="s">
        <v>428</v>
      </c>
    </row>
    <row r="96" spans="1:5" x14ac:dyDescent="0.3">
      <c r="A96" s="1">
        <v>28573145</v>
      </c>
      <c r="B96" t="s">
        <v>364</v>
      </c>
      <c r="D96" t="s">
        <v>174</v>
      </c>
      <c r="E96" t="s">
        <v>434</v>
      </c>
    </row>
    <row r="97" spans="1:5" x14ac:dyDescent="0.3">
      <c r="A97" s="1">
        <v>28567404</v>
      </c>
      <c r="B97" t="s">
        <v>365</v>
      </c>
      <c r="D97" s="39" t="s">
        <v>174</v>
      </c>
      <c r="E97" t="s">
        <v>253</v>
      </c>
    </row>
    <row r="98" spans="1:5" x14ac:dyDescent="0.3">
      <c r="A98" s="1">
        <v>28575518</v>
      </c>
      <c r="B98" t="s">
        <v>429</v>
      </c>
      <c r="C98" t="s">
        <v>432</v>
      </c>
      <c r="D98" t="s">
        <v>216</v>
      </c>
    </row>
    <row r="99" spans="1:5" x14ac:dyDescent="0.3">
      <c r="A99" s="1">
        <v>28576035</v>
      </c>
      <c r="B99" t="s">
        <v>430</v>
      </c>
      <c r="C99" t="s">
        <v>437</v>
      </c>
      <c r="D99" s="39" t="s">
        <v>216</v>
      </c>
    </row>
    <row r="100" spans="1:5" x14ac:dyDescent="0.3">
      <c r="A100" s="1">
        <v>28576094</v>
      </c>
      <c r="B100" t="s">
        <v>366</v>
      </c>
      <c r="C100" t="s">
        <v>433</v>
      </c>
      <c r="D100" s="39" t="s">
        <v>216</v>
      </c>
    </row>
    <row r="102" spans="1:5" x14ac:dyDescent="0.3">
      <c r="A102" t="s">
        <v>438</v>
      </c>
    </row>
    <row r="103" spans="1:5" x14ac:dyDescent="0.3">
      <c r="A103">
        <v>28573133</v>
      </c>
      <c r="B103" t="s">
        <v>386</v>
      </c>
      <c r="D103" s="39" t="s">
        <v>174</v>
      </c>
      <c r="E103" s="39" t="s">
        <v>434</v>
      </c>
    </row>
    <row r="104" spans="1:5" x14ac:dyDescent="0.3">
      <c r="A104">
        <v>28573144</v>
      </c>
      <c r="B104" t="s">
        <v>395</v>
      </c>
      <c r="D104" s="39" t="s">
        <v>174</v>
      </c>
      <c r="E104" s="39" t="s">
        <v>434</v>
      </c>
    </row>
    <row r="105" spans="1:5" x14ac:dyDescent="0.3">
      <c r="A105">
        <v>28573135</v>
      </c>
      <c r="B105" t="s">
        <v>393</v>
      </c>
      <c r="D105" s="39" t="s">
        <v>174</v>
      </c>
      <c r="E105" s="39" t="s">
        <v>434</v>
      </c>
    </row>
    <row r="106" spans="1:5" x14ac:dyDescent="0.3">
      <c r="A106">
        <v>28575263</v>
      </c>
      <c r="B106" t="s">
        <v>392</v>
      </c>
      <c r="C106" t="s">
        <v>446</v>
      </c>
      <c r="D106" s="39" t="s">
        <v>216</v>
      </c>
    </row>
    <row r="107" spans="1:5" x14ac:dyDescent="0.3">
      <c r="A107">
        <v>28575264</v>
      </c>
      <c r="B107" t="s">
        <v>390</v>
      </c>
      <c r="C107" t="s">
        <v>447</v>
      </c>
      <c r="D107" s="39" t="s">
        <v>216</v>
      </c>
    </row>
    <row r="108" spans="1:5" x14ac:dyDescent="0.3">
      <c r="A108">
        <v>28575687</v>
      </c>
      <c r="B108" t="s">
        <v>439</v>
      </c>
      <c r="C108" t="s">
        <v>448</v>
      </c>
      <c r="D108" s="39" t="s">
        <v>216</v>
      </c>
    </row>
    <row r="109" spans="1:5" x14ac:dyDescent="0.3">
      <c r="A109">
        <v>28575686</v>
      </c>
      <c r="B109" t="s">
        <v>440</v>
      </c>
      <c r="C109" t="s">
        <v>449</v>
      </c>
      <c r="D109" s="39" t="s">
        <v>216</v>
      </c>
    </row>
    <row r="110" spans="1:5" x14ac:dyDescent="0.3">
      <c r="A110">
        <v>28576101</v>
      </c>
      <c r="B110" t="s">
        <v>393</v>
      </c>
      <c r="C110" t="s">
        <v>450</v>
      </c>
      <c r="D110" s="39" t="s">
        <v>216</v>
      </c>
    </row>
    <row r="111" spans="1:5" x14ac:dyDescent="0.3">
      <c r="A111">
        <v>28576109</v>
      </c>
      <c r="B111" t="s">
        <v>389</v>
      </c>
      <c r="C111" t="s">
        <v>451</v>
      </c>
      <c r="D111" s="39" t="s">
        <v>216</v>
      </c>
    </row>
    <row r="112" spans="1:5" x14ac:dyDescent="0.3">
      <c r="A112">
        <v>28575939</v>
      </c>
      <c r="B112" t="s">
        <v>441</v>
      </c>
      <c r="D112" s="39" t="s">
        <v>174</v>
      </c>
      <c r="E112" t="s">
        <v>293</v>
      </c>
    </row>
    <row r="113" spans="1:4" x14ac:dyDescent="0.3">
      <c r="A113">
        <v>28576096</v>
      </c>
      <c r="B113" t="s">
        <v>396</v>
      </c>
      <c r="C113" t="s">
        <v>452</v>
      </c>
      <c r="D113" t="s">
        <v>216</v>
      </c>
    </row>
    <row r="114" spans="1:4" x14ac:dyDescent="0.3">
      <c r="A114">
        <v>28576102</v>
      </c>
      <c r="B114" t="s">
        <v>393</v>
      </c>
      <c r="C114" t="s">
        <v>453</v>
      </c>
      <c r="D114" s="39" t="s">
        <v>216</v>
      </c>
    </row>
    <row r="116" spans="1:4" x14ac:dyDescent="0.3">
      <c r="A116" t="s">
        <v>427</v>
      </c>
    </row>
    <row r="117" spans="1:4" x14ac:dyDescent="0.3">
      <c r="A117">
        <v>28576625</v>
      </c>
      <c r="B117" t="s">
        <v>212</v>
      </c>
      <c r="C117" t="s">
        <v>454</v>
      </c>
      <c r="D117" t="s">
        <v>180</v>
      </c>
    </row>
    <row r="118" spans="1:4" x14ac:dyDescent="0.3">
      <c r="A118" t="s">
        <v>428</v>
      </c>
    </row>
    <row r="119" spans="1:4" x14ac:dyDescent="0.3">
      <c r="A119">
        <v>28577577</v>
      </c>
      <c r="B119" t="s">
        <v>455</v>
      </c>
      <c r="C119" t="s">
        <v>456</v>
      </c>
      <c r="D119" s="39" t="s">
        <v>180</v>
      </c>
    </row>
    <row r="120" spans="1:4" x14ac:dyDescent="0.3">
      <c r="A120" t="s">
        <v>438</v>
      </c>
    </row>
    <row r="121" spans="1:4" x14ac:dyDescent="0.3">
      <c r="A121">
        <v>28577520</v>
      </c>
      <c r="B121" t="s">
        <v>389</v>
      </c>
      <c r="C121" t="s">
        <v>458</v>
      </c>
      <c r="D121" s="39" t="s">
        <v>180</v>
      </c>
    </row>
    <row r="122" spans="1:4" x14ac:dyDescent="0.3">
      <c r="A122">
        <v>28577536</v>
      </c>
      <c r="B122" t="s">
        <v>457</v>
      </c>
      <c r="C122" t="s">
        <v>459</v>
      </c>
      <c r="D122" s="39" t="s">
        <v>180</v>
      </c>
    </row>
    <row r="123" spans="1:4" x14ac:dyDescent="0.3">
      <c r="A123">
        <v>28577251</v>
      </c>
      <c r="B123" t="s">
        <v>389</v>
      </c>
      <c r="C123" t="s">
        <v>460</v>
      </c>
      <c r="D123" s="39" t="s">
        <v>180</v>
      </c>
    </row>
    <row r="125" spans="1:4" x14ac:dyDescent="0.3">
      <c r="A125" t="s">
        <v>427</v>
      </c>
    </row>
    <row r="126" spans="1:4" x14ac:dyDescent="0.3">
      <c r="A126">
        <v>28577962</v>
      </c>
      <c r="B126" t="s">
        <v>280</v>
      </c>
      <c r="C126" t="s">
        <v>474</v>
      </c>
      <c r="D126" s="39" t="s">
        <v>180</v>
      </c>
    </row>
    <row r="127" spans="1:4" x14ac:dyDescent="0.3">
      <c r="A127">
        <v>28577996</v>
      </c>
      <c r="B127" t="s">
        <v>161</v>
      </c>
      <c r="C127" t="s">
        <v>475</v>
      </c>
      <c r="D127" s="39" t="s">
        <v>180</v>
      </c>
    </row>
    <row r="128" spans="1:4" x14ac:dyDescent="0.3">
      <c r="A128">
        <v>28578000</v>
      </c>
      <c r="B128" t="s">
        <v>294</v>
      </c>
      <c r="C128" t="s">
        <v>476</v>
      </c>
      <c r="D128" s="39" t="s">
        <v>180</v>
      </c>
    </row>
    <row r="129" spans="1:4" x14ac:dyDescent="0.3">
      <c r="A129">
        <v>28577998</v>
      </c>
      <c r="B129" t="s">
        <v>294</v>
      </c>
      <c r="C129" t="s">
        <v>477</v>
      </c>
      <c r="D129" s="39" t="s">
        <v>180</v>
      </c>
    </row>
    <row r="130" spans="1:4" x14ac:dyDescent="0.3">
      <c r="A130">
        <v>28578136</v>
      </c>
      <c r="B130" t="s">
        <v>465</v>
      </c>
      <c r="C130" t="s">
        <v>478</v>
      </c>
      <c r="D130" s="39" t="s">
        <v>180</v>
      </c>
    </row>
    <row r="131" spans="1:4" x14ac:dyDescent="0.3">
      <c r="A131">
        <v>28577958</v>
      </c>
      <c r="B131" t="s">
        <v>280</v>
      </c>
      <c r="C131" t="s">
        <v>479</v>
      </c>
      <c r="D131" s="39" t="s">
        <v>180</v>
      </c>
    </row>
    <row r="133" spans="1:4" x14ac:dyDescent="0.3">
      <c r="A133" t="s">
        <v>428</v>
      </c>
    </row>
    <row r="134" spans="1:4" x14ac:dyDescent="0.3">
      <c r="A134">
        <v>28578137</v>
      </c>
      <c r="B134" t="s">
        <v>429</v>
      </c>
      <c r="C134" t="s">
        <v>480</v>
      </c>
      <c r="D134" s="39" t="s">
        <v>180</v>
      </c>
    </row>
    <row r="136" spans="1:4" x14ac:dyDescent="0.3">
      <c r="A136" t="s">
        <v>427</v>
      </c>
    </row>
    <row r="137" spans="1:4" x14ac:dyDescent="0.3">
      <c r="A137">
        <v>28579031</v>
      </c>
      <c r="B137" t="s">
        <v>481</v>
      </c>
      <c r="C137" t="s">
        <v>486</v>
      </c>
      <c r="D137" s="39" t="s">
        <v>180</v>
      </c>
    </row>
    <row r="138" spans="1:4" x14ac:dyDescent="0.3">
      <c r="A138">
        <v>28579225</v>
      </c>
      <c r="B138" t="s">
        <v>217</v>
      </c>
      <c r="C138" t="s">
        <v>487</v>
      </c>
      <c r="D138" s="39" t="s">
        <v>180</v>
      </c>
    </row>
    <row r="140" spans="1:4" x14ac:dyDescent="0.3">
      <c r="A140" t="s">
        <v>428</v>
      </c>
    </row>
    <row r="141" spans="1:4" x14ac:dyDescent="0.3">
      <c r="A141">
        <v>28579034</v>
      </c>
      <c r="B141" t="s">
        <v>488</v>
      </c>
      <c r="C141" t="s">
        <v>489</v>
      </c>
      <c r="D141" s="39" t="s">
        <v>180</v>
      </c>
    </row>
    <row r="143" spans="1:4" x14ac:dyDescent="0.3">
      <c r="A143" t="s">
        <v>438</v>
      </c>
    </row>
    <row r="144" spans="1:4" x14ac:dyDescent="0.3">
      <c r="A144">
        <v>28579037</v>
      </c>
      <c r="B144" t="s">
        <v>439</v>
      </c>
      <c r="C144" t="s">
        <v>491</v>
      </c>
      <c r="D144" s="39" t="s">
        <v>180</v>
      </c>
    </row>
    <row r="145" spans="1:5" x14ac:dyDescent="0.3">
      <c r="A145">
        <v>28579002</v>
      </c>
      <c r="B145" t="s">
        <v>390</v>
      </c>
      <c r="C145" t="s">
        <v>492</v>
      </c>
      <c r="D145" s="39" t="s">
        <v>180</v>
      </c>
    </row>
    <row r="146" spans="1:5" x14ac:dyDescent="0.3">
      <c r="A146">
        <v>28579036</v>
      </c>
      <c r="B146" t="s">
        <v>490</v>
      </c>
      <c r="C146" t="s">
        <v>495</v>
      </c>
      <c r="D146" s="39" t="s">
        <v>180</v>
      </c>
    </row>
    <row r="148" spans="1:5" x14ac:dyDescent="0.3">
      <c r="A148" t="s">
        <v>428</v>
      </c>
    </row>
    <row r="149" spans="1:5" x14ac:dyDescent="0.3">
      <c r="A149">
        <v>28579950</v>
      </c>
      <c r="B149" t="s">
        <v>368</v>
      </c>
      <c r="C149" t="s">
        <v>496</v>
      </c>
      <c r="D149" s="39" t="s">
        <v>180</v>
      </c>
    </row>
    <row r="150" spans="1:5" x14ac:dyDescent="0.3">
      <c r="A150">
        <v>28579946</v>
      </c>
      <c r="B150" t="s">
        <v>367</v>
      </c>
      <c r="C150" t="s">
        <v>497</v>
      </c>
      <c r="D150" s="39" t="s">
        <v>180</v>
      </c>
    </row>
    <row r="152" spans="1:5" x14ac:dyDescent="0.3">
      <c r="A152" t="s">
        <v>438</v>
      </c>
    </row>
    <row r="153" spans="1:5" x14ac:dyDescent="0.3">
      <c r="A153">
        <v>28579948</v>
      </c>
      <c r="B153" t="s">
        <v>395</v>
      </c>
      <c r="C153" t="s">
        <v>499</v>
      </c>
      <c r="D153" s="39" t="s">
        <v>180</v>
      </c>
    </row>
    <row r="154" spans="1:5" x14ac:dyDescent="0.3">
      <c r="A154">
        <v>28579941</v>
      </c>
      <c r="B154" t="s">
        <v>498</v>
      </c>
      <c r="C154" t="s">
        <v>500</v>
      </c>
      <c r="D154" s="39" t="s">
        <v>180</v>
      </c>
    </row>
    <row r="155" spans="1:5" x14ac:dyDescent="0.3">
      <c r="A155">
        <v>28579951</v>
      </c>
      <c r="B155" t="s">
        <v>392</v>
      </c>
      <c r="C155" t="s">
        <v>501</v>
      </c>
      <c r="D155" s="39" t="s">
        <v>180</v>
      </c>
    </row>
    <row r="157" spans="1:5" x14ac:dyDescent="0.3">
      <c r="A157">
        <v>28580974</v>
      </c>
      <c r="B157" t="s">
        <v>503</v>
      </c>
      <c r="C157" t="s">
        <v>465</v>
      </c>
      <c r="D157" t="s">
        <v>518</v>
      </c>
      <c r="E157" s="39" t="s">
        <v>180</v>
      </c>
    </row>
    <row r="158" spans="1:5" x14ac:dyDescent="0.3">
      <c r="A158">
        <v>28581144</v>
      </c>
      <c r="B158" t="s">
        <v>503</v>
      </c>
      <c r="C158" t="s">
        <v>280</v>
      </c>
      <c r="D158" t="s">
        <v>519</v>
      </c>
      <c r="E158" s="39" t="s">
        <v>180</v>
      </c>
    </row>
    <row r="159" spans="1:5" x14ac:dyDescent="0.3">
      <c r="A159">
        <v>28581550</v>
      </c>
      <c r="B159" t="s">
        <v>503</v>
      </c>
      <c r="C159" t="s">
        <v>481</v>
      </c>
      <c r="D159" t="s">
        <v>520</v>
      </c>
      <c r="E159" s="39" t="s">
        <v>180</v>
      </c>
    </row>
    <row r="160" spans="1:5" x14ac:dyDescent="0.3">
      <c r="A160">
        <v>28581547</v>
      </c>
      <c r="B160" t="s">
        <v>503</v>
      </c>
      <c r="C160" t="s">
        <v>280</v>
      </c>
      <c r="D160" t="s">
        <v>521</v>
      </c>
      <c r="E160" s="39" t="s">
        <v>180</v>
      </c>
    </row>
    <row r="161" spans="1:5" x14ac:dyDescent="0.3">
      <c r="A161">
        <v>28581549</v>
      </c>
      <c r="B161" t="s">
        <v>503</v>
      </c>
      <c r="C161" t="s">
        <v>140</v>
      </c>
      <c r="D161" t="s">
        <v>522</v>
      </c>
      <c r="E161" s="39" t="s">
        <v>180</v>
      </c>
    </row>
    <row r="162" spans="1:5" x14ac:dyDescent="0.3">
      <c r="A162">
        <v>28581200</v>
      </c>
      <c r="B162" t="s">
        <v>503</v>
      </c>
      <c r="C162" t="s">
        <v>161</v>
      </c>
      <c r="D162" t="s">
        <v>523</v>
      </c>
      <c r="E162" s="39" t="s">
        <v>180</v>
      </c>
    </row>
    <row r="163" spans="1:5" x14ac:dyDescent="0.3">
      <c r="A163">
        <v>28581746</v>
      </c>
      <c r="B163" t="s">
        <v>503</v>
      </c>
      <c r="C163" t="s">
        <v>142</v>
      </c>
      <c r="D163" t="s">
        <v>524</v>
      </c>
      <c r="E163" s="39" t="s">
        <v>180</v>
      </c>
    </row>
    <row r="164" spans="1:5" x14ac:dyDescent="0.3">
      <c r="A164">
        <v>28582318</v>
      </c>
      <c r="B164" t="s">
        <v>503</v>
      </c>
      <c r="C164" t="s">
        <v>171</v>
      </c>
      <c r="D164" t="s">
        <v>525</v>
      </c>
      <c r="E164" s="39" t="s">
        <v>180</v>
      </c>
    </row>
    <row r="165" spans="1:5" x14ac:dyDescent="0.3">
      <c r="A165">
        <v>28580973</v>
      </c>
      <c r="B165" t="s">
        <v>428</v>
      </c>
      <c r="C165" t="s">
        <v>366</v>
      </c>
      <c r="D165" t="s">
        <v>526</v>
      </c>
      <c r="E165" s="39" t="s">
        <v>180</v>
      </c>
    </row>
    <row r="166" spans="1:5" x14ac:dyDescent="0.3">
      <c r="A166">
        <v>28580966</v>
      </c>
      <c r="B166" t="s">
        <v>428</v>
      </c>
      <c r="C166" t="s">
        <v>429</v>
      </c>
      <c r="D166" t="s">
        <v>527</v>
      </c>
      <c r="E166" s="39" t="s">
        <v>180</v>
      </c>
    </row>
    <row r="167" spans="1:5" x14ac:dyDescent="0.3">
      <c r="A167">
        <v>28580959</v>
      </c>
      <c r="B167" t="s">
        <v>438</v>
      </c>
      <c r="C167" t="s">
        <v>389</v>
      </c>
      <c r="D167" t="s">
        <v>528</v>
      </c>
      <c r="E167" s="39" t="s">
        <v>180</v>
      </c>
    </row>
    <row r="168" spans="1:5" x14ac:dyDescent="0.3">
      <c r="A168">
        <v>28581968</v>
      </c>
      <c r="B168" t="s">
        <v>438</v>
      </c>
      <c r="C168" t="s">
        <v>392</v>
      </c>
      <c r="D168" t="s">
        <v>529</v>
      </c>
      <c r="E168" s="39" t="s">
        <v>180</v>
      </c>
    </row>
    <row r="169" spans="1:5" x14ac:dyDescent="0.3">
      <c r="A169">
        <v>28582321</v>
      </c>
      <c r="B169" t="s">
        <v>438</v>
      </c>
      <c r="C169" t="s">
        <v>395</v>
      </c>
      <c r="D169" t="s">
        <v>530</v>
      </c>
      <c r="E169" s="39" t="s">
        <v>180</v>
      </c>
    </row>
    <row r="170" spans="1:5" x14ac:dyDescent="0.3">
      <c r="A170">
        <v>28581209</v>
      </c>
      <c r="B170" t="s">
        <v>503</v>
      </c>
      <c r="C170" t="s">
        <v>158</v>
      </c>
      <c r="D170" t="s">
        <v>534</v>
      </c>
      <c r="E170" s="39" t="s">
        <v>180</v>
      </c>
    </row>
    <row r="171" spans="1:5" x14ac:dyDescent="0.3">
      <c r="A171" s="1">
        <v>28576070</v>
      </c>
      <c r="B171" s="39" t="s">
        <v>503</v>
      </c>
      <c r="C171" s="1" t="s">
        <v>192</v>
      </c>
      <c r="E171" t="s">
        <v>253</v>
      </c>
    </row>
    <row r="172" spans="1:5" x14ac:dyDescent="0.3">
      <c r="A172" s="1">
        <v>28574239</v>
      </c>
      <c r="B172" s="39" t="s">
        <v>503</v>
      </c>
      <c r="C172" s="1" t="s">
        <v>141</v>
      </c>
      <c r="E172" s="39" t="s">
        <v>253</v>
      </c>
    </row>
    <row r="173" spans="1:5" x14ac:dyDescent="0.3">
      <c r="A173" s="1">
        <v>28582271</v>
      </c>
      <c r="B173" s="39" t="s">
        <v>503</v>
      </c>
      <c r="C173" s="1" t="s">
        <v>145</v>
      </c>
      <c r="E173" t="s">
        <v>536</v>
      </c>
    </row>
    <row r="175" spans="1:5" x14ac:dyDescent="0.3">
      <c r="A175">
        <v>28580968</v>
      </c>
      <c r="B175" t="s">
        <v>503</v>
      </c>
      <c r="C175" t="s">
        <v>141</v>
      </c>
      <c r="E175" t="s">
        <v>584</v>
      </c>
    </row>
    <row r="176" spans="1:5" x14ac:dyDescent="0.3">
      <c r="A176">
        <v>28582650</v>
      </c>
      <c r="B176" t="s">
        <v>503</v>
      </c>
      <c r="C176" t="s">
        <v>217</v>
      </c>
      <c r="D176" t="s">
        <v>556</v>
      </c>
      <c r="E176" s="39" t="s">
        <v>180</v>
      </c>
    </row>
    <row r="177" spans="1:5" x14ac:dyDescent="0.3">
      <c r="A177">
        <v>28582642</v>
      </c>
      <c r="B177" t="s">
        <v>503</v>
      </c>
      <c r="C177" t="s">
        <v>142</v>
      </c>
      <c r="D177" t="s">
        <v>557</v>
      </c>
      <c r="E177" s="39" t="s">
        <v>180</v>
      </c>
    </row>
    <row r="178" spans="1:5" x14ac:dyDescent="0.3">
      <c r="A178">
        <v>28582652</v>
      </c>
      <c r="B178" t="s">
        <v>503</v>
      </c>
      <c r="C178" t="s">
        <v>414</v>
      </c>
      <c r="D178" t="s">
        <v>558</v>
      </c>
      <c r="E178" s="39" t="s">
        <v>180</v>
      </c>
    </row>
    <row r="179" spans="1:5" x14ac:dyDescent="0.3">
      <c r="A179">
        <v>28583242</v>
      </c>
      <c r="B179" t="s">
        <v>503</v>
      </c>
      <c r="C179" t="s">
        <v>254</v>
      </c>
      <c r="D179" t="s">
        <v>559</v>
      </c>
      <c r="E179" s="39" t="s">
        <v>180</v>
      </c>
    </row>
    <row r="180" spans="1:5" x14ac:dyDescent="0.3">
      <c r="A180">
        <v>28583393</v>
      </c>
      <c r="B180" t="s">
        <v>503</v>
      </c>
      <c r="C180" t="s">
        <v>414</v>
      </c>
      <c r="D180" t="s">
        <v>560</v>
      </c>
      <c r="E180" s="39" t="s">
        <v>180</v>
      </c>
    </row>
    <row r="181" spans="1:5" x14ac:dyDescent="0.3">
      <c r="A181">
        <v>28583394</v>
      </c>
      <c r="B181" t="s">
        <v>503</v>
      </c>
      <c r="C181" t="s">
        <v>205</v>
      </c>
      <c r="D181" t="s">
        <v>561</v>
      </c>
      <c r="E181" s="39" t="s">
        <v>180</v>
      </c>
    </row>
    <row r="182" spans="1:5" x14ac:dyDescent="0.3">
      <c r="A182">
        <v>28583577</v>
      </c>
      <c r="B182" t="s">
        <v>503</v>
      </c>
      <c r="C182" t="s">
        <v>192</v>
      </c>
      <c r="D182" t="s">
        <v>562</v>
      </c>
      <c r="E182" s="39" t="s">
        <v>180</v>
      </c>
    </row>
    <row r="183" spans="1:5" x14ac:dyDescent="0.3">
      <c r="A183">
        <v>28584466</v>
      </c>
      <c r="B183" t="s">
        <v>503</v>
      </c>
      <c r="C183" t="s">
        <v>142</v>
      </c>
      <c r="D183" t="s">
        <v>563</v>
      </c>
      <c r="E183" s="39" t="s">
        <v>180</v>
      </c>
    </row>
    <row r="184" spans="1:5" x14ac:dyDescent="0.3">
      <c r="A184">
        <v>28584467</v>
      </c>
      <c r="B184" t="s">
        <v>503</v>
      </c>
      <c r="C184" t="s">
        <v>192</v>
      </c>
      <c r="D184" t="s">
        <v>564</v>
      </c>
      <c r="E184" s="39" t="s">
        <v>180</v>
      </c>
    </row>
    <row r="185" spans="1:5" x14ac:dyDescent="0.3">
      <c r="A185">
        <v>28584490</v>
      </c>
      <c r="B185" t="s">
        <v>503</v>
      </c>
      <c r="C185" t="s">
        <v>281</v>
      </c>
      <c r="D185" t="s">
        <v>565</v>
      </c>
      <c r="E185" s="39" t="s">
        <v>180</v>
      </c>
    </row>
    <row r="186" spans="1:5" x14ac:dyDescent="0.3">
      <c r="A186">
        <v>28584489</v>
      </c>
      <c r="B186" t="s">
        <v>503</v>
      </c>
      <c r="C186" t="s">
        <v>171</v>
      </c>
      <c r="D186" t="s">
        <v>566</v>
      </c>
      <c r="E186" s="39" t="s">
        <v>180</v>
      </c>
    </row>
    <row r="187" spans="1:5" x14ac:dyDescent="0.3">
      <c r="A187">
        <v>28584491</v>
      </c>
      <c r="B187" t="s">
        <v>503</v>
      </c>
      <c r="C187" t="s">
        <v>281</v>
      </c>
      <c r="D187" t="s">
        <v>567</v>
      </c>
      <c r="E187" s="39" t="s">
        <v>180</v>
      </c>
    </row>
    <row r="188" spans="1:5" x14ac:dyDescent="0.3">
      <c r="A188">
        <v>28584527</v>
      </c>
      <c r="B188" t="s">
        <v>503</v>
      </c>
      <c r="C188" t="s">
        <v>158</v>
      </c>
      <c r="D188" t="s">
        <v>534</v>
      </c>
      <c r="E188" s="39" t="s">
        <v>180</v>
      </c>
    </row>
    <row r="189" spans="1:5" x14ac:dyDescent="0.3">
      <c r="A189">
        <v>28584492</v>
      </c>
      <c r="B189" t="s">
        <v>503</v>
      </c>
      <c r="C189" t="s">
        <v>294</v>
      </c>
      <c r="D189" t="s">
        <v>568</v>
      </c>
      <c r="E189" s="39" t="s">
        <v>180</v>
      </c>
    </row>
    <row r="190" spans="1:5" x14ac:dyDescent="0.3">
      <c r="A190">
        <v>28585157</v>
      </c>
      <c r="B190" t="s">
        <v>503</v>
      </c>
      <c r="C190" t="s">
        <v>145</v>
      </c>
      <c r="D190" t="s">
        <v>569</v>
      </c>
      <c r="E190" s="39" t="s">
        <v>180</v>
      </c>
    </row>
    <row r="191" spans="1:5" x14ac:dyDescent="0.3">
      <c r="A191">
        <v>28585158</v>
      </c>
      <c r="B191" t="s">
        <v>503</v>
      </c>
      <c r="C191" t="s">
        <v>538</v>
      </c>
      <c r="D191" t="s">
        <v>570</v>
      </c>
      <c r="E191" s="39" t="s">
        <v>180</v>
      </c>
    </row>
    <row r="192" spans="1:5" x14ac:dyDescent="0.3">
      <c r="A192">
        <v>28585147</v>
      </c>
      <c r="B192" t="s">
        <v>503</v>
      </c>
      <c r="C192" t="s">
        <v>140</v>
      </c>
      <c r="D192" t="s">
        <v>571</v>
      </c>
      <c r="E192" s="39" t="s">
        <v>180</v>
      </c>
    </row>
    <row r="193" spans="1:5" x14ac:dyDescent="0.3">
      <c r="A193">
        <v>28585198</v>
      </c>
      <c r="B193" t="s">
        <v>503</v>
      </c>
      <c r="C193" t="s">
        <v>199</v>
      </c>
      <c r="D193" t="s">
        <v>572</v>
      </c>
      <c r="E193" s="39" t="s">
        <v>180</v>
      </c>
    </row>
    <row r="194" spans="1:5" x14ac:dyDescent="0.3">
      <c r="A194">
        <v>28582771</v>
      </c>
      <c r="B194" t="s">
        <v>428</v>
      </c>
      <c r="C194" t="s">
        <v>539</v>
      </c>
      <c r="D194" t="s">
        <v>573</v>
      </c>
      <c r="E194" s="39" t="s">
        <v>180</v>
      </c>
    </row>
    <row r="195" spans="1:5" x14ac:dyDescent="0.3">
      <c r="A195">
        <v>28583579</v>
      </c>
      <c r="B195" t="s">
        <v>428</v>
      </c>
      <c r="C195" t="s">
        <v>540</v>
      </c>
      <c r="D195" t="s">
        <v>583</v>
      </c>
      <c r="E195" s="39" t="s">
        <v>180</v>
      </c>
    </row>
    <row r="196" spans="1:5" x14ac:dyDescent="0.3">
      <c r="A196">
        <v>28584465</v>
      </c>
      <c r="B196" t="s">
        <v>428</v>
      </c>
      <c r="C196" t="s">
        <v>368</v>
      </c>
      <c r="D196" t="s">
        <v>574</v>
      </c>
      <c r="E196" s="39" t="s">
        <v>180</v>
      </c>
    </row>
    <row r="197" spans="1:5" x14ac:dyDescent="0.3">
      <c r="A197">
        <v>28584486</v>
      </c>
      <c r="B197" t="s">
        <v>428</v>
      </c>
      <c r="C197" t="s">
        <v>541</v>
      </c>
      <c r="D197" t="s">
        <v>575</v>
      </c>
      <c r="E197" s="39" t="s">
        <v>180</v>
      </c>
    </row>
    <row r="198" spans="1:5" x14ac:dyDescent="0.3">
      <c r="A198">
        <v>28584590</v>
      </c>
      <c r="B198" t="s">
        <v>428</v>
      </c>
      <c r="C198" t="s">
        <v>365</v>
      </c>
      <c r="D198" t="s">
        <v>576</v>
      </c>
      <c r="E198" s="39" t="s">
        <v>180</v>
      </c>
    </row>
    <row r="199" spans="1:5" x14ac:dyDescent="0.3">
      <c r="A199">
        <v>28584586</v>
      </c>
      <c r="B199" t="s">
        <v>428</v>
      </c>
      <c r="C199" t="s">
        <v>455</v>
      </c>
      <c r="D199" t="s">
        <v>577</v>
      </c>
      <c r="E199" s="39" t="s">
        <v>180</v>
      </c>
    </row>
    <row r="200" spans="1:5" x14ac:dyDescent="0.3">
      <c r="A200">
        <v>28582653</v>
      </c>
      <c r="B200" t="s">
        <v>438</v>
      </c>
      <c r="C200" t="s">
        <v>389</v>
      </c>
      <c r="D200" t="s">
        <v>578</v>
      </c>
      <c r="E200" s="39" t="s">
        <v>180</v>
      </c>
    </row>
    <row r="201" spans="1:5" x14ac:dyDescent="0.3">
      <c r="A201">
        <v>28582646</v>
      </c>
      <c r="B201" t="s">
        <v>438</v>
      </c>
      <c r="C201" t="s">
        <v>393</v>
      </c>
      <c r="D201" t="s">
        <v>579</v>
      </c>
      <c r="E201" s="39" t="s">
        <v>180</v>
      </c>
    </row>
    <row r="202" spans="1:5" x14ac:dyDescent="0.3">
      <c r="A202">
        <v>28582651</v>
      </c>
      <c r="B202" t="s">
        <v>438</v>
      </c>
      <c r="C202" t="s">
        <v>386</v>
      </c>
      <c r="D202" t="s">
        <v>580</v>
      </c>
      <c r="E202" s="39" t="s">
        <v>180</v>
      </c>
    </row>
    <row r="203" spans="1:5" x14ac:dyDescent="0.3">
      <c r="A203">
        <v>28583578</v>
      </c>
      <c r="B203" t="s">
        <v>438</v>
      </c>
      <c r="C203" t="s">
        <v>388</v>
      </c>
      <c r="D203" t="s">
        <v>581</v>
      </c>
      <c r="E203" s="39" t="s">
        <v>180</v>
      </c>
    </row>
    <row r="204" spans="1:5" x14ac:dyDescent="0.3">
      <c r="A204">
        <v>28584524</v>
      </c>
      <c r="B204" t="s">
        <v>438</v>
      </c>
      <c r="C204" t="s">
        <v>391</v>
      </c>
      <c r="D204" t="s">
        <v>582</v>
      </c>
      <c r="E204" s="39" t="s">
        <v>180</v>
      </c>
    </row>
    <row r="206" spans="1:5" x14ac:dyDescent="0.3">
      <c r="A206">
        <v>28585381</v>
      </c>
      <c r="B206" t="s">
        <v>503</v>
      </c>
      <c r="C206" t="s">
        <v>280</v>
      </c>
      <c r="D206" t="s">
        <v>614</v>
      </c>
      <c r="E206" s="39" t="s">
        <v>180</v>
      </c>
    </row>
    <row r="207" spans="1:5" x14ac:dyDescent="0.3">
      <c r="A207">
        <v>28585570</v>
      </c>
      <c r="B207" t="s">
        <v>503</v>
      </c>
      <c r="C207" t="s">
        <v>140</v>
      </c>
      <c r="D207" t="s">
        <v>616</v>
      </c>
      <c r="E207" s="39" t="s">
        <v>180</v>
      </c>
    </row>
    <row r="208" spans="1:5" x14ac:dyDescent="0.3">
      <c r="A208">
        <v>28585526</v>
      </c>
      <c r="B208" t="s">
        <v>428</v>
      </c>
      <c r="C208" t="s">
        <v>540</v>
      </c>
      <c r="D208" t="s">
        <v>617</v>
      </c>
      <c r="E208" s="39" t="s">
        <v>180</v>
      </c>
    </row>
    <row r="210" spans="1:5" x14ac:dyDescent="0.3">
      <c r="A210" s="1">
        <v>28580968</v>
      </c>
      <c r="B210" s="39" t="s">
        <v>503</v>
      </c>
      <c r="C210" s="1" t="s">
        <v>141</v>
      </c>
      <c r="D210" s="39" t="s">
        <v>174</v>
      </c>
      <c r="E210" t="s">
        <v>618</v>
      </c>
    </row>
    <row r="211" spans="1:5" x14ac:dyDescent="0.3">
      <c r="A211" s="1">
        <v>28583577</v>
      </c>
      <c r="B211" s="39" t="s">
        <v>503</v>
      </c>
      <c r="C211" s="1" t="s">
        <v>192</v>
      </c>
      <c r="D211" s="39" t="s">
        <v>174</v>
      </c>
      <c r="E211" t="s">
        <v>259</v>
      </c>
    </row>
    <row r="212" spans="1:5" x14ac:dyDescent="0.3">
      <c r="A212" s="1">
        <v>28582610</v>
      </c>
      <c r="B212" s="39" t="s">
        <v>503</v>
      </c>
      <c r="C212" s="1" t="s">
        <v>212</v>
      </c>
      <c r="D212" s="39" t="s">
        <v>174</v>
      </c>
      <c r="E212" s="39" t="s">
        <v>259</v>
      </c>
    </row>
    <row r="213" spans="1:5" x14ac:dyDescent="0.3">
      <c r="A213" s="1">
        <v>28585568</v>
      </c>
      <c r="B213" s="39" t="s">
        <v>503</v>
      </c>
      <c r="C213" s="1" t="s">
        <v>212</v>
      </c>
      <c r="D213" s="39" t="s">
        <v>174</v>
      </c>
      <c r="E213" t="s">
        <v>293</v>
      </c>
    </row>
    <row r="214" spans="1:5" x14ac:dyDescent="0.3">
      <c r="A214" s="1">
        <v>28585562</v>
      </c>
      <c r="B214" s="39" t="s">
        <v>503</v>
      </c>
      <c r="C214" s="1" t="s">
        <v>481</v>
      </c>
      <c r="D214" s="39" t="s">
        <v>174</v>
      </c>
      <c r="E214" s="39" t="s">
        <v>293</v>
      </c>
    </row>
    <row r="215" spans="1:5" x14ac:dyDescent="0.3">
      <c r="A215" s="1">
        <v>28583579</v>
      </c>
      <c r="B215" s="39" t="s">
        <v>428</v>
      </c>
      <c r="C215" s="1" t="s">
        <v>540</v>
      </c>
      <c r="D215" s="39" t="s">
        <v>174</v>
      </c>
      <c r="E215" t="s">
        <v>259</v>
      </c>
    </row>
    <row r="216" spans="1:5" x14ac:dyDescent="0.3">
      <c r="A216" s="1">
        <v>28585565</v>
      </c>
      <c r="B216" s="39" t="s">
        <v>428</v>
      </c>
      <c r="C216" s="1" t="s">
        <v>600</v>
      </c>
      <c r="D216" s="39" t="s">
        <v>174</v>
      </c>
      <c r="E216" t="s">
        <v>293</v>
      </c>
    </row>
    <row r="217" spans="1:5" x14ac:dyDescent="0.3">
      <c r="A217" s="1">
        <v>28585566</v>
      </c>
      <c r="B217" s="39" t="s">
        <v>428</v>
      </c>
      <c r="C217" s="1" t="s">
        <v>364</v>
      </c>
      <c r="D217" s="39" t="s">
        <v>174</v>
      </c>
      <c r="E217" s="39" t="s">
        <v>293</v>
      </c>
    </row>
    <row r="218" spans="1:5" x14ac:dyDescent="0.3">
      <c r="A218" s="1">
        <v>28583578</v>
      </c>
      <c r="B218" s="39" t="s">
        <v>438</v>
      </c>
      <c r="C218" s="1" t="s">
        <v>388</v>
      </c>
      <c r="D218" s="39" t="s">
        <v>174</v>
      </c>
      <c r="E218" t="s">
        <v>259</v>
      </c>
    </row>
    <row r="219" spans="1:5" x14ac:dyDescent="0.3">
      <c r="A219" s="1">
        <v>28585563</v>
      </c>
      <c r="B219" s="39" t="s">
        <v>438</v>
      </c>
      <c r="C219" s="1" t="s">
        <v>396</v>
      </c>
      <c r="D219" s="39" t="s">
        <v>174</v>
      </c>
      <c r="E219" t="s">
        <v>293</v>
      </c>
    </row>
    <row r="220" spans="1:5" x14ac:dyDescent="0.3">
      <c r="A220" s="1">
        <v>28585567</v>
      </c>
      <c r="B220" s="39" t="s">
        <v>438</v>
      </c>
      <c r="C220" s="1" t="s">
        <v>393</v>
      </c>
      <c r="D220" s="39" t="s">
        <v>174</v>
      </c>
      <c r="E220" s="39" t="s">
        <v>293</v>
      </c>
    </row>
    <row r="222" spans="1:5" x14ac:dyDescent="0.3">
      <c r="A222">
        <v>28585568</v>
      </c>
      <c r="B222" t="s">
        <v>503</v>
      </c>
      <c r="C222" t="s">
        <v>212</v>
      </c>
      <c r="D222" s="39" t="s">
        <v>174</v>
      </c>
      <c r="E222" s="39" t="s">
        <v>293</v>
      </c>
    </row>
    <row r="223" spans="1:5" x14ac:dyDescent="0.3">
      <c r="A223">
        <v>28585562</v>
      </c>
      <c r="B223" t="s">
        <v>503</v>
      </c>
      <c r="C223" t="s">
        <v>481</v>
      </c>
      <c r="D223" s="39" t="s">
        <v>174</v>
      </c>
      <c r="E223" s="39" t="s">
        <v>293</v>
      </c>
    </row>
    <row r="224" spans="1:5" x14ac:dyDescent="0.3">
      <c r="A224">
        <v>28586375</v>
      </c>
      <c r="B224" t="s">
        <v>503</v>
      </c>
      <c r="C224" t="s">
        <v>414</v>
      </c>
      <c r="D224" t="s">
        <v>633</v>
      </c>
      <c r="E224" t="s">
        <v>216</v>
      </c>
    </row>
    <row r="225" spans="1:5" x14ac:dyDescent="0.3">
      <c r="A225">
        <v>28586576</v>
      </c>
      <c r="B225" t="s">
        <v>503</v>
      </c>
      <c r="C225" t="s">
        <v>158</v>
      </c>
      <c r="D225" t="s">
        <v>639</v>
      </c>
      <c r="E225" s="39" t="s">
        <v>216</v>
      </c>
    </row>
    <row r="226" spans="1:5" x14ac:dyDescent="0.3">
      <c r="A226">
        <v>28586879</v>
      </c>
      <c r="B226" t="s">
        <v>503</v>
      </c>
      <c r="C226" t="s">
        <v>280</v>
      </c>
      <c r="D226" t="s">
        <v>635</v>
      </c>
      <c r="E226" s="39" t="s">
        <v>216</v>
      </c>
    </row>
    <row r="227" spans="1:5" x14ac:dyDescent="0.3">
      <c r="A227">
        <v>28586884</v>
      </c>
      <c r="B227" t="s">
        <v>503</v>
      </c>
      <c r="C227" t="s">
        <v>142</v>
      </c>
      <c r="D227" t="s">
        <v>636</v>
      </c>
      <c r="E227" s="39" t="s">
        <v>216</v>
      </c>
    </row>
    <row r="228" spans="1:5" x14ac:dyDescent="0.3">
      <c r="A228">
        <v>28587669</v>
      </c>
      <c r="B228" t="s">
        <v>503</v>
      </c>
      <c r="C228" t="s">
        <v>385</v>
      </c>
      <c r="D228" t="s">
        <v>637</v>
      </c>
      <c r="E228" s="39" t="s">
        <v>216</v>
      </c>
    </row>
    <row r="229" spans="1:5" x14ac:dyDescent="0.3">
      <c r="A229">
        <v>28585565</v>
      </c>
      <c r="B229" t="s">
        <v>428</v>
      </c>
      <c r="C229" t="s">
        <v>600</v>
      </c>
      <c r="D229" s="39" t="s">
        <v>174</v>
      </c>
      <c r="E229" s="39" t="s">
        <v>293</v>
      </c>
    </row>
    <row r="230" spans="1:5" x14ac:dyDescent="0.3">
      <c r="A230">
        <v>28585566</v>
      </c>
      <c r="B230" t="s">
        <v>428</v>
      </c>
      <c r="C230" t="s">
        <v>364</v>
      </c>
      <c r="D230" s="39" t="s">
        <v>174</v>
      </c>
      <c r="E230" s="39" t="s">
        <v>293</v>
      </c>
    </row>
    <row r="231" spans="1:5" x14ac:dyDescent="0.3">
      <c r="A231">
        <v>28586508</v>
      </c>
      <c r="B231" t="s">
        <v>428</v>
      </c>
      <c r="C231" t="s">
        <v>622</v>
      </c>
      <c r="D231" s="39" t="s">
        <v>174</v>
      </c>
      <c r="E231" s="39" t="s">
        <v>293</v>
      </c>
    </row>
    <row r="232" spans="1:5" x14ac:dyDescent="0.3">
      <c r="A232">
        <v>28586376</v>
      </c>
      <c r="B232" t="s">
        <v>438</v>
      </c>
      <c r="C232" t="s">
        <v>390</v>
      </c>
      <c r="D232" t="s">
        <v>638</v>
      </c>
      <c r="E232" s="39" t="s">
        <v>216</v>
      </c>
    </row>
    <row r="234" spans="1:5" x14ac:dyDescent="0.3">
      <c r="A234">
        <v>28588193</v>
      </c>
      <c r="B234" t="s">
        <v>503</v>
      </c>
      <c r="C234" t="s">
        <v>294</v>
      </c>
      <c r="D234" t="s">
        <v>645</v>
      </c>
      <c r="E234" s="39" t="s">
        <v>216</v>
      </c>
    </row>
    <row r="235" spans="1:5" x14ac:dyDescent="0.3">
      <c r="A235">
        <v>28588197</v>
      </c>
      <c r="B235" t="s">
        <v>503</v>
      </c>
      <c r="C235" t="s">
        <v>171</v>
      </c>
      <c r="D235" t="s">
        <v>646</v>
      </c>
      <c r="E235" s="39" t="s">
        <v>216</v>
      </c>
    </row>
    <row r="237" spans="1:5" x14ac:dyDescent="0.3">
      <c r="A237" s="57">
        <v>28582610</v>
      </c>
      <c r="B237" s="39" t="s">
        <v>503</v>
      </c>
      <c r="C237" s="1" t="s">
        <v>212</v>
      </c>
      <c r="D237" s="1" t="s">
        <v>586</v>
      </c>
      <c r="E237" t="s">
        <v>183</v>
      </c>
    </row>
    <row r="238" spans="1:5" x14ac:dyDescent="0.3">
      <c r="A238" s="57">
        <v>28585568</v>
      </c>
      <c r="B238" s="39" t="s">
        <v>503</v>
      </c>
      <c r="C238" s="1" t="s">
        <v>212</v>
      </c>
      <c r="D238" s="1" t="s">
        <v>586</v>
      </c>
      <c r="E238" s="39" t="s">
        <v>183</v>
      </c>
    </row>
    <row r="239" spans="1:5" x14ac:dyDescent="0.3">
      <c r="A239" s="57">
        <v>28585562</v>
      </c>
      <c r="B239" s="39" t="s">
        <v>503</v>
      </c>
      <c r="C239" s="1" t="s">
        <v>481</v>
      </c>
      <c r="D239" s="1" t="s">
        <v>586</v>
      </c>
      <c r="E239" s="39" t="s">
        <v>183</v>
      </c>
    </row>
    <row r="240" spans="1:5" x14ac:dyDescent="0.3">
      <c r="A240" s="57">
        <v>28589032</v>
      </c>
      <c r="B240" s="39" t="s">
        <v>503</v>
      </c>
      <c r="C240" s="1" t="s">
        <v>141</v>
      </c>
      <c r="D240" s="1" t="s">
        <v>507</v>
      </c>
      <c r="E240" t="s">
        <v>584</v>
      </c>
    </row>
    <row r="241" spans="1:5" x14ac:dyDescent="0.3">
      <c r="A241" s="57">
        <v>28589104</v>
      </c>
      <c r="B241" s="39" t="s">
        <v>503</v>
      </c>
      <c r="C241" s="1" t="s">
        <v>206</v>
      </c>
      <c r="D241" s="1" t="s">
        <v>507</v>
      </c>
      <c r="E241" s="39" t="s">
        <v>584</v>
      </c>
    </row>
    <row r="242" spans="1:5" x14ac:dyDescent="0.3">
      <c r="A242" s="1">
        <v>28590421</v>
      </c>
      <c r="B242" s="39" t="s">
        <v>503</v>
      </c>
      <c r="C242" s="1" t="s">
        <v>142</v>
      </c>
      <c r="D242" s="1" t="s">
        <v>708</v>
      </c>
      <c r="E242" s="39" t="s">
        <v>216</v>
      </c>
    </row>
    <row r="243" spans="1:5" x14ac:dyDescent="0.3">
      <c r="A243" s="57">
        <v>28585565</v>
      </c>
      <c r="B243" s="39" t="s">
        <v>428</v>
      </c>
      <c r="C243" s="1" t="s">
        <v>600</v>
      </c>
      <c r="D243" s="1" t="s">
        <v>586</v>
      </c>
      <c r="E243" s="39" t="s">
        <v>183</v>
      </c>
    </row>
    <row r="244" spans="1:5" x14ac:dyDescent="0.3">
      <c r="A244" s="57">
        <v>28585566</v>
      </c>
      <c r="B244" s="39" t="s">
        <v>428</v>
      </c>
      <c r="C244" s="1" t="s">
        <v>364</v>
      </c>
      <c r="D244" s="1" t="s">
        <v>586</v>
      </c>
      <c r="E244" s="39" t="s">
        <v>183</v>
      </c>
    </row>
    <row r="245" spans="1:5" x14ac:dyDescent="0.3">
      <c r="A245" s="57">
        <v>28586508</v>
      </c>
      <c r="B245" s="39" t="s">
        <v>428</v>
      </c>
      <c r="C245" s="1" t="s">
        <v>622</v>
      </c>
      <c r="D245" s="1" t="s">
        <v>586</v>
      </c>
      <c r="E245" s="39" t="s">
        <v>183</v>
      </c>
    </row>
    <row r="246" spans="1:5" x14ac:dyDescent="0.3">
      <c r="A246" s="57">
        <v>28583579</v>
      </c>
      <c r="B246" s="39" t="s">
        <v>428</v>
      </c>
      <c r="C246" s="1" t="s">
        <v>540</v>
      </c>
      <c r="D246" s="1" t="s">
        <v>507</v>
      </c>
      <c r="E246" s="39" t="s">
        <v>253</v>
      </c>
    </row>
    <row r="247" spans="1:5" x14ac:dyDescent="0.3">
      <c r="A247" s="57">
        <v>28589019</v>
      </c>
      <c r="B247" s="39" t="s">
        <v>438</v>
      </c>
      <c r="C247" s="1" t="s">
        <v>394</v>
      </c>
      <c r="D247" s="1" t="s">
        <v>507</v>
      </c>
      <c r="E247" s="39" t="s">
        <v>253</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144"/>
  <sheetViews>
    <sheetView topLeftCell="A123" workbookViewId="0">
      <selection activeCell="B145" sqref="B145"/>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143</v>
      </c>
      <c r="B1" s="30" t="s">
        <v>57</v>
      </c>
      <c r="C1" s="29" t="s">
        <v>58</v>
      </c>
    </row>
    <row r="2" spans="1:3" x14ac:dyDescent="0.3">
      <c r="A2">
        <v>1</v>
      </c>
      <c r="B2" s="39" t="s">
        <v>116</v>
      </c>
      <c r="C2" s="39" t="s">
        <v>463</v>
      </c>
    </row>
    <row r="3" spans="1:3" s="39" customFormat="1" x14ac:dyDescent="0.3">
      <c r="A3" s="39">
        <v>2</v>
      </c>
      <c r="B3" s="39" t="s">
        <v>550</v>
      </c>
      <c r="C3" s="39" t="s">
        <v>551</v>
      </c>
    </row>
    <row r="4" spans="1:3" s="39" customFormat="1" x14ac:dyDescent="0.3">
      <c r="A4" s="39">
        <v>3</v>
      </c>
      <c r="B4" s="39" t="s">
        <v>515</v>
      </c>
      <c r="C4" s="39" t="s">
        <v>516</v>
      </c>
    </row>
    <row r="5" spans="1:3" s="39" customFormat="1" x14ac:dyDescent="0.3">
      <c r="A5" s="39">
        <v>4</v>
      </c>
      <c r="B5" s="39" t="s">
        <v>511</v>
      </c>
      <c r="C5" s="39" t="s">
        <v>510</v>
      </c>
    </row>
    <row r="6" spans="1:3" s="39" customFormat="1" x14ac:dyDescent="0.3">
      <c r="A6" s="39">
        <v>5</v>
      </c>
      <c r="B6" s="39" t="s">
        <v>494</v>
      </c>
      <c r="C6" s="39" t="s">
        <v>493</v>
      </c>
    </row>
    <row r="7" spans="1:3" s="39" customFormat="1" x14ac:dyDescent="0.3">
      <c r="A7" s="39">
        <v>6</v>
      </c>
      <c r="B7" s="39" t="s">
        <v>466</v>
      </c>
      <c r="C7" s="39" t="s">
        <v>467</v>
      </c>
    </row>
    <row r="8" spans="1:3" x14ac:dyDescent="0.3">
      <c r="A8">
        <v>7</v>
      </c>
      <c r="B8" s="39" t="s">
        <v>289</v>
      </c>
      <c r="C8" s="39" t="s">
        <v>290</v>
      </c>
    </row>
    <row r="9" spans="1:3" x14ac:dyDescent="0.3">
      <c r="A9">
        <v>8</v>
      </c>
      <c r="B9" s="39" t="s">
        <v>59</v>
      </c>
      <c r="C9" s="39" t="s">
        <v>60</v>
      </c>
    </row>
    <row r="10" spans="1:3" x14ac:dyDescent="0.3">
      <c r="A10">
        <v>9</v>
      </c>
      <c r="B10" s="39" t="s">
        <v>61</v>
      </c>
      <c r="C10" s="39" t="s">
        <v>62</v>
      </c>
    </row>
    <row r="11" spans="1:3" x14ac:dyDescent="0.3">
      <c r="A11">
        <v>10</v>
      </c>
      <c r="B11" s="39" t="s">
        <v>63</v>
      </c>
      <c r="C11" s="39" t="s">
        <v>86</v>
      </c>
    </row>
    <row r="12" spans="1:3" x14ac:dyDescent="0.3">
      <c r="A12">
        <v>11</v>
      </c>
      <c r="B12" s="39" t="s">
        <v>108</v>
      </c>
      <c r="C12" s="39" t="s">
        <v>64</v>
      </c>
    </row>
    <row r="13" spans="1:3" s="39" customFormat="1" x14ac:dyDescent="0.3">
      <c r="A13" s="39">
        <v>12</v>
      </c>
      <c r="B13" s="39" t="s">
        <v>65</v>
      </c>
      <c r="C13" s="39" t="s">
        <v>66</v>
      </c>
    </row>
    <row r="14" spans="1:3" x14ac:dyDescent="0.3">
      <c r="A14">
        <v>13</v>
      </c>
      <c r="B14" s="39" t="s">
        <v>218</v>
      </c>
      <c r="C14" s="39" t="s">
        <v>219</v>
      </c>
    </row>
    <row r="15" spans="1:3" x14ac:dyDescent="0.3">
      <c r="A15">
        <v>14</v>
      </c>
      <c r="B15" s="39" t="s">
        <v>68</v>
      </c>
      <c r="C15" s="39" t="s">
        <v>69</v>
      </c>
    </row>
    <row r="16" spans="1:3" x14ac:dyDescent="0.3">
      <c r="A16">
        <v>15</v>
      </c>
      <c r="B16" s="39" t="s">
        <v>71</v>
      </c>
      <c r="C16" s="39" t="s">
        <v>72</v>
      </c>
    </row>
    <row r="17" spans="1:3" x14ac:dyDescent="0.3">
      <c r="A17">
        <v>16</v>
      </c>
      <c r="B17" s="39" t="s">
        <v>295</v>
      </c>
      <c r="C17" s="39" t="s">
        <v>296</v>
      </c>
    </row>
    <row r="18" spans="1:3" x14ac:dyDescent="0.3">
      <c r="A18">
        <v>17</v>
      </c>
      <c r="B18" s="39" t="s">
        <v>73</v>
      </c>
      <c r="C18" s="39" t="s">
        <v>74</v>
      </c>
    </row>
    <row r="19" spans="1:3" x14ac:dyDescent="0.3">
      <c r="A19">
        <v>18</v>
      </c>
      <c r="B19" s="39" t="s">
        <v>75</v>
      </c>
      <c r="C19" s="39" t="s">
        <v>464</v>
      </c>
    </row>
    <row r="20" spans="1:3" x14ac:dyDescent="0.3">
      <c r="A20">
        <v>19</v>
      </c>
      <c r="B20" s="39" t="s">
        <v>76</v>
      </c>
      <c r="C20" s="39" t="s">
        <v>297</v>
      </c>
    </row>
    <row r="21" spans="1:3" x14ac:dyDescent="0.3">
      <c r="A21">
        <v>20</v>
      </c>
      <c r="B21" s="39" t="s">
        <v>77</v>
      </c>
      <c r="C21" s="39" t="s">
        <v>78</v>
      </c>
    </row>
    <row r="22" spans="1:3" x14ac:dyDescent="0.3">
      <c r="A22">
        <v>21</v>
      </c>
      <c r="B22" s="39" t="s">
        <v>79</v>
      </c>
      <c r="C22" s="39" t="s">
        <v>80</v>
      </c>
    </row>
    <row r="23" spans="1:3" x14ac:dyDescent="0.3">
      <c r="A23">
        <v>22</v>
      </c>
      <c r="B23" s="39" t="s">
        <v>81</v>
      </c>
      <c r="C23" s="39" t="s">
        <v>82</v>
      </c>
    </row>
    <row r="24" spans="1:3" x14ac:dyDescent="0.3">
      <c r="A24">
        <v>23</v>
      </c>
      <c r="B24" s="39" t="s">
        <v>87</v>
      </c>
      <c r="C24" s="39" t="s">
        <v>88</v>
      </c>
    </row>
    <row r="25" spans="1:3" x14ac:dyDescent="0.3">
      <c r="A25">
        <v>24</v>
      </c>
      <c r="B25" s="39" t="s">
        <v>156</v>
      </c>
      <c r="C25" s="39" t="s">
        <v>157</v>
      </c>
    </row>
    <row r="26" spans="1:3" x14ac:dyDescent="0.3">
      <c r="A26">
        <v>25</v>
      </c>
      <c r="B26" s="39" t="s">
        <v>104</v>
      </c>
      <c r="C26" s="39" t="s">
        <v>103</v>
      </c>
    </row>
    <row r="27" spans="1:3" x14ac:dyDescent="0.3">
      <c r="A27">
        <v>26</v>
      </c>
      <c r="B27" s="39" t="s">
        <v>109</v>
      </c>
      <c r="C27" s="39" t="s">
        <v>110</v>
      </c>
    </row>
    <row r="28" spans="1:3" x14ac:dyDescent="0.3">
      <c r="A28">
        <v>27</v>
      </c>
      <c r="B28" s="39" t="s">
        <v>112</v>
      </c>
      <c r="C28" s="39" t="s">
        <v>111</v>
      </c>
    </row>
    <row r="29" spans="1:3" x14ac:dyDescent="0.3">
      <c r="A29">
        <v>28</v>
      </c>
      <c r="B29" s="39" t="s">
        <v>114</v>
      </c>
      <c r="C29" s="39" t="s">
        <v>115</v>
      </c>
    </row>
    <row r="30" spans="1:3" x14ac:dyDescent="0.3">
      <c r="A30">
        <v>29</v>
      </c>
      <c r="B30" s="39" t="s">
        <v>118</v>
      </c>
      <c r="C30" s="39" t="s">
        <v>119</v>
      </c>
    </row>
    <row r="31" spans="1:3" x14ac:dyDescent="0.3">
      <c r="A31">
        <v>30</v>
      </c>
      <c r="B31" s="39" t="s">
        <v>120</v>
      </c>
      <c r="C31" s="39" t="s">
        <v>121</v>
      </c>
    </row>
    <row r="32" spans="1:3" x14ac:dyDescent="0.3">
      <c r="A32">
        <v>31</v>
      </c>
      <c r="B32" s="39" t="s">
        <v>122</v>
      </c>
      <c r="C32" s="39" t="s">
        <v>123</v>
      </c>
    </row>
    <row r="33" spans="1:3" x14ac:dyDescent="0.3">
      <c r="A33">
        <v>32</v>
      </c>
      <c r="B33" s="39" t="s">
        <v>124</v>
      </c>
      <c r="C33" s="39" t="s">
        <v>125</v>
      </c>
    </row>
    <row r="34" spans="1:3" x14ac:dyDescent="0.3">
      <c r="A34">
        <v>33</v>
      </c>
      <c r="B34" s="39" t="s">
        <v>126</v>
      </c>
      <c r="C34" s="39" t="s">
        <v>127</v>
      </c>
    </row>
    <row r="35" spans="1:3" x14ac:dyDescent="0.3">
      <c r="A35">
        <v>34</v>
      </c>
      <c r="B35" s="39" t="s">
        <v>128</v>
      </c>
      <c r="C35" s="39" t="s">
        <v>129</v>
      </c>
    </row>
    <row r="36" spans="1:3" x14ac:dyDescent="0.3">
      <c r="A36">
        <v>35</v>
      </c>
      <c r="B36" s="39" t="s">
        <v>130</v>
      </c>
      <c r="C36" s="39" t="s">
        <v>131</v>
      </c>
    </row>
    <row r="37" spans="1:3" x14ac:dyDescent="0.3">
      <c r="A37">
        <v>36</v>
      </c>
      <c r="B37" s="39" t="s">
        <v>132</v>
      </c>
      <c r="C37" s="39" t="s">
        <v>133</v>
      </c>
    </row>
    <row r="38" spans="1:3" x14ac:dyDescent="0.3">
      <c r="A38">
        <v>37</v>
      </c>
      <c r="B38" s="39" t="s">
        <v>134</v>
      </c>
      <c r="C38" s="39" t="s">
        <v>135</v>
      </c>
    </row>
    <row r="39" spans="1:3" x14ac:dyDescent="0.3">
      <c r="A39">
        <v>38</v>
      </c>
      <c r="B39" s="39" t="s">
        <v>143</v>
      </c>
      <c r="C39" s="39" t="s">
        <v>144</v>
      </c>
    </row>
    <row r="40" spans="1:3" x14ac:dyDescent="0.3">
      <c r="A40">
        <v>39</v>
      </c>
      <c r="B40" s="39" t="s">
        <v>146</v>
      </c>
      <c r="C40" s="39" t="s">
        <v>147</v>
      </c>
    </row>
    <row r="41" spans="1:3" x14ac:dyDescent="0.3">
      <c r="A41">
        <v>40</v>
      </c>
      <c r="B41" s="39" t="s">
        <v>148</v>
      </c>
      <c r="C41" s="39" t="s">
        <v>149</v>
      </c>
    </row>
    <row r="42" spans="1:3" x14ac:dyDescent="0.3">
      <c r="A42">
        <v>41</v>
      </c>
      <c r="B42" s="39" t="s">
        <v>117</v>
      </c>
      <c r="C42" s="39" t="s">
        <v>94</v>
      </c>
    </row>
    <row r="43" spans="1:3" s="39" customFormat="1" x14ac:dyDescent="0.3">
      <c r="A43" s="39">
        <v>42</v>
      </c>
      <c r="B43" s="39" t="s">
        <v>357</v>
      </c>
      <c r="C43" s="39" t="s">
        <v>358</v>
      </c>
    </row>
    <row r="44" spans="1:3" x14ac:dyDescent="0.3">
      <c r="A44">
        <v>43</v>
      </c>
      <c r="B44" s="39" t="s">
        <v>609</v>
      </c>
      <c r="C44" s="39" t="s">
        <v>610</v>
      </c>
    </row>
    <row r="45" spans="1:3" x14ac:dyDescent="0.3">
      <c r="A45">
        <v>44</v>
      </c>
      <c r="B45" s="39" t="s">
        <v>163</v>
      </c>
      <c r="C45" s="39" t="s">
        <v>164</v>
      </c>
    </row>
    <row r="46" spans="1:3" x14ac:dyDescent="0.3">
      <c r="A46">
        <v>45</v>
      </c>
      <c r="B46" s="39" t="s">
        <v>165</v>
      </c>
      <c r="C46" s="39" t="s">
        <v>166</v>
      </c>
    </row>
    <row r="47" spans="1:3" x14ac:dyDescent="0.3">
      <c r="A47">
        <v>46</v>
      </c>
      <c r="B47" s="39" t="s">
        <v>168</v>
      </c>
      <c r="C47" s="39" t="s">
        <v>167</v>
      </c>
    </row>
    <row r="48" spans="1:3" x14ac:dyDescent="0.3">
      <c r="A48">
        <v>47</v>
      </c>
      <c r="B48" s="39" t="s">
        <v>172</v>
      </c>
      <c r="C48" s="39" t="s">
        <v>184</v>
      </c>
    </row>
    <row r="49" spans="1:3" x14ac:dyDescent="0.3">
      <c r="A49">
        <v>48</v>
      </c>
      <c r="B49" s="39" t="s">
        <v>189</v>
      </c>
      <c r="C49" s="39" t="s">
        <v>190</v>
      </c>
    </row>
    <row r="50" spans="1:3" x14ac:dyDescent="0.3">
      <c r="A50">
        <v>49</v>
      </c>
      <c r="B50" s="39" t="s">
        <v>193</v>
      </c>
      <c r="C50" s="39" t="s">
        <v>194</v>
      </c>
    </row>
    <row r="51" spans="1:3" x14ac:dyDescent="0.3">
      <c r="A51">
        <v>50</v>
      </c>
      <c r="B51" s="39" t="s">
        <v>197</v>
      </c>
      <c r="C51" s="39" t="s">
        <v>213</v>
      </c>
    </row>
    <row r="52" spans="1:3" x14ac:dyDescent="0.3">
      <c r="A52">
        <v>51</v>
      </c>
      <c r="B52" s="39" t="s">
        <v>202</v>
      </c>
      <c r="C52" s="39" t="s">
        <v>198</v>
      </c>
    </row>
    <row r="53" spans="1:3" x14ac:dyDescent="0.3">
      <c r="A53">
        <v>52</v>
      </c>
      <c r="B53" s="39" t="s">
        <v>200</v>
      </c>
      <c r="C53" s="39" t="s">
        <v>201</v>
      </c>
    </row>
    <row r="54" spans="1:3" x14ac:dyDescent="0.3">
      <c r="A54">
        <v>53</v>
      </c>
      <c r="B54" s="39" t="s">
        <v>207</v>
      </c>
      <c r="C54" s="39" t="s">
        <v>208</v>
      </c>
    </row>
    <row r="55" spans="1:3" x14ac:dyDescent="0.3">
      <c r="A55">
        <v>54</v>
      </c>
      <c r="B55" s="39" t="s">
        <v>221</v>
      </c>
      <c r="C55" s="39" t="s">
        <v>222</v>
      </c>
    </row>
    <row r="56" spans="1:3" x14ac:dyDescent="0.3">
      <c r="A56">
        <v>55</v>
      </c>
      <c r="B56" s="39" t="s">
        <v>223</v>
      </c>
      <c r="C56" s="39" t="s">
        <v>224</v>
      </c>
    </row>
    <row r="57" spans="1:3" x14ac:dyDescent="0.3">
      <c r="A57">
        <v>56</v>
      </c>
      <c r="B57" s="39" t="s">
        <v>225</v>
      </c>
      <c r="C57" s="39" t="s">
        <v>226</v>
      </c>
    </row>
    <row r="58" spans="1:3" x14ac:dyDescent="0.3">
      <c r="A58">
        <v>57</v>
      </c>
      <c r="B58" s="39" t="s">
        <v>227</v>
      </c>
      <c r="C58" s="39" t="s">
        <v>228</v>
      </c>
    </row>
    <row r="59" spans="1:3" x14ac:dyDescent="0.3">
      <c r="A59">
        <v>58</v>
      </c>
      <c r="B59" s="39" t="s">
        <v>229</v>
      </c>
      <c r="C59" s="39" t="s">
        <v>230</v>
      </c>
    </row>
    <row r="60" spans="1:3" x14ac:dyDescent="0.3">
      <c r="A60">
        <v>59</v>
      </c>
      <c r="B60" s="39" t="s">
        <v>231</v>
      </c>
      <c r="C60" s="39" t="s">
        <v>232</v>
      </c>
    </row>
    <row r="61" spans="1:3" x14ac:dyDescent="0.3">
      <c r="A61">
        <v>60</v>
      </c>
      <c r="B61" s="39" t="s">
        <v>233</v>
      </c>
      <c r="C61" s="39" t="s">
        <v>234</v>
      </c>
    </row>
    <row r="62" spans="1:3" x14ac:dyDescent="0.3">
      <c r="A62">
        <v>61</v>
      </c>
      <c r="B62" s="39" t="s">
        <v>49</v>
      </c>
      <c r="C62" s="39" t="s">
        <v>235</v>
      </c>
    </row>
    <row r="63" spans="1:3" x14ac:dyDescent="0.3">
      <c r="A63">
        <v>62</v>
      </c>
      <c r="B63" s="39" t="s">
        <v>236</v>
      </c>
      <c r="C63" s="39" t="s">
        <v>237</v>
      </c>
    </row>
    <row r="64" spans="1:3" x14ac:dyDescent="0.3">
      <c r="A64">
        <v>63</v>
      </c>
      <c r="B64" s="39" t="s">
        <v>238</v>
      </c>
      <c r="C64" s="39" t="s">
        <v>239</v>
      </c>
    </row>
    <row r="65" spans="1:3" x14ac:dyDescent="0.3">
      <c r="A65">
        <v>64</v>
      </c>
      <c r="B65" s="39" t="s">
        <v>240</v>
      </c>
      <c r="C65" s="39" t="s">
        <v>241</v>
      </c>
    </row>
    <row r="66" spans="1:3" x14ac:dyDescent="0.3">
      <c r="A66">
        <v>65</v>
      </c>
      <c r="B66" s="39" t="s">
        <v>242</v>
      </c>
      <c r="C66" s="39" t="s">
        <v>243</v>
      </c>
    </row>
    <row r="67" spans="1:3" x14ac:dyDescent="0.3">
      <c r="A67">
        <v>66</v>
      </c>
      <c r="B67" s="39" t="s">
        <v>244</v>
      </c>
      <c r="C67" s="39" t="s">
        <v>245</v>
      </c>
    </row>
    <row r="68" spans="1:3" x14ac:dyDescent="0.3">
      <c r="A68">
        <v>67</v>
      </c>
      <c r="B68" s="39" t="s">
        <v>246</v>
      </c>
      <c r="C68" s="39" t="s">
        <v>247</v>
      </c>
    </row>
    <row r="69" spans="1:3" x14ac:dyDescent="0.3">
      <c r="A69">
        <v>68</v>
      </c>
      <c r="B69" s="39" t="s">
        <v>248</v>
      </c>
      <c r="C69" s="39" t="s">
        <v>249</v>
      </c>
    </row>
    <row r="70" spans="1:3" x14ac:dyDescent="0.3">
      <c r="A70">
        <v>69</v>
      </c>
      <c r="B70" s="39" t="s">
        <v>250</v>
      </c>
      <c r="C70" s="39" t="s">
        <v>251</v>
      </c>
    </row>
    <row r="71" spans="1:3" x14ac:dyDescent="0.3">
      <c r="A71">
        <v>70</v>
      </c>
      <c r="B71" s="39" t="s">
        <v>260</v>
      </c>
      <c r="C71" s="39" t="s">
        <v>261</v>
      </c>
    </row>
    <row r="72" spans="1:3" x14ac:dyDescent="0.3">
      <c r="A72">
        <v>71</v>
      </c>
      <c r="B72" s="39" t="s">
        <v>262</v>
      </c>
      <c r="C72" s="39" t="s">
        <v>298</v>
      </c>
    </row>
    <row r="73" spans="1:3" x14ac:dyDescent="0.3">
      <c r="A73">
        <v>72</v>
      </c>
      <c r="B73" s="39" t="s">
        <v>255</v>
      </c>
      <c r="C73" s="39" t="s">
        <v>256</v>
      </c>
    </row>
    <row r="74" spans="1:3" x14ac:dyDescent="0.3">
      <c r="A74">
        <v>73</v>
      </c>
      <c r="B74" s="39" t="s">
        <v>265</v>
      </c>
      <c r="C74" s="39" t="s">
        <v>266</v>
      </c>
    </row>
    <row r="75" spans="1:3" x14ac:dyDescent="0.3">
      <c r="A75">
        <v>74</v>
      </c>
      <c r="B75" s="39" t="s">
        <v>267</v>
      </c>
      <c r="C75" s="39" t="s">
        <v>268</v>
      </c>
    </row>
    <row r="76" spans="1:3" x14ac:dyDescent="0.3">
      <c r="A76">
        <v>75</v>
      </c>
      <c r="B76" s="39" t="s">
        <v>269</v>
      </c>
      <c r="C76" s="39" t="s">
        <v>270</v>
      </c>
    </row>
    <row r="77" spans="1:3" x14ac:dyDescent="0.3">
      <c r="A77">
        <v>76</v>
      </c>
      <c r="B77" s="39" t="s">
        <v>271</v>
      </c>
      <c r="C77" s="39" t="s">
        <v>272</v>
      </c>
    </row>
    <row r="78" spans="1:3" x14ac:dyDescent="0.3">
      <c r="A78">
        <v>77</v>
      </c>
      <c r="B78" s="39" t="s">
        <v>273</v>
      </c>
      <c r="C78" s="39" t="s">
        <v>157</v>
      </c>
    </row>
    <row r="79" spans="1:3" x14ac:dyDescent="0.3">
      <c r="A79">
        <v>78</v>
      </c>
      <c r="B79" s="39" t="s">
        <v>274</v>
      </c>
      <c r="C79" s="39" t="s">
        <v>275</v>
      </c>
    </row>
    <row r="80" spans="1:3" x14ac:dyDescent="0.3">
      <c r="A80">
        <v>79</v>
      </c>
      <c r="B80" s="39" t="s">
        <v>276</v>
      </c>
      <c r="C80" s="39" t="s">
        <v>277</v>
      </c>
    </row>
    <row r="81" spans="1:3" x14ac:dyDescent="0.3">
      <c r="A81">
        <v>80</v>
      </c>
      <c r="B81" t="s">
        <v>278</v>
      </c>
      <c r="C81" t="s">
        <v>279</v>
      </c>
    </row>
    <row r="82" spans="1:3" x14ac:dyDescent="0.3">
      <c r="A82">
        <v>81</v>
      </c>
      <c r="B82" t="s">
        <v>299</v>
      </c>
      <c r="C82" t="s">
        <v>300</v>
      </c>
    </row>
    <row r="83" spans="1:3" x14ac:dyDescent="0.3">
      <c r="A83">
        <v>82</v>
      </c>
      <c r="B83" t="s">
        <v>301</v>
      </c>
      <c r="C83" t="s">
        <v>302</v>
      </c>
    </row>
    <row r="84" spans="1:3" x14ac:dyDescent="0.3">
      <c r="A84">
        <v>83</v>
      </c>
      <c r="B84" t="s">
        <v>303</v>
      </c>
      <c r="C84" t="s">
        <v>304</v>
      </c>
    </row>
    <row r="85" spans="1:3" x14ac:dyDescent="0.3">
      <c r="A85">
        <v>84</v>
      </c>
      <c r="B85" t="s">
        <v>305</v>
      </c>
      <c r="C85" t="s">
        <v>306</v>
      </c>
    </row>
    <row r="86" spans="1:3" x14ac:dyDescent="0.3">
      <c r="A86">
        <v>85</v>
      </c>
      <c r="B86" t="s">
        <v>307</v>
      </c>
      <c r="C86" t="s">
        <v>308</v>
      </c>
    </row>
    <row r="87" spans="1:3" x14ac:dyDescent="0.3">
      <c r="A87">
        <v>86</v>
      </c>
      <c r="B87" t="s">
        <v>309</v>
      </c>
      <c r="C87" t="s">
        <v>310</v>
      </c>
    </row>
    <row r="88" spans="1:3" x14ac:dyDescent="0.3">
      <c r="A88">
        <v>87</v>
      </c>
      <c r="B88" t="s">
        <v>311</v>
      </c>
      <c r="C88" t="s">
        <v>312</v>
      </c>
    </row>
    <row r="89" spans="1:3" x14ac:dyDescent="0.3">
      <c r="A89">
        <v>88</v>
      </c>
      <c r="B89" t="s">
        <v>313</v>
      </c>
      <c r="C89" t="s">
        <v>314</v>
      </c>
    </row>
    <row r="90" spans="1:3" x14ac:dyDescent="0.3">
      <c r="A90">
        <v>89</v>
      </c>
      <c r="B90" t="s">
        <v>461</v>
      </c>
      <c r="C90" t="s">
        <v>462</v>
      </c>
    </row>
    <row r="91" spans="1:3" x14ac:dyDescent="0.3">
      <c r="A91">
        <v>90</v>
      </c>
      <c r="B91" t="s">
        <v>315</v>
      </c>
      <c r="C91" t="s">
        <v>316</v>
      </c>
    </row>
    <row r="92" spans="1:3" x14ac:dyDescent="0.3">
      <c r="A92">
        <v>91</v>
      </c>
      <c r="B92" t="s">
        <v>317</v>
      </c>
      <c r="C92" t="s">
        <v>318</v>
      </c>
    </row>
    <row r="93" spans="1:3" x14ac:dyDescent="0.3">
      <c r="A93">
        <v>92</v>
      </c>
      <c r="B93" t="s">
        <v>319</v>
      </c>
      <c r="C93" t="s">
        <v>320</v>
      </c>
    </row>
    <row r="94" spans="1:3" x14ac:dyDescent="0.3">
      <c r="A94">
        <v>93</v>
      </c>
      <c r="B94" t="s">
        <v>321</v>
      </c>
      <c r="C94" t="s">
        <v>322</v>
      </c>
    </row>
    <row r="95" spans="1:3" x14ac:dyDescent="0.3">
      <c r="A95">
        <v>94</v>
      </c>
      <c r="B95" t="s">
        <v>323</v>
      </c>
      <c r="C95" t="s">
        <v>149</v>
      </c>
    </row>
    <row r="96" spans="1:3" x14ac:dyDescent="0.3">
      <c r="A96">
        <v>95</v>
      </c>
      <c r="B96" t="s">
        <v>324</v>
      </c>
      <c r="C96" t="s">
        <v>325</v>
      </c>
    </row>
    <row r="97" spans="1:3" x14ac:dyDescent="0.3">
      <c r="A97">
        <v>96</v>
      </c>
      <c r="B97" t="s">
        <v>326</v>
      </c>
      <c r="C97" t="s">
        <v>327</v>
      </c>
    </row>
    <row r="98" spans="1:3" x14ac:dyDescent="0.3">
      <c r="A98">
        <v>97</v>
      </c>
      <c r="B98" t="s">
        <v>328</v>
      </c>
      <c r="C98" t="s">
        <v>329</v>
      </c>
    </row>
    <row r="99" spans="1:3" x14ac:dyDescent="0.3">
      <c r="A99">
        <v>98</v>
      </c>
      <c r="B99" t="s">
        <v>330</v>
      </c>
      <c r="C99" t="s">
        <v>331</v>
      </c>
    </row>
    <row r="100" spans="1:3" x14ac:dyDescent="0.3">
      <c r="A100">
        <v>99</v>
      </c>
      <c r="B100" t="s">
        <v>332</v>
      </c>
      <c r="C100" t="s">
        <v>333</v>
      </c>
    </row>
    <row r="101" spans="1:3" x14ac:dyDescent="0.3">
      <c r="A101">
        <v>100</v>
      </c>
      <c r="B101" t="s">
        <v>334</v>
      </c>
      <c r="C101" t="s">
        <v>335</v>
      </c>
    </row>
    <row r="102" spans="1:3" x14ac:dyDescent="0.3">
      <c r="A102">
        <v>101</v>
      </c>
      <c r="B102" t="s">
        <v>336</v>
      </c>
      <c r="C102" t="s">
        <v>337</v>
      </c>
    </row>
    <row r="103" spans="1:3" x14ac:dyDescent="0.3">
      <c r="A103">
        <v>102</v>
      </c>
      <c r="B103" t="s">
        <v>338</v>
      </c>
      <c r="C103" t="s">
        <v>339</v>
      </c>
    </row>
    <row r="104" spans="1:3" x14ac:dyDescent="0.3">
      <c r="A104">
        <v>103</v>
      </c>
      <c r="B104" t="s">
        <v>340</v>
      </c>
      <c r="C104" t="s">
        <v>341</v>
      </c>
    </row>
    <row r="105" spans="1:3" x14ac:dyDescent="0.3">
      <c r="A105">
        <v>104</v>
      </c>
      <c r="B105" t="s">
        <v>342</v>
      </c>
      <c r="C105" t="s">
        <v>343</v>
      </c>
    </row>
    <row r="106" spans="1:3" x14ac:dyDescent="0.3">
      <c r="A106">
        <v>105</v>
      </c>
      <c r="B106" t="s">
        <v>344</v>
      </c>
      <c r="C106" t="s">
        <v>345</v>
      </c>
    </row>
    <row r="107" spans="1:3" x14ac:dyDescent="0.3">
      <c r="A107">
        <v>106</v>
      </c>
      <c r="B107" t="s">
        <v>346</v>
      </c>
      <c r="C107" t="s">
        <v>347</v>
      </c>
    </row>
    <row r="108" spans="1:3" x14ac:dyDescent="0.3">
      <c r="A108">
        <v>107</v>
      </c>
      <c r="B108" t="s">
        <v>348</v>
      </c>
      <c r="C108" t="s">
        <v>349</v>
      </c>
    </row>
    <row r="109" spans="1:3" x14ac:dyDescent="0.3">
      <c r="A109">
        <v>108</v>
      </c>
      <c r="B109" t="s">
        <v>350</v>
      </c>
      <c r="C109" t="s">
        <v>351</v>
      </c>
    </row>
    <row r="110" spans="1:3" x14ac:dyDescent="0.3">
      <c r="A110">
        <v>109</v>
      </c>
      <c r="B110" t="s">
        <v>352</v>
      </c>
      <c r="C110" t="s">
        <v>353</v>
      </c>
    </row>
    <row r="111" spans="1:3" x14ac:dyDescent="0.3">
      <c r="A111">
        <v>110</v>
      </c>
      <c r="B111" t="s">
        <v>354</v>
      </c>
      <c r="C111" t="s">
        <v>355</v>
      </c>
    </row>
    <row r="112" spans="1:3" x14ac:dyDescent="0.3">
      <c r="A112">
        <v>111</v>
      </c>
      <c r="B112" t="s">
        <v>356</v>
      </c>
      <c r="C112" t="s">
        <v>361</v>
      </c>
    </row>
    <row r="113" spans="1:3" x14ac:dyDescent="0.3">
      <c r="A113">
        <v>112</v>
      </c>
      <c r="B113" t="s">
        <v>369</v>
      </c>
      <c r="C113" t="s">
        <v>370</v>
      </c>
    </row>
    <row r="114" spans="1:3" x14ac:dyDescent="0.3">
      <c r="A114">
        <v>113</v>
      </c>
      <c r="B114" t="s">
        <v>371</v>
      </c>
      <c r="C114" t="s">
        <v>372</v>
      </c>
    </row>
    <row r="115" spans="1:3" x14ac:dyDescent="0.3">
      <c r="A115">
        <v>114</v>
      </c>
      <c r="B115" t="s">
        <v>373</v>
      </c>
      <c r="C115" t="s">
        <v>374</v>
      </c>
    </row>
    <row r="116" spans="1:3" x14ac:dyDescent="0.3">
      <c r="A116">
        <v>115</v>
      </c>
      <c r="B116" t="s">
        <v>375</v>
      </c>
      <c r="C116" t="s">
        <v>377</v>
      </c>
    </row>
    <row r="117" spans="1:3" x14ac:dyDescent="0.3">
      <c r="A117">
        <v>116</v>
      </c>
      <c r="B117" t="s">
        <v>398</v>
      </c>
      <c r="C117" t="s">
        <v>399</v>
      </c>
    </row>
    <row r="118" spans="1:3" x14ac:dyDescent="0.3">
      <c r="A118">
        <v>117</v>
      </c>
      <c r="B118" t="s">
        <v>400</v>
      </c>
      <c r="C118" t="s">
        <v>401</v>
      </c>
    </row>
    <row r="119" spans="1:3" x14ac:dyDescent="0.3">
      <c r="A119">
        <v>118</v>
      </c>
      <c r="B119" t="s">
        <v>376</v>
      </c>
      <c r="C119" t="s">
        <v>377</v>
      </c>
    </row>
    <row r="120" spans="1:3" x14ac:dyDescent="0.3">
      <c r="A120">
        <v>119</v>
      </c>
      <c r="B120" t="s">
        <v>415</v>
      </c>
      <c r="C120" t="s">
        <v>416</v>
      </c>
    </row>
    <row r="121" spans="1:3" x14ac:dyDescent="0.3">
      <c r="A121">
        <v>120</v>
      </c>
      <c r="B121" t="s">
        <v>418</v>
      </c>
      <c r="C121" t="s">
        <v>417</v>
      </c>
    </row>
    <row r="122" spans="1:3" x14ac:dyDescent="0.3">
      <c r="A122">
        <v>121</v>
      </c>
      <c r="B122" t="s">
        <v>419</v>
      </c>
      <c r="C122" t="s">
        <v>115</v>
      </c>
    </row>
    <row r="123" spans="1:3" x14ac:dyDescent="0.3">
      <c r="A123">
        <v>122</v>
      </c>
      <c r="B123" t="s">
        <v>611</v>
      </c>
      <c r="C123" t="s">
        <v>431</v>
      </c>
    </row>
    <row r="124" spans="1:3" x14ac:dyDescent="0.3">
      <c r="A124">
        <v>123</v>
      </c>
      <c r="B124" t="s">
        <v>435</v>
      </c>
      <c r="C124" t="s">
        <v>436</v>
      </c>
    </row>
    <row r="125" spans="1:3" x14ac:dyDescent="0.3">
      <c r="A125">
        <v>124</v>
      </c>
      <c r="B125" t="s">
        <v>442</v>
      </c>
      <c r="C125" t="s">
        <v>443</v>
      </c>
    </row>
    <row r="126" spans="1:3" x14ac:dyDescent="0.3">
      <c r="A126">
        <v>125</v>
      </c>
      <c r="B126" t="s">
        <v>444</v>
      </c>
      <c r="C126" t="s">
        <v>445</v>
      </c>
    </row>
    <row r="127" spans="1:3" x14ac:dyDescent="0.3">
      <c r="A127">
        <v>126</v>
      </c>
      <c r="B127" t="s">
        <v>468</v>
      </c>
      <c r="C127" t="s">
        <v>469</v>
      </c>
    </row>
    <row r="128" spans="1:3" x14ac:dyDescent="0.3">
      <c r="A128">
        <v>127</v>
      </c>
      <c r="B128" t="s">
        <v>470</v>
      </c>
      <c r="C128" t="s">
        <v>471</v>
      </c>
    </row>
    <row r="129" spans="1:3" x14ac:dyDescent="0.3">
      <c r="A129">
        <v>128</v>
      </c>
      <c r="B129" t="s">
        <v>472</v>
      </c>
      <c r="C129" t="s">
        <v>473</v>
      </c>
    </row>
    <row r="130" spans="1:3" x14ac:dyDescent="0.3">
      <c r="A130">
        <v>129</v>
      </c>
      <c r="B130" t="s">
        <v>482</v>
      </c>
      <c r="C130" t="s">
        <v>483</v>
      </c>
    </row>
    <row r="131" spans="1:3" x14ac:dyDescent="0.3">
      <c r="A131">
        <v>130</v>
      </c>
      <c r="B131" t="s">
        <v>484</v>
      </c>
      <c r="C131" t="s">
        <v>485</v>
      </c>
    </row>
    <row r="132" spans="1:3" x14ac:dyDescent="0.3">
      <c r="A132">
        <v>131</v>
      </c>
      <c r="B132" t="s">
        <v>512</v>
      </c>
      <c r="C132" t="s">
        <v>517</v>
      </c>
    </row>
    <row r="133" spans="1:3" x14ac:dyDescent="0.3">
      <c r="A133">
        <v>132</v>
      </c>
      <c r="B133" t="s">
        <v>513</v>
      </c>
      <c r="C133" t="s">
        <v>514</v>
      </c>
    </row>
    <row r="134" spans="1:3" x14ac:dyDescent="0.3">
      <c r="A134">
        <v>133</v>
      </c>
      <c r="B134" t="s">
        <v>542</v>
      </c>
      <c r="C134" t="s">
        <v>543</v>
      </c>
    </row>
    <row r="135" spans="1:3" x14ac:dyDescent="0.3">
      <c r="A135">
        <v>134</v>
      </c>
      <c r="B135" t="s">
        <v>544</v>
      </c>
      <c r="C135" t="s">
        <v>545</v>
      </c>
    </row>
    <row r="136" spans="1:3" x14ac:dyDescent="0.3">
      <c r="A136">
        <v>135</v>
      </c>
      <c r="B136" t="s">
        <v>547</v>
      </c>
      <c r="C136" t="s">
        <v>546</v>
      </c>
    </row>
    <row r="137" spans="1:3" x14ac:dyDescent="0.3">
      <c r="A137">
        <v>136</v>
      </c>
      <c r="B137" t="s">
        <v>548</v>
      </c>
      <c r="C137" t="s">
        <v>549</v>
      </c>
    </row>
    <row r="138" spans="1:3" x14ac:dyDescent="0.3">
      <c r="A138">
        <v>137</v>
      </c>
      <c r="B138" t="s">
        <v>552</v>
      </c>
      <c r="C138" t="s">
        <v>553</v>
      </c>
    </row>
    <row r="139" spans="1:3" x14ac:dyDescent="0.3">
      <c r="A139">
        <v>138</v>
      </c>
      <c r="B139" t="s">
        <v>612</v>
      </c>
      <c r="C139" t="s">
        <v>613</v>
      </c>
    </row>
    <row r="140" spans="1:3" x14ac:dyDescent="0.3">
      <c r="A140">
        <v>139</v>
      </c>
      <c r="B140" t="s">
        <v>628</v>
      </c>
      <c r="C140" t="s">
        <v>627</v>
      </c>
    </row>
    <row r="141" spans="1:3" x14ac:dyDescent="0.3">
      <c r="A141">
        <v>140</v>
      </c>
      <c r="B141" t="s">
        <v>629</v>
      </c>
      <c r="C141" t="s">
        <v>630</v>
      </c>
    </row>
    <row r="142" spans="1:3" x14ac:dyDescent="0.3">
      <c r="A142">
        <v>141</v>
      </c>
      <c r="B142" t="s">
        <v>631</v>
      </c>
      <c r="C142" t="s">
        <v>632</v>
      </c>
    </row>
    <row r="143" spans="1:3" x14ac:dyDescent="0.3">
      <c r="A143">
        <v>142</v>
      </c>
      <c r="B143" t="s">
        <v>668</v>
      </c>
      <c r="C143" t="s">
        <v>669</v>
      </c>
    </row>
    <row r="144" spans="1:3" x14ac:dyDescent="0.3">
      <c r="A144">
        <v>143</v>
      </c>
      <c r="B144" t="s">
        <v>670</v>
      </c>
      <c r="C144" t="s">
        <v>671</v>
      </c>
    </row>
  </sheetData>
  <autoFilter ref="A1:C133"/>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89</v>
      </c>
      <c r="B1" s="36" t="s">
        <v>90</v>
      </c>
      <c r="C1" s="36" t="s">
        <v>91</v>
      </c>
      <c r="D1" s="36" t="s">
        <v>4</v>
      </c>
      <c r="E1" s="36" t="s">
        <v>92</v>
      </c>
      <c r="F1" s="36" t="s">
        <v>50</v>
      </c>
      <c r="G1" s="36" t="s">
        <v>93</v>
      </c>
      <c r="H1" s="38">
        <f>COUNTA(B:B)-1</f>
        <v>0</v>
      </c>
      <c r="L1" s="37">
        <f ca="1">TODAY()</f>
        <v>43129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2"/>
  <sheetViews>
    <sheetView topLeftCell="A20" workbookViewId="0">
      <selection activeCell="H32" sqref="H32"/>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41</v>
      </c>
      <c r="D1" s="10" t="s">
        <v>34</v>
      </c>
    </row>
    <row r="2" spans="1:4" x14ac:dyDescent="0.3">
      <c r="A2" s="5" t="s">
        <v>26</v>
      </c>
      <c r="B2" s="4"/>
      <c r="C2" t="s">
        <v>49</v>
      </c>
    </row>
    <row r="3" spans="1:4" x14ac:dyDescent="0.3">
      <c r="A3" s="5" t="s">
        <v>27</v>
      </c>
      <c r="B3" s="4"/>
      <c r="C3" t="s">
        <v>136</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95</v>
      </c>
      <c r="B7" s="4"/>
      <c r="C7" t="s">
        <v>47</v>
      </c>
    </row>
    <row r="8" spans="1:4" x14ac:dyDescent="0.3">
      <c r="A8" t="s">
        <v>96</v>
      </c>
      <c r="B8" s="4"/>
      <c r="C8" s="5" t="s">
        <v>28</v>
      </c>
    </row>
    <row r="9" spans="1:4" x14ac:dyDescent="0.3">
      <c r="A9" t="s">
        <v>97</v>
      </c>
      <c r="B9" s="4"/>
      <c r="C9" t="s">
        <v>52</v>
      </c>
    </row>
    <row r="10" spans="1:4" x14ac:dyDescent="0.3">
      <c r="A10" t="s">
        <v>105</v>
      </c>
      <c r="B10" s="4"/>
      <c r="C10" t="s">
        <v>53</v>
      </c>
    </row>
    <row r="11" spans="1:4" x14ac:dyDescent="0.3">
      <c r="B11" s="4"/>
      <c r="C11" t="s">
        <v>55</v>
      </c>
    </row>
    <row r="12" spans="1:4" x14ac:dyDescent="0.3">
      <c r="B12" s="4"/>
      <c r="C12" t="s">
        <v>56</v>
      </c>
    </row>
    <row r="13" spans="1:4" x14ac:dyDescent="0.3">
      <c r="B13" s="4"/>
      <c r="C13" t="s">
        <v>83</v>
      </c>
    </row>
    <row r="14" spans="1:4" x14ac:dyDescent="0.3">
      <c r="B14" s="4"/>
      <c r="C14" t="s">
        <v>84</v>
      </c>
    </row>
    <row r="15" spans="1:4" x14ac:dyDescent="0.3">
      <c r="B15" s="4"/>
      <c r="C15" t="s">
        <v>85</v>
      </c>
    </row>
    <row r="16" spans="1:4" x14ac:dyDescent="0.3">
      <c r="B16" s="4"/>
      <c r="C16" t="s">
        <v>116</v>
      </c>
    </row>
    <row r="17" spans="2:3" x14ac:dyDescent="0.3">
      <c r="B17" s="4"/>
      <c r="C17" t="s">
        <v>98</v>
      </c>
    </row>
    <row r="18" spans="2:3" x14ac:dyDescent="0.3">
      <c r="C18" t="s">
        <v>95</v>
      </c>
    </row>
    <row r="19" spans="2:3" x14ac:dyDescent="0.3">
      <c r="C19" t="s">
        <v>99</v>
      </c>
    </row>
    <row r="20" spans="2:3" x14ac:dyDescent="0.3">
      <c r="C20" t="s">
        <v>100</v>
      </c>
    </row>
    <row r="21" spans="2:3" x14ac:dyDescent="0.3">
      <c r="C21" t="s">
        <v>101</v>
      </c>
    </row>
    <row r="22" spans="2:3" x14ac:dyDescent="0.3">
      <c r="C22" t="s">
        <v>102</v>
      </c>
    </row>
    <row r="23" spans="2:3" x14ac:dyDescent="0.3">
      <c r="C23" t="s">
        <v>37</v>
      </c>
    </row>
    <row r="24" spans="2:3" x14ac:dyDescent="0.3">
      <c r="C24" t="s">
        <v>106</v>
      </c>
    </row>
    <row r="25" spans="2:3" x14ac:dyDescent="0.3">
      <c r="C25" t="s">
        <v>107</v>
      </c>
    </row>
    <row r="26" spans="2:3" x14ac:dyDescent="0.3">
      <c r="C26" t="s">
        <v>137</v>
      </c>
    </row>
    <row r="27" spans="2:3" x14ac:dyDescent="0.3">
      <c r="C27" t="s">
        <v>138</v>
      </c>
    </row>
    <row r="28" spans="2:3" x14ac:dyDescent="0.3">
      <c r="C28" t="s">
        <v>139</v>
      </c>
    </row>
    <row r="29" spans="2:3" x14ac:dyDescent="0.3">
      <c r="C29" t="s">
        <v>151</v>
      </c>
    </row>
    <row r="30" spans="2:3" x14ac:dyDescent="0.3">
      <c r="C30" t="s">
        <v>152</v>
      </c>
    </row>
    <row r="31" spans="2:3" x14ac:dyDescent="0.3">
      <c r="C31" t="s">
        <v>153</v>
      </c>
    </row>
    <row r="32" spans="2:3" x14ac:dyDescent="0.3">
      <c r="C32" t="s">
        <v>176</v>
      </c>
    </row>
    <row r="33" spans="3:3" x14ac:dyDescent="0.3">
      <c r="C33" t="s">
        <v>177</v>
      </c>
    </row>
    <row r="34" spans="3:3" x14ac:dyDescent="0.3">
      <c r="C34" t="s">
        <v>178</v>
      </c>
    </row>
    <row r="35" spans="3:3" x14ac:dyDescent="0.3">
      <c r="C35" t="s">
        <v>214</v>
      </c>
    </row>
    <row r="36" spans="3:3" x14ac:dyDescent="0.3">
      <c r="C36" t="s">
        <v>263</v>
      </c>
    </row>
    <row r="37" spans="3:3" x14ac:dyDescent="0.3">
      <c r="C37" t="s">
        <v>264</v>
      </c>
    </row>
    <row r="38" spans="3:3" x14ac:dyDescent="0.3">
      <c r="C38" t="s">
        <v>287</v>
      </c>
    </row>
    <row r="39" spans="3:3" x14ac:dyDescent="0.3">
      <c r="C39" t="s">
        <v>411</v>
      </c>
    </row>
    <row r="40" spans="3:3" x14ac:dyDescent="0.3">
      <c r="C40" t="s">
        <v>531</v>
      </c>
    </row>
    <row r="41" spans="3:3" x14ac:dyDescent="0.3">
      <c r="C41" t="s">
        <v>532</v>
      </c>
    </row>
    <row r="42" spans="3:3" x14ac:dyDescent="0.3">
      <c r="C42" t="s">
        <v>533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2018-01-29T10:04:15Z</dcterms:modified>
</cp:coreProperties>
</file>