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10380" windowHeight="5796" activeTab="5"/>
  </bookViews>
  <sheets>
    <sheet name="Ротапост" sheetId="3" r:id="rId1"/>
    <sheet name="Прод" sheetId="6" r:id="rId2"/>
    <sheet name="Лист1" sheetId="12" r:id="rId3"/>
    <sheet name="BufferList" sheetId="11" state="hidden" r:id="rId4"/>
    <sheet name="Отложенные" sheetId="10" r:id="rId5"/>
    <sheet name="Исключения" sheetId="8" r:id="rId6"/>
    <sheet name="Ключи" sheetId="9" r:id="rId7"/>
  </sheets>
  <functionGroups builtInGroupCount="18"/>
  <definedNames>
    <definedName name="_xlnm._FilterDatabase" localSheetId="5" hidden="1">Исключения!$C$1:$C$25</definedName>
    <definedName name="_xlnm._FilterDatabase" localSheetId="2" hidden="1">Лист1!$A$1:$D$15</definedName>
    <definedName name="_xlnm._FilterDatabase" localSheetId="1" hidden="1">Прод!$A$1:$A$29</definedName>
    <definedName name="_xlnm._FilterDatabase" localSheetId="0" hidden="1">Ротапост!$A$25:$A$25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3" l="1"/>
  <c r="H1" i="10" l="1"/>
  <c r="L1" i="10" l="1"/>
  <c r="A1" i="9" l="1"/>
  <c r="C1" i="8" l="1"/>
  <c r="A1" i="8" l="1"/>
  <c r="C2" i="6" l="1"/>
</calcChain>
</file>

<file path=xl/connections.xml><?xml version="1.0" encoding="utf-8"?>
<connections xmlns="http://schemas.openxmlformats.org/spreadsheetml/2006/main">
  <connection id="1" name="Подключение" type="4" refreshedVersion="0" background="1">
    <webPr sourceData="1" parsePre="1" consecutive="1" url="https://api.rotapost.ru/Task/Webmaster?Status=ToDo&amp;ApiKey=37237948-fe41-4bb5-8757-f2b00326e524" htmlFormat="all"/>
  </connection>
</connections>
</file>

<file path=xl/sharedStrings.xml><?xml version="1.0" encoding="utf-8"?>
<sst xmlns="http://schemas.openxmlformats.org/spreadsheetml/2006/main" count="353" uniqueCount="295">
  <si>
    <t>Ссылка</t>
  </si>
  <si>
    <t>Ключевое слово</t>
  </si>
  <si>
    <t>Перевод</t>
  </si>
  <si>
    <t>Уникальность</t>
  </si>
  <si>
    <t>Success</t>
  </si>
  <si>
    <t>ApiKey</t>
  </si>
  <si>
    <t>Id</t>
  </si>
  <si>
    <t>Type</t>
  </si>
  <si>
    <t>Text</t>
  </si>
  <si>
    <t>Comment</t>
  </si>
  <si>
    <t>Site</t>
  </si>
  <si>
    <t>CheckUrl</t>
  </si>
  <si>
    <t>Price</t>
  </si>
  <si>
    <t>CreateDate</t>
  </si>
  <si>
    <t>TakenDate</t>
  </si>
  <si>
    <t>CompletedDate</t>
  </si>
  <si>
    <t>ApprovedDate</t>
  </si>
  <si>
    <t>RejectedDate</t>
  </si>
  <si>
    <t>ReturnCount</t>
  </si>
  <si>
    <t>ModificationPrice</t>
  </si>
  <si>
    <t>AutoActionTime</t>
  </si>
  <si>
    <t>NofollowRequired</t>
  </si>
  <si>
    <t>Error</t>
  </si>
  <si>
    <t>Обрезка</t>
  </si>
  <si>
    <t>Начинка</t>
  </si>
  <si>
    <t>Блоки</t>
  </si>
  <si>
    <t>Обрез2</t>
  </si>
  <si>
    <t>русский</t>
  </si>
  <si>
    <t>українська</t>
  </si>
  <si>
    <t>пожалуйста зарегистрируйтесь</t>
  </si>
  <si>
    <t>только зарегистрированные пользователи</t>
  </si>
  <si>
    <t>Анкор</t>
  </si>
  <si>
    <t>Тема</t>
  </si>
  <si>
    <t>Линк</t>
  </si>
  <si>
    <t>Proxy</t>
  </si>
  <si>
    <t>Отбор по предложениям</t>
  </si>
  <si>
    <t>мы предлогаем</t>
  </si>
  <si>
    <t>у нас в офисе</t>
  </si>
  <si>
    <t>мы работаем</t>
  </si>
  <si>
    <t>Закрытие</t>
  </si>
  <si>
    <t>Кол. Строк</t>
  </si>
  <si>
    <t>live</t>
  </si>
  <si>
    <t>о телеканале</t>
  </si>
  <si>
    <t>Картинка</t>
  </si>
  <si>
    <t>Пользователь</t>
  </si>
  <si>
    <t>Конечный текст</t>
  </si>
  <si>
    <t>Дата соз. Заявки</t>
  </si>
  <si>
    <t>Площадка</t>
  </si>
  <si>
    <t>интеренет-магазин</t>
  </si>
  <si>
    <t>Отбор по сайту</t>
  </si>
  <si>
    <t>компан</t>
  </si>
  <si>
    <t>Статус</t>
  </si>
  <si>
    <t>Статус заявки</t>
  </si>
  <si>
    <t>реклама</t>
  </si>
  <si>
    <t>спонсор</t>
  </si>
  <si>
    <t>Статус выгружаемых заявок</t>
  </si>
  <si>
    <t>рассказывают</t>
  </si>
  <si>
    <t>оставьте пожалуйста</t>
  </si>
  <si>
    <t>Корень слова</t>
  </si>
  <si>
    <t>Фраза</t>
  </si>
  <si>
    <t>Как выбрать квартиру.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</si>
  <si>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</si>
  <si>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</si>
  <si>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</si>
  <si>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</si>
  <si>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</si>
  <si>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орендовать недвижимость.</t>
  </si>
  <si>
    <t>алергия</t>
  </si>
  <si>
    <t>Какие причины аллергии.</t>
  </si>
  <si>
    <t>Title</t>
  </si>
  <si>
    <t>мебел</t>
  </si>
  <si>
    <t>Как выбрать мебель для дома.</t>
  </si>
  <si>
    <t>Закрыть сейчас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</si>
  <si>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</si>
  <si>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</si>
  <si>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</si>
  <si>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</si>
  <si>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</si>
  <si>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грузо</t>
  </si>
  <si>
    <t>Как выполняется перевозка грузов.</t>
  </si>
  <si>
    <t>Как правильно отбирать семена.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</si>
  <si>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</si>
  <si>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</si>
  <si>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</si>
  <si>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</si>
  <si>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</si>
  <si>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</si>
  <si>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нас просили</t>
  </si>
  <si>
    <t>видео</t>
  </si>
  <si>
    <t>предыдущей статье</t>
  </si>
  <si>
    <t>Как правильно следить за своим здоровьем.</t>
  </si>
  <si>
    <t>алкоголизм</t>
  </si>
  <si>
    <t>Как победить алкоголизм.</t>
  </si>
  <si>
    <t>№</t>
  </si>
  <si>
    <t>ID</t>
  </si>
  <si>
    <t>URL</t>
  </si>
  <si>
    <t>Дата создания</t>
  </si>
  <si>
    <t>Дата закрытия</t>
  </si>
  <si>
    <t>Как выбрать шины для автомобиля.</t>
  </si>
  <si>
    <t>многолетний опыт</t>
  </si>
  <si>
    <t>президент</t>
  </si>
  <si>
    <t>врачи клиники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</si>
  <si>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</si>
  <si>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</si>
  <si>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</si>
  <si>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</si>
  <si>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</si>
  <si>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ExpiresAt</t>
  </si>
  <si>
    <t>Как выбрать хорошие цветы.</t>
  </si>
  <si>
    <t>цветы</t>
  </si>
  <si>
    <t>форум</t>
  </si>
  <si>
    <t>росси</t>
  </si>
  <si>
    <t>республик</t>
  </si>
  <si>
    <t>оренд</t>
  </si>
  <si>
    <t>золот</t>
  </si>
  <si>
    <t>Как выбрать украшения из золота.</t>
  </si>
  <si>
    <t>Выбираем детские игрушки.</t>
  </si>
  <si>
    <t>игрушк</t>
  </si>
  <si>
    <t>Keywords с сайта.</t>
  </si>
  <si>
    <t>английск</t>
  </si>
  <si>
    <t>Как быстро выучить английский.</t>
  </si>
  <si>
    <t>жк</t>
  </si>
  <si>
    <t>шин</t>
  </si>
  <si>
    <t>одежд</t>
  </si>
  <si>
    <t>Как выбрать модную одежду.</t>
  </si>
  <si>
    <t>ноутбук</t>
  </si>
  <si>
    <t>Как правильно выбрать ноутбук.</t>
  </si>
  <si>
    <t>моноколесо</t>
  </si>
  <si>
    <t>Как пользоваться моноколесом.</t>
  </si>
  <si>
    <t>зерн</t>
  </si>
  <si>
    <t>Правильное хранение зерновых культур.</t>
  </si>
  <si>
    <t>флаг</t>
  </si>
  <si>
    <t>Где устанавливается флагшток.</t>
  </si>
  <si>
    <t>кита</t>
  </si>
  <si>
    <t>Как забрать посылку из Китая.</t>
  </si>
  <si>
    <t>раскрутка</t>
  </si>
  <si>
    <t>Как правильно раскуртить свой сайт.</t>
  </si>
  <si>
    <t>конвейер</t>
  </si>
  <si>
    <t>Где используются конвейеры.</t>
  </si>
  <si>
    <t>новострой</t>
  </si>
  <si>
    <t>Как выбрать квартиру в новостройке.</t>
  </si>
  <si>
    <t>наш</t>
  </si>
  <si>
    <t>рекомендует</t>
  </si>
  <si>
    <t>специализируюсь</t>
  </si>
  <si>
    <t>создаю</t>
  </si>
  <si>
    <t>В работе</t>
  </si>
  <si>
    <t>adonaidenver.org</t>
  </si>
  <si>
    <t>nanoplast.com.ua</t>
  </si>
  <si>
    <t>ve4e.com.ua</t>
  </si>
  <si>
    <t>иннов</t>
  </si>
  <si>
    <t>Как рождаются инновационные идеи.</t>
  </si>
  <si>
    <t>seooptimus.ru</t>
  </si>
  <si>
    <t>рыбалк</t>
  </si>
  <si>
    <t>Что нужно для рыбалки.</t>
  </si>
  <si>
    <t>кино</t>
  </si>
  <si>
    <t>Любимые жанры в кино.</t>
  </si>
  <si>
    <t>http://adonaidenver.org/yak-zabrati-posilku-z-kitayu/</t>
  </si>
  <si>
    <t>приватбанк</t>
  </si>
  <si>
    <t>dom.ria</t>
  </si>
  <si>
    <t>укрпочт</t>
  </si>
  <si>
    <t>ID заявки</t>
  </si>
  <si>
    <t>Публикация</t>
  </si>
  <si>
    <t>прическ</t>
  </si>
  <si>
    <t>Модные прически этого сезона.</t>
  </si>
  <si>
    <t>сайт</t>
  </si>
  <si>
    <t>Как создается сайт.</t>
  </si>
  <si>
    <t>amidi.com.ua</t>
  </si>
  <si>
    <t>linq.kiev.ua</t>
  </si>
  <si>
    <t>upu.org.ua</t>
  </si>
  <si>
    <t>hdtv.net.ua</t>
  </si>
  <si>
    <t>nutscn.com</t>
  </si>
  <si>
    <t>упаковк</t>
  </si>
  <si>
    <t>Праздничная упаковка подарка.</t>
  </si>
  <si>
    <t>наркотик</t>
  </si>
  <si>
    <t>Как наркотики разрушают жизнь.</t>
  </si>
  <si>
    <t>Как генетика улучшает нашу жизнь.</t>
  </si>
  <si>
    <t>генети</t>
  </si>
  <si>
    <t>infoweb.org.ua</t>
  </si>
  <si>
    <t>www.topcatalog.com.ua</t>
  </si>
  <si>
    <t>druzhba-lux.com.ua</t>
  </si>
  <si>
    <t>метал</t>
  </si>
  <si>
    <t>http://upu.org.ua/svyatkova-upakovka-podarunka/</t>
  </si>
  <si>
    <t>Не обработано</t>
  </si>
  <si>
    <t>https://amidi.com.ua/modni-zachiski-tsogo-sezonu/</t>
  </si>
  <si>
    <t>полтав</t>
  </si>
  <si>
    <t xml:space="preserve">я </t>
  </si>
  <si>
    <t>мною</t>
  </si>
  <si>
    <t>http://linq.kiev.ua/yak-stvority-sayt/</t>
  </si>
  <si>
    <t>Обработано.</t>
  </si>
  <si>
    <t>Не настроена публикация для wordpress</t>
  </si>
  <si>
    <t>Причина</t>
  </si>
  <si>
    <t>Нужна статья</t>
  </si>
  <si>
    <t>Какие изделия изготавливают из металла.</t>
  </si>
  <si>
    <t>http://druzhba-lux.com.ua/yaki-vyroby-vygotovlyayut-z-metalu/</t>
  </si>
  <si>
    <t>Нет ключей.</t>
  </si>
  <si>
    <t>Возращен.</t>
  </si>
  <si>
    <t>http://hdtv.net.ua/narkotiki-rujnuyut-zhittya/</t>
  </si>
  <si>
    <t>краска</t>
  </si>
  <si>
    <t>Как правильно выбрать краску.</t>
  </si>
  <si>
    <t>smartx.kiev.ua</t>
  </si>
  <si>
    <t>elit-a-a.com.ua</t>
  </si>
  <si>
    <t>тиковое масло</t>
  </si>
  <si>
    <t>Виды защиты древесины.</t>
  </si>
  <si>
    <t>http://smartx.kiev.ua/yak-pravilno-vibrati-farbu-dlya-poverhon/</t>
  </si>
  <si>
    <t>http://elit-a-a.com.ua/vidi-zahistu-derevini-2/</t>
  </si>
  <si>
    <t>генератор</t>
  </si>
  <si>
    <t>Как выбрать конструктор для ребенка.</t>
  </si>
  <si>
    <t>dril.com.ua</t>
  </si>
  <si>
    <t>кондиционер</t>
  </si>
  <si>
    <t>Как подобрать кондиционер.</t>
  </si>
  <si>
    <t>конструктор</t>
  </si>
  <si>
    <t>YES</t>
  </si>
  <si>
    <t>http://dril.com.ua/yak-pidibrati-konditsioner/</t>
  </si>
  <si>
    <t>http://upu.org.ua/yak-vibrati-konstruktor-dlya-ditini/</t>
  </si>
  <si>
    <t>kpln.com.ua</t>
  </si>
  <si>
    <t>interline.net.ua</t>
  </si>
  <si>
    <t>перфоратор</t>
  </si>
  <si>
    <t>Как выбрать дрель для дома.</t>
  </si>
  <si>
    <t>Не поддреживает публикацию.</t>
  </si>
  <si>
    <t>На доработке</t>
  </si>
  <si>
    <t>Нужен прессрелиз</t>
  </si>
  <si>
    <t>fledur.org.ua</t>
  </si>
  <si>
    <t>Где применяются электрические генераторы.</t>
  </si>
  <si>
    <t>посвящается</t>
  </si>
  <si>
    <t>http://ve4e.com.ua/de-zastosovuyutsya-elektrichni-generatori/</t>
  </si>
  <si>
    <t>Обработано</t>
  </si>
  <si>
    <t>gv.org.ua</t>
  </si>
  <si>
    <t>медоборудование</t>
  </si>
  <si>
    <t>Виды оборудования для медучтереждений.</t>
  </si>
  <si>
    <t>http://investmed.pro/category/chto-my-predlagaem/prodazha-meditsinskogo-oborudovaniya/</t>
  </si>
  <si>
    <t xml:space="preserve"> _x000D_
+7(499)707-76-32_x000D_
info@investmed.org_x000D_
+7(495)380-48-38_x000D_
project@investmed.pro_x000D_
Основное меню Перейти к содержимому _x000D_
О компании _x000D_
Кто мы такие_x000D_
Наш опыт _x000D_
ПРОЕКТИРОВАНИЕ_x000D_
Строительство и ремонт_x000D_
МОДУЛИ ЧИСТЫХ ПОМЕЩЕНИЙ_x000D_
Вакансии_x000D_
Что мы предлагаем _x000D_
Проектирование медицинских учреждений, в т.ч. ОВиК, СКС, ЭС, МГ, пожарная сигнализация._x000D_
Строительство медицинских учреждений, в т.ч. ОВиК, СКС, ЭС, МГ, пожарная сигнализация._x000D_
Проектирование и строительство чистых помещений_x000D_
Оснащение медицинских учреждений_x000D_
Ремонт и обслуживание медицинской техники_x000D_
Проектирование и монтаж слаботочных систем_x000D_
Медицинское оборудование_x000D_
Расходные материалы _x000D_
Дыхательные фильтры и фильтры для очистки воды Pall_x000D_
Расходники для «Горного воздуха»_x000D_
Оборудование для физиотерапии и реабилитации_x000D_
Натронная известь_x000D_
Лейкоцитарные системы и фильтры_x000D_
Инфузионные и трансфузионные фильтры_x000D_
Специальные предложения_x000D_
Контакты_x000D_
Проектирование и строительство_x000D_
Поставка_x000D_
оборудования_x000D_
Дыхательные фильтры и фильтры для очистки воды Pall_x000D_
Оборудование для физиотерапии и реабилитации_x000D_
Расходники для "Горного воздуха"_x000D_
Натронная_x000D_
известь_x000D_
Лейкоцитарные системы и фильтры_x000D_
Инфузионные и трансфузионные фильтры_x000D_
_x000D_
_x000D_
Оснащение медицинских учреждений | Поставка медицинского оборудования_x000D_
Аппарат подачи оксида азота NOXBOX  ⇓Март 31, 2017 admin _x000D_
Аппарат подачи оксида азота NOXBOX_x000D_
В связи с ростом во всем мире количества операционных вмешательств на сердце и легких, а также быстрый рост трансплантации донорских сердец пациента, неизбежно растет интерес к такому важному компоненту защиты пациента от тяжелых осложнений, как система подачи оксида азота (NO терапия). Компания Bedfont предлагает современное надежное и безопасное оборудование для этих целей.За коммерческими предложениями обращаться по тел.: 8(495) 380-48-38_x000D_
Компания АО «Инвестмед» является эксклюзивным представителем в России компании NOxBOX (Великобритания) – производителя системы подачи оксида азота NOxBOX Mobile._x000D_
Окись азота вводится в качестве селективного легочного сосудорасширяющего средства для таких состояний как:_x000D_
Устойчивая гипертензия легких у новорожденных_x000D_
Синдром острой дыхательной недостаточности у взрослых_x000D_
Острые состояния у пациентов после операций на сердце_x000D_
NOxBOX Mobile предназначен для использования квалифицированными медиками в медицинских помещениях для ввода окиси азота (NO) в дыхательный контур пациента, проходящего терапию вдыханием окиси азота. При использовании в сочетании с монитором терапии вдыханием NO NOxBOXO2 прибор становится компонентом в системе подачи и контроля окиси азота._x000D_
Система крепится на тележке из малоуглеродистой стали с эпоксидным покрытием, которую нужно располагать рядом с прикроватным вентилятором пациента._x000D_
Во избежание внезапного прекращения терапии NO, что может оказаться очень вредным для пациента, в NOxBOX Mobile предусмотрена установка двух 10-литровых баллонов с NO и система смены баллонов с NO. Таким образом оба баллона можно установить одновременно так, что если газ в одном баллоне закончится подача NO пациенту не прекратится._x000D_
Возможность мониторинга обеспечивается NOxBOXO2, аппарат получает питание от сети и имеет резервный источник питания. Аккумуляторы NOxBOXO2 можно заряжать через сетевой трансформатор.  МониторNOxBOXO2 с помощью электрохимической технологии исследует образец газа, а микропроцессор преобразует выходное напряжение сенсора в соответствующие цифры, выводимые в качестве результата анализа._x000D_
 _x000D_
Диапазон мониторинга_x000D_
МониторДиапазон измеренийЧувствительность _x000D_
NOxBOX+ NO0-200 ‰Шаг в 0.1 ‰. Возможная чувствительность анализа 0.2 ‰ (20 частей на миллиард)._x000D_
NO2 0-50 ‰_x000D_
 NO0-99.9 ‰  _x000D_
NOxBOXO2   Шаг в 0.1 ‰ (NO и NO2). Возможная чувствительность анализа 0.2 ‰ (20 частей на миллиард). _x000D_
NO2 0-19,9 ‰ _x000D_
O2 0-99.9% _x000D_
_x000D_
 _x000D_
Датчик защищен от высокого уровня конденсата влажности, который может его повредить. Для этого имеется система кондиционирования образцов до попадания газа на датчик. _x000D_
В аппарате подачи оксида азота NOxBOX+ предусмотрены два уровня тревоги – низкий и высокий для NO, и высокий уровень тревоги для NO2. Сигнал тревоги предупреждает врача о концентрациях, находящихся за пределами допустимого диапазона. _x000D_
В аппарате подачи оксида азота NOxBOX2 предусмотрены несколько уровней тревоги – низкий и высокий для NO, высокий для NO2 и низкий уровень тревоги для O2. Сигнал тревоги предупреждает врача о концентрациях, находящихся за пределами допустимого диапазона. _x000D_
Для предупреждения персонала об утечке NO можно опционально установить детекторы газа в окружающем воздухе (NOxAIR). Специальные мониторы NO и NO2 постоянно анализируют окружающий воздух на предмет наличия очень малых концентраций этих газов. Сигналы тревоги указывают на превышение заданной предельной концентрации._x000D_
Ультразвуковые системы Esaote  ⇓Сентябрь 29, 2016 seo _x000D_
УЛЬТРАЗВУКОВЫЕ СИСТЕМЫ ESAOTE, ИТАЛИЯ_x000D_
Аппараты MyLab – ультразвуковые системы экспертного класса с возможностью объемного сканирования в реальном масштабном времени, обладающие непревзойденным качеством изображения и рядом уникальных функций во всех режимах._x000D_
  MyLab Class C – ультразвуковой аппарат премиум класса с расширенной модульной архитектурой, последним поколением технологий формирования луча и фокусировки, с увеличенным частотным режимом. Монитор MyLab Class C 19 дюймов с уникальной технологией Opti-Light, которая соотносит освещенность экрана с освещенностью в помещении, выставляя уровень яркости на сенсорной панели._x000D_
MyLab Seven – ультразвуковой аппарат экспертного класса с цветным широкоформатным поворотным жидкокристаллическим монитором, с возможностью перемещения и автономной работой до 30 минут. В комплект входит 4 бесштырьковых коннектора для электронных датчиков._x000D_
  MyLab Alpha – портативный ультразвуковой аппарат премиум класса с цветным широкоформатным поворотным жидкокристаллическим монитором, с возможностью перемещения и автономной работой до 60 минут. В комплект входит 2 бесштырьковых коннектора для электронных датчиков и порт для карандашного датчика._x000D_
 MyLab Twice – портативный ультразвуковой аппарат с системой MyLabSat, позволяющей проводить диагностические процедуры одновременно у нескольких пациентов. Датчики с частотой до 22 MHz дают возможность еще лучше обследовать поверхностные и подкожные образования и проводить поверхностные инвазивные процедуры. _x000D_
  MyLab Touch – портативный ультразвуковой аппарат нового поколения с 12-дюймовым сенсорным TFT LCD монитором, с возможностью перемещения и автономным питанием до 1,5 часов._x000D_
_x000D_
Стерилизация и дезинфекция Cisa  ⇓Сентябрь 29, 2016 seo _x000D_
СТЕРИЛИЗАЦИЯ И ДЕЗИНФЕКЦИЯ CISA, ИТАЛИЯ_x000D_
Компания АО «Инвестмед» предлагает оборудование производства CISA (Италия). Оборудование является современным, отвечающим всем международным стандартам качества, и представляет полный диапазон оборудования для дезинфекции и стерилизации._x000D_
 Низкотемпературные плазменные стерилизаторы SPS_x000D_
(с объемом камеры 142 и 314 литров)Стерилизация гибких и жестких эндоскопов (ERS) и система для их стерильного хранения (ESS)_x000D_
_x000D_
Моечно-дезинфекционные машины_x000D_
(объемы камер: 205, 225, 270 и 355 литров) Паровые стерилизаторы_x000D_
 _x000D_
 Дезинфекционные камеры для тележек, кроватей и паро-формальдегидные стерилизаторы для матрацев_x000D_
 _x000D_
_x000D_
Аспираторы и ингаляторы Nouvag  ⇓Сентябрь 29, 2016 seo _x000D_
АСПИРАТОРЫ, ИНГАЛЯТОРЫ И МОТОРНЫЕ СИСТЕМЫ NOUVAG, ШВЕЙЦАРИЯ_x000D_
Компания Nouvag была основана в 1971 году как небольшое частное производство, но на сегодняшний день это один из ведущих производителей оборудования для медицины и стоматологии в своем классе._x000D_
ВАКУУМНЫЕ АСПИРАТОРЫ для:_x000D_
Хирургии_x000D_
Реанимации_x000D_
Интенсивной терапии_x000D_
Акушерства и гинекологии_x000D_
Оториноларингологии_x000D_
Липоксации и др._x000D_
VACUSON 18_x000D_
VACUSON 40VACUSON 60_x000D_
УЛЬТРАЗВУКОВОЙ ИНГАЛЯТОРМОТОРНАЯ СИСТЕМА MD 30СИСТЕМА ДЛЯ ЛИПОСАКЦИИ VACUSON 60 LP_x000D_
  _x000D_
Челюстно-лицевой хирургии_x000D_
Оториноларингологии_x000D_
Микрохирургии_x000D_
Стоматологии_x000D_
Пластической хирургии_x000D_
Хирургии кисти_x000D_
Комбустиологии_x000D_
_x000D_
С процессорным контролем функций, подогревом аэрозоля. Пригоден для длительной работы._x000D_
_x000D_
Автоматизированные инфузионные системы B.Braun  ⇓Сентябрь 29, 2016 seo _x000D_
АВТОМАТИЗИРОВАННЫЕ ИНФУЗИОННЫЕ СИСТЕМЫ B.BRAUN, ГЕРМАНИЯ_x000D_
B.Braun (Германия) – производитель универсальных автоматизированных инфузионных систем, которые позволяют использовать один насос для всех видов инфузии._x000D_
B.BRAUN Space – это:_x000D_
Максимально эффективное использование пространства_x000D_
Высокая безопасность_x000D_
Простота и гибкость конфигурации_x000D_
Простота передачи данных_x000D_
Надежная связь с пациентом_x000D_
_x000D_
 Инфузомат Space – автоматическое перекрытие инфузионной линии при ее извлечении_x000D_
Новый Инфузомат Space имеет двойную систему защиты с двумя прерывателями свободного тока. Один из них находится в насосе, другой встроен в инфузионную систему Инфузомат Спэйс. Надежное предотвращение свободного потока жидкости обеспечивается даже в том случае, если роликовый зажим на системе не был закрыт перед ее извлечением._x000D_
Два датчика давления – на входе и выходе насоса – обеспечивают полный контроль инфузии, УЗ-датчик воздуха вместе с опциональным датчиком капель повышают эффективность всесторонней системы безопасности._x000D_
Точность инфузии +/- 5._x000D_
_x000D_
Перфузор Space – удобная и безопасная смена шприца_x000D_
Инновационный механизм привода насоса Перфузор Спейс отличается не только прекрасными стартовыми характеристиками и равномерностью инфузии, но и высокой безопасностью при введении медикаментов и исключительным удобством при смене шприца._x000D_
Фиксатор плунжера предотвращает свободный ток жидкости._x000D_
Увеличительное стекло передней панели, независимая подсветка экрана, кнопок и шприца улучшают визуализацию при любых условия эксплуатации._x000D_
_x000D_
Станция Space – мобильная модульная система_x000D_
Рациональное использование пространства и мобильность компактной и легкой конструкции_x000D_
Экономия времени за счет простоты установки и извлечения насосов_x000D_
Централизованное электропитание и подключение к компьютерной сети сокращает количество проводов_x000D_
Любое соотношение перистальтических и шприцевых насосов_x000D_
_x000D_
 Станция Spase МРТ предназначена для пространственной и функциональной организации инфузионных насосов Space. До четырех инфузионных насосов, в любом соотношении шприцевых и перистальтических, может быть установлено в одну станцию. Все, что необходимо для их интеграции это нажать одну кнопку. Надежная фиксация, единое электропитание и быстрое извлечение насоса при необходимости. Изолирует насосы от внешнего магнитного поля и обеспечивает высокое качество изображения. Встроенный датчик позволяет расположить станцию наиболее безопасно и близко к пациенту. _x000D_
 Брауностат U предназначен для стационарного и мобильного использования._x000D_
Крепление до трех насосов_x000D_
Настраиваемая по высоте (1260 -2200 мм) инфузионная стойка с подвесами для четырех инфузионных флаконов_x000D_
Емкость для жидкости_x000D_
Максимальная нагрузка 40 кПа_x000D_
Устойчивое основание с пятью колесами, два из которых снабжены стопорами._x000D_
_x000D_
_x000D_
Цифровая рентгенография и цифровая маммография Fujifilm  ⇓Сентябрь 29, 2016 seo _x000D_
ЦИФРОВАЯ РЕНТГЕНОГРАФИЯ FUJIFILM, ЯПОНИЯ_x000D_
Цифровой рентгенографический комплекс FDR AcSelerate – это система, ядром которой является новый плоский детектор (FPD), из аморфного селена, размером 43х43 см, с прямым преобразованием сигнала, отличающийся высокой эффективностью регистрации излучения. Он позволяет более эффективно использовать энергию рентгеновского излучения и получать изображения высокого качества благодаря улучшенной функции передачи модуляции и более высокой квантовой эффективности детектора. Все это способствует существенному снижению лучевой нагрузки на пациента._x000D_
Установка системы AcSelerate позволяет повысить скорость обработки изображений. Просмотреть изображение на консоли Advance можно уже через 2 секунды после его получения. Минимальный интервал между экспозициями сокращен приблизительно до 4 секунд. Консоль Advance подходит для систем FDR и FCR. _x000D_
  FCR Capsula XLII – компактный однокассетный считыватель, оснащенный дополнительной функцией считывания с разрешением 50 микрон для пластин HR-V, что позволяет детальнее визуализировать более мелкие структуры. Благодаря этому она отлично подходит, в том числе и для маммографических исследований. Высокая скорость обработки — приблизительно до 94 IP-пластин в час; время до появления изображения на экране консоли управления CR Console составляет около 23 секунд. Имеет поддержку различных размеров диагностических изображений (7 размеров кассет для рентгенографии, включая 15х30 см, и 2 размера кассет для маммографии)._x000D_
FCR Protect CS – считыватель, созданный специально для маммографии, который имеет двухстороннюю технологию считывания с разрешением 20 точек/мм для получения высококачественного цифрового рентгеновского изображения. Одновременно с маммографическими изображениями FCR PROFECT CS может обрабатывать стандартные рентгеновские снимки, что делает его универсальным решением для отделения лучевой диагностики._x000D_
 FCR Go – это цифровой передвижной аппарат с возможностью быстро и с большой точностью выполнить рентгенографию и проанализировать снимки практически в любом месте лечебного учреждения. Двухмоторный привод с возможностью регулировки скорости перемещения позволяет легко управлять аппаратом и обеспечивает превосходную мобильность даже в самых узких местах. Благодаря низкому уровню шума аппарат можно спокойно перемещать даже в ночные часы. Расположенный на передней панели датчик касания автоматически срабатывает при контакте с препятствием, мгновенно блокируя перемещение аппарата. Телескопический штатив трубки легко выдвигается и точно устанавливается в нужное положение. Расширенный диапазон горизонтального и вертикального перемещения штатива позволяет выполнять съемку на больших расстояниях с сохранением высокого качества изображений. Рентгеновская трубка также может перемещаться в горизонтальном и вертикальном направлениях для позиционирования даже при диагональном положении штатива._x000D_
 Amulet – это современный цифровой маммограф с плоскопанельным детектором прямого преобразования (FPD) с размером пикселя 50 микрон. Система обеспечивает высокое качество изображения, которое достигается использованием уникальной технологии формирования изображения FUJIFILM и предлагает оптимизированный рабочий процесс. Плоскопанельный детектор прямого преобразования содержит в себе двойной слой аморфного селена (a-Se) и вместо тонкопленочных транзисторов (TFT) использует технологию прямого оптического переключения для более эффективного считывания сигнала с меньшим уровнем шумов. При помощи технологии прямого оптического переключения (Digital Optical Switching) достигается большее значение DQE даже при размере пикселя 50 микрон._x000D_
 Плоскопанельный детектор для цифровой ренгенографии FDR D-EVO – это самый легкий плоскопанельный детектор размером 35 x 43 см, толщина 14 мм, при массе всего 2,8 кг. Система работает быстро и эффективно, – передача изображения на консоль сбора данных занимает всего три секунды, а время цикла составляет девять секунд. Патентованная технология Fujifilm – Irradiation Side Sampling (ISS) – повышает четкость изображений и уменьшает лучевую нагрузку._x000D_
_x000D_
Электронная видеоэндоскопическая система Fujifilm  ⇓Сентябрь 29, 2016 seo _x000D_
ЭЛЕКТРОННАЯ ВИДЕОЭНДОСКОПИЧЕСКАЯ СИСТЕМА FUJIFILM, ЯПОНИЯ_x000D_
FUJIFILM (Япония) – производитель гибкой эндоскопии. Среди инноваций стоит отметить эндоскопы для трансназальной и двухбаллонной эндоскопии, а также технологию FICE (технология спектрального цветового выделения). Также среди продукции компании представлены системы цифровой маммографии, фиброволоконные эндоскопы, видеоэндоскопы, электронные видеоэндоскопические системы, мобильные рентгены и ультразвуковые аппараты._x000D_
Электронная видеоэндоскопическая система ЕРХ–4450 HD построена на базе современных технологий и открывает новые диагностические возможности, обеспечивает высокую четкость и широкие возможности обработки изображений, предоставляет дружественный интерфейс пользователя и оптимизированные сетевые возможности._x000D_
Технология FICE _x000D_
Процессор VP-4450HD поддерживает технологию спектральной обработки изображений (FICE) для оптимизации эндоскопических исследований, которая базируется на различении волновых характеристик источников света. Аналогичная технология используется для анализа спутниковых снимков, — при эндоскопии она позволяет получать изображения, которые содержат только определенные длины волн, и тем самым выявлять значимые характеристики тканей и сосудов. Для использования данной технологии в системе предусмотрено десять шаблонов спектральной настройки для разных эндоскопических зон. Комплексная диагностика нужной зоны осуществляется с помощью выбора соответствующих шаблонов. Различные режимы просмотра полученных изображений делают FICE важным инструментом при проведении рутинных обследований._x000D_
Режимы двойного просмотра и записи _x000D_
Режимы двойного просмотра позволяют осуществлять одновременный вывод на экран обычного и FICE изображения. Параллельный просмотр двух изображений дает больше информации для исследования и диагностики. Также при работе в режиме FICE система EPX-4450HD может автоматически записывать обычное и FICE изображение на карту памяти стандарта CF (Compact Flash)._x000D_
Функция «картинка в картинке» (Р in P) Неподвижное изображение или видео в режиме реального времени позволяют открыть на экране дополнительное окно с уменьшенным изображением, чтобы не потерять из виду важную информацию при исследовании желудочно-кишечного тракта. При работе с неподвижным изображением можно включить или отключить режим FICE, что расширяет возможности диагностики._x000D_
Фотометрический режим Фотометрический режим позволяет в автоматическом режиме управления выставлять оптимальный уровень освещенности, корректируя его с учетом позиции эндоскопа, что дает возможность видеть четкую картину при изменении расстояния до исследуемой зоны._x000D_
Аппараты ИВЛ для искусственной вентиляции легких MAQUET  ⇓Сентябрь 29, 2016 seo _x000D_
АППАРАТЫ ИВЛ ДЛЯ ИСКУССТВЕННОЙ ВЕНТИЛЯЦИИ ЛЕГКИХ MAQUET. ГЕРМАНИЯ / ШВЕЦИЯ_x000D_
Аппарат ИВЛ SERVO-i – обеспечивает как инвазивную, так и неинвазивную вентиляцию, может быть адаптирован для использования в помещении для МРТ исследований, имеет четыре основные конфигурации: SERVO-i Infant, SERVO-i Adult и два варианта SERVO-i Universal. Дооснащение происходит путем замены программного обеспечения и функциональных модулей. _x000D_
Аппарат ИВЛ SERVO-s – обеспечивает как инвазивную, так и неинвазивную вентиляцию, идеален для крепления на полку и внутрибольничной транспортировки, имеет встроенный ультразвуковой датчик потока. Аппарат может быть доукомплектован эргономичной тележкой._x000D_
_x000D_
Аппараты для проведения искусственного кровообращения MAQUET  ⇓Сентябрь 29, 2016 seo _x000D_
АППАРАТЫ ДЛЯ ПРОВЕДЕНИЯ ИСКУССТВЕННОГО КРОВООБРАЩЕНИЯ MAQUET. ГЕРМАНИЯ / ШВЕЦИЯ_x000D_
CARDIOHELP-i – самый маленький в мире переносной аппарат искусственного кровообращения. Он предназначен для использования в интервенционной кардиологии, в палатах интенсивной терапии, кардиохирургии и травматологических отделениях. _x000D_
 АИК HL 20 – сложная технология современной перфузиологии с возможностями четкого обзора и манипулирования приборами для безопасного лечения пациентов и эффективной работой оператора._x000D_
HCU 30 – двухконтурный терморегулирующий аппарат для двухконтурного нагрева и охлаждения. _x000D_
 ROTAFLOW – насос, который может функционировать как автономный модульный аппарат или как модуль насоса, входящий в состав аппаратов искусственного кровообращения компании MAQUET. Может работать в режиме ручного управления._x000D_
BMU 40 – аппарат для мониторирования показателей крови, преимущества: снижение гемолиза, методики быстрой калибровки с помощью встроенного 2D сканера штрих-кодов и сенсорная панель высокого разрешения. _x000D_
_x000D_
Операционные столы MAQUET  ⇓Сентябрь 29, 2016 seo _x000D_
ОПЕРАЦИОННЫЕ СТОЛЫ MAQUET, ГЕРМАНИЯ / ШВЕЦИЯ_x000D_
MAQUET (Германия / Швеция)- производитель медицинского оборудования, медицинской техники и комплексных решений для оснащения операционных залов, палат интенсивной терапии и реанимации, сердечнососудистой хирургии._x000D_
Операционный стол MAGNUS 1180 – революционная разработка компании MAQUET, представляет собой систему, объединяющую операционный стол и средство транспортировки пациента. _x000D_
 Системный операционный стол ALPHAMAQUET 1150 имеет десять видов съемных столешниц, может комплектоваться как стационарными, так и мобильными колоннами._x000D_
Операционный стол ALPHAMAXX 1133 – позволяет использовать рентгеновскую дугу во время проведения операции. _x000D_
 Мобильный операционный стол ALPHASTAR 1132 предназначен для проведения операций в ортопедии, травматологии, гинекологии, урологии, сосудистой хирургии и нейрохирургии. Возможно использование расширенных возможностей использования С-дуги._x000D_
ALPHACLASSIC / BETACLASSIC 1118 – экономичные варианты операционных столов, регулировка осуществляется с помощью электрогидравлического (механо-гидравлического для BETACLASSIC) привода. Удобен для проведения урологических операций _x000D_
BETASTAR 1131 — Операционный стол среднего класса для самого широкого спектра требований. Реверсивный режим работы стола обеспечивает дополнительную свободу действий врачам в минимально-инвазивной, сердечно-сосудистой хирургии и при работе с рентгеновскими аппаратами._x000D_
_x000D_
Монитор Niccomo  ⇓Апрель 24, 2013 admin _x000D_
Монитор импедансной кардиографии модели Niccomo с принадлежностями (medis. Medizinische Messtechnik GmbH, ФРГ) это:_x000D_
Импедансная кардиография_x000D_
6 основных показателей жизнедеятельность_x000D_
Новый подход в области сердечно-сосудистой диагностики и контроля_x000D_
Первое устройство, объединяющее функциональное состояние сердца и артериальную скорость распространения пульсовой волны_x000D_
NEW! Теперь доступны две новые опции, позволяющие управлять инфузионной терапией у пациента через мониторинг реакции ударного объёма сердца на увеличение преднагрузки._x000D_
Область применения монитора Niccomo:_x000D_
Мониторное наблюдение_x000D_
Отделение интенсивной терапии_x000D_
Отделение скорой помощи_x000D_
Сердечная недостаточность_x000D_
Анестезиология_x000D_
Отделение интенсивного ухода за больными_x000D_
Педиатрия_x000D_
_x000D_
_x000D_
_x000D_
_x000D_
_x000D_
_x000D_
_x000D_
_x000D_
_x000D_
Система охлаждения пациента HICO  ⇓Апрель 24, 2013 admin _x000D_
Системы охлаждения пациента Hico обладают набором термостатов водяного типа._x000D_
Особенности:_x000D_
Совместима со всеми термостатами производителя._x000D_
Система охлаждения пациента Hico обеспечивает отличную передачу температуры с термостатов._x000D_
Можно точно контролировать температуру._x000D_
При возможных неисправностях обеспечивается полная защита пользователей и пациентов._x000D_
Для определения параметров работы используются специальные индикаторы._x000D_
Прочная и небольшая конструкция._x000D_
№ по каталогуКраткое описание аппарата_x000D_
540001Cистема охлаждения пациента Hico-variotherm 550 оснащена двумя разъемами для подключения термостатов. Устанавливать температуру можно в пределах 15-39°C_x000D_
590001Cистема охлаждения пациента Hico Aquatherm 660 ― имеет два разъема, температура от 35 до 39°C. Используется только для обогрева._x000D_
530001На Hypotherm 680 установлена пара коннекторов. Пределы температур ― от 15 до 35°C._x000D_
592900Консоль для Hico Aquatherm 660._x000D_
590002Стойка с пятью опорами (Hico Aquatherm 660)._x000D_
530002Стойка для модели 680 и 550._x000D_
_x000D_
Водяные термоматы противопролежные_x000D_
_x000D_
Система охлаждения пациента Hico требует использования водяных термостатов. Основные параметры этих моделей:_x000D_
Мягкость и эластичность._x000D_
Давление можно уменьшить до 52 процентов._x000D_
№ по каталогуРазмер водяного термомата_x000D_
550070100x50x4 см_x000D_
550071150x50x4 см_x000D_
550072185x85x4 см_x000D_
_x000D_
Для терапии_x000D_
_x000D_
Эластичный материал_x000D_
№ по каталогу&lt;Размер водяного термомата_x000D_
550030170×50 см_x000D_
55003192×50 см_x000D_
550032150×35 см_x000D_
55003592×35 см_x000D_
55003332×35 см_x000D_
_x000D_
_x000D_
_x000D_
Одеяла с обогревом и охлаждением_x000D_
_x000D_
Небольшая масса_x000D_
Мягкий материал_x000D_
Можно положить на или под человека_x000D_
№ по каталогуРазмер одеяла_x000D_
55003756×70 см_x000D_
550038120×70 см_x000D_
_x000D_
Наркозные аппараты  ⇓Апрель 24, 2013 admin _x000D_
Аппараты серии МК предназначены для проведения ингаляционной анестезии у детей и взрослых с применением кислородно-воздушной либо кислородно-закисной смесей и паров жидких анестетиков._x000D_
Аппараты для ингаляционной анестезии серии МК_x000D_
Аппарат МК-1 оборудован одним испарителем для жидких анестетиков и обеспечивает принудительную вентиляцию по объему, а также ручную вентиляцию и спонтанное дыхание пациента через аппарат. Возможны несколько вариантов исполнения этой модели – на мобильной тележке с двумя выдвижными ящиками, на мобильной тележке с одним выдвижным ящиком, а также портативный вариант, который можно установить на любом основании. Последний вариант может использоваться в работе мобильных полевых госпиталей, а также при чрезвычайных ситуациях._x000D_
_x000D_
_x000D_
Аппарат МК-1-1 оборудован двумя испарителями для жидких анестетиков и обеспечивает принудительную вентиляцию по объему, а также ручную вентиляцию и спонтанное дыхание пациента через аппарат. Кроме того, имеется встроенный электронный блок газоанализа и мониторирования параметров вентиляции._x000D_
_x000D_
_x000D_
Аппарат МК-1-2 обеспечит вашему пациенту не только анестезию, но и респираторную поддержку. Чем больше респираторных проблем у вашего пациента – тем больше показаний к проведению анестезии аппаратом МК-1-2. Аппарат работает как от централизованной газовой разводки (О2, N2O, воздух), так и от баллонов с газами (О2, N2O). При этом воздух подается от встроенного компрессора (опция). Высокоточный электроприводный анестезиологический вентилятор, полный набор современных режимов вентиляции по объему и давлению позволяет:_x000D_
отказаться от тотальной релаксации в тех случаях, где она не является обязательной;_x000D_
облегчает процесс восстановления спонтанного дыхания;_x000D_
обеспечивает респираторную поддержку в ближайшем послеоперационном периоде._x000D_
Аппарат МК-1-2 дает возможность мониторирования параметров вентиляции, полного газового мониторинга с определением концентрации компонентов анестетической смеси как на вдохе, так и на выдохе. Кроме того, в режиме реального времени проводится капнометрия и капнография, а также отражаются параметры легочной механики._x000D_
Большой дисплей с отображением задаваемых и мониторируемых параметров облегчает работу врача. Аппарат способен записать и сохранить мониторируемые параметры в течение 10 000 часов работы. Наличие встроенного аккумулятора дает возможность не менее 1 часа автономной работы. Информация о больном может быть передана на другие электронные устройства в режиме реального времени._x000D_
_x000D_
 _x000D_
Поставка оборудования со склада в течение 5-ти рабочих дней!_x000D_
Октябрь, 2017 _x000D_
Наша компания начала реконструкцию входной группы и главной лестницы в ФГБУ «ГНЦ Институт Иммунологии»...._x000D_
Октябрь 28, 2017 _x000D_
_x000D_
_x000D_
Апрель, 2017 _x000D_
Добрый день! Спешим сообщить Вам, что мы зарегистрировали нашу компанию на Портале поставщиков, в электронном магазине ЕАИСТ, для удобства работы достаточно большой категории зак..._x000D_
Апрель 17, 2017 _x000D_
_x000D_
_x000D_
Cентябрь, 2016 _x000D_
Завершены работы по ремонту помещений клинического подразделения, расположенного на 6-ом этаже ФГБУ «ГНЦ Институт Иммунологии»...._x000D_
Сентябрь 29, 2016 _x000D_
_x000D_
_x000D_
Все новости _x000D_
_x000D_
_x000D_
 _x000D_
Телефон: +7(495) 380-48-38, +7(499) 707-76-32 _x000D_
× _x000D_
Ваше имя: *  _x000D_
Номер телефона: *  _x000D_
E-Mail: *  _x000D_
Комментарий:  _x000D_
Запросить </t>
  </si>
  <si>
    <t xml:space="preserve"> предназначен для использования квалифицированными медиками в медицинских помещениях для ввода окиси азота (NO) в дыхательный контур пациента, проходящего терапию вдыханием окиси азота. При использовании в сочетании с монитором терапии вдыханием NO NOxBOXO2 прибор становится компонентом в системе подачи и контроля окиси азота._x000D_ Система крепится на тележке из малоуглеродистой стали с эпоксидным покрытием, которую нужно располагать рядом с прикроватным вентилятором пациента._x000D_ Во избежание внезапного прекращения терапии NO, что может оказаться очень вредным для пациента, в NOxBOX Mobile предусмотрена установка двух 10-литровых баллонов с NO и система смены баллонов с NO. Таким образом оба баллона можно установить одновременно так, что если газ в одном баллоне закончится подача NO пациенту не прекратится._x000D_ Возможность мониторинга обеспечивается NOxBOXO2, аппарат получает питание от сети и имеет резервный источник питания. Аккумуляторы NOxBOXO2 можно заряжать через сетевой трансформатор.  МониторNOxBOXO2 с помощью электрохимической технологии исследует образец газа, а микропроцессор преобразует выходное напряжение сенсора в соответствующие цифры, выводимые в качестве результата анализа._x000D_ Для предупреждения персонала об утечке NO можно опционально установить детекторы газа в окружающем воздухе (NOxAIR). Специальные мониторы NO и NO2 постоянно анализируют окружающий воздух на предмет наличия очень малых концентраций этих газов. Сигналы тревоги указывают на превышение заданной предельной концентрации._x000D_ Аппараты MyLab – ультразвуковые системы экспертного класса с возможностью объемного сканирования в реальном масштабном времени, обладающие непревзойденным качеством изображения и рядом уникальных функций во всех режимах._x000D_ ультразвуковой аппарат премиум класса с расширенной модульной архитектурой, последним поколением технологий формирования луча и фокусировки, с увеличенным частотным режимом. Монитор MyLab Class C 19 дюймов с уникальной технологией Opti-Light, которая соотносит освещенность экрана с освещенностью в помещении, выставляя уровень яркости на сенсорной панели._x000D_ ультразвуковой аппарат экспертного класса с цветным широкоформатным поворотным жидкокристаллическим монитором, с возможностью перемещения и автономной работой до 30 минут. В комплект входит 4 бесштырьковых коннектора для электронных датчиков._x000D_ портативный ультразвуковой аппарат премиум класса с цветным широкоформатным поворотным жидкокристаллическим монитором, с возможностью перемещения и автономной работой до 60 минут. В комплект входит 2 бесштырьковых коннектора для электронных датчиков и порт для карандашного датчика._x000D_ портативный ультразвуковой аппарат нового поколения с 12-дюймовым сенсорным TFT LCD монитором, с возможностью перемещения и автономным питанием до 1,5 часов._x000D_ Компания АО «Инвестмед» предлагает оборудование производства CISA (Италия). Оборудование является современным, отвечающим всем международным стандартам качества, и представляет полный диапазон оборудования для дезинфекции и стерилизации._x000D_ Компания Nouvag была основана в 1971 году как небольшое частное производство, но на сегодняшний день это один из ведущих производителей оборудования для медицины и стоматологии в своем классе._x000D_ Германия) – производитель универсальных автоматизированных инфузионных систем, которые позволяют использовать один насос для всех видов инфузии._x000D_ Новый Инфузомат Space имеет двойную систему защиты с двумя прерывателями свободного тока. Один из них находится в насосе, другой встроен в инфузионную систему Инфузомат Спэйс. Надежное предотвращение свободного потока жидкости обеспечивается даже в том случае, если роликовый зажим на системе не был закрыт перед ее извлечением._x000D_ Два датчика давления – на входе и выходе насоса – обеспечивают полный контроль инфузии, УЗ-датчик воздуха вместе с опциональным датчиком капель повышают эффективность всесторонней системы безопасности._x000D_ Инновационный механизм привода насоса Перфузор Спейс отличается не только прекрасными стартовыми характеристиками и равномерностью инфузии, но и высокой безопасностью при введении медикаментов и исключительным удобством при смене шприца._x000D_ Увеличительное стекло передней панели, независимая подсветка экрана, кнопок и шприца улучшают визуализацию при любых условия эксплуатации._x000D_ Цифровой рентгенографический комплекс FDR AcSelerate – это система, ядром которой является новый плоский детектор (FPD), из аморфного селена, размером 43х43 см, с прямым преобразованием сигнала, отличающийся высокой эффективностью регистрации излучения. Он позволяет более эффективно использовать энергию рентгеновского излучения и получать изображения высокого качества благодаря улучшенной функции передачи модуляции и более высокой квантовой эффективности детектора. Все это способствует существенному снижению лучевой нагрузки на пациента._x000D_ считыватель, созданный специально для маммографии, который имеет двухстороннюю технологию считывания с разрешением 20 точек/мм для получения высококачественного цифрового рентгеновского изображения. Одновременно с маммографическими изображениями FCR PROFECT CS может обрабатывать стандартные рентгеновские снимки, что делает его универсальным решением для отделения лучевой диагностики._x000D_ это цифровой передвижной аппарат с возможностью быстро и с большой точностью выполнить рентгенографию и проанализировать снимки практически в любом месте лечебного учреждения. Двухмоторный привод с возможностью регулировки скорости перемещения позволяет легко управлять аппаратом и обеспечивает превосходную мобильность даже в самых узких местах. Благодаря низкому уровню шума аппарат можно спокойно перемещать даже в ночные часы. Расположенный на передней панели датчик касания автоматически срабатывает при контакте с препятствием, мгновенно блокируя перемещение аппарата. Телескопический штатив трубки легко выдвигается и точно устанавливается в нужное положение. Расширенный диапазон горизонтального и вертикального перемещения штатива позволяет выполнять съемку на больших расстояниях с сохранением высокого качества изображений. Рентгеновская трубка также может перемещаться в горизонтальном и вертикальном направлениях для позиционирования даже при диагональном положении штатива._x000D_ это современный цифровой маммограф с плоскопанельным детектором прямого преобразования (FPD) с размером пикселя 50 микрон. Система обеспечивает высокое качество изображения, которое достигается использованием уникальной технологии формирования изображения FUJIFILM и предлагает оптимизированный рабочий процесс. Плоскопанельный детектор прямого преобразования содержит в себе двойной слой аморфного селена (a-Se) и вместо тонкопленочных транзисторов (TFT) использует технологию прямого оптического переключения для более эффективного считывания сигнала с меньшим уровнем шумов. При помощи технологии прямого оптического переключения (Digital Optical Switching) достигается большее значение DQE даже при размере пикселя 50 микрон._x000D_ Плоскопанельный детектор для цифровой ренгенографии FDR D-EVO – это самый легкий плоскопанельный детектор размером 35 x 43 см, толщина 14 мм, при массе всего 2,8 кг. Система работает быстро и эффективно, – передача изображения на консоль сбора данных занимает всего три секунды, а время цикла составляет девять секунд. Патентованная технология Fujifilm – Irradiation Side Sampling (ISS) – повышает четкость изображений и уменьшает лучевую нагрузку._x000D_ Япония) – производитель гибкой эндоскопии. Среди инноваций стоит отметить эндоскопы для трансназальной и двухбаллонной эндоскопии, а также технологию FICE (технология спектрального цветового выделения). Также среди продукции компании представлены системы цифровой маммографии, фиброволоконные эндоскопы, видеоэндоскопы, электронные видеоэндоскопические системы, мобильные рентгены и ультразвуковые аппараты._x000D_ Электронная видеоэндоскопическая система ЕРХ–4450 HD построена на базе современных технологий и открывает новые диагностические возможности, обеспечивает высокую четкость и широкие возможности обработки изображений, предоставляет дружественный интерфейс пользователя и оптимизированные сетевые возможности._x000D_ Процессор VP-4450HD поддерживает технологию спектральной обработки изображений (FICE) для оптимизации эндоскопических исследований, которая базируется на различении волновых характеристик источников света. Аналогичная технология используется для анализа спутниковых снимков, — при эндоскопии она позволяет получать изображения, которые содержат только определенные длины волн, и тем самым выявлять значимые характеристики тканей и сосудов. Для использования данной технологии в системе предусмотрено десять шаблонов спектральной настройки для разных эндоскопических зон. Комплексная диагностика нужной зоны осуществляется с помощью выбора соответствующих шаблонов. Различные режимы просмотра полученных изображений делают FICE важным инструментом при проведении рутинных обследований._x000D_ Функция «картинка в картинке» (Р in P) Неподвижное изображение или видео в режиме реального времени позволяют открыть на экране дополнительное окно с уменьшенным изображением, чтобы не потерять из виду важную информацию при исследовании желудочно-кишечного тракта. При работе с неподвижным изображением можно включить или отключить режим FICE, что расширяет возможности диагностики._x000D_ Фотометрический режим Фотометрический режим позволяет в автоматическом режиме управления выставлять оптимальный уровень освещенности, корректируя его с учетом позиции эндоскопа, что дает возможность видеть четкую картину при изменении расстояния до исследуемой зоны._x000D_ Аппарат ИВЛ SERVO-s – обеспечивает как инвазивную, так и неинвазивную вентиляцию, идеален для крепления на полку и внутрибольничной транспортировки, имеет встроенный ультразвуковой датчик потока. Аппарат может быть доукомплектован эргономичной тележкой._x000D_ АИК HL 20 – сложная технология современной перфузиологии с возможностями четкого обзора и манипулирования приборами для безопасного лечения пациентов и эффективной работой оператора._x000D_ насос, который может функционировать как автономный модульный аппарат или как модуль насоса, входящий в состав аппаратов искусственного кровообращения компании MAQUET. Может работать в режиме ручного управления._x000D_ Германия / Швеция)- производитель медицинского оборудования, медицинской техники и комплексных решений для оснащения операционных залов, палат интенсивной терапии и реанимации, сердечнососудистой хирургии._x000D_ Системный операционный стол ALPHAMAQUET 1150 имеет десять видов съемных столешниц, может комплектоваться как стационарными, так и мобильными колоннами._x000D_ Мобильный операционный стол ALPHASTAR 1132 предназначен для проведения операций в ортопедии, травматологии, гинекологии, урологии, сосудистой хирургии и нейрохирургии. Возможно использование расширенных возможностей использования С-дуги._x000D_ Операционный стол среднего класса для самого широкого спектра требований. Реверсивный режим работы стола обеспечивает дополнительную свободу действий врачам в минимально-инвазивной, сердечно-сосудистой хирургии и при работе с рентгеновскими аппаратами._x000D_ Теперь доступны две новые опции, позволяющие управлять инфузионной терапией у пациента через мониторинг реакции ударного объёма сердца на увеличение преднагрузки._x000D_ истема охлаждения пациента Hico Aquatherm 660 ― имеет два разъема, температура от 35 до 39°C. Используется только для обогрева._x000D_ Аппараты серии МК предназначены для проведения ингаляционной анестезии у детей и взрослых с применением кислородно-воздушной либо кислородно-закисной смесей и паров жидких анестетиков._x000D_ Аппарат МК-1 оборудован одним испарителем для жидких анестетиков и обеспечивает принудительную вентиляцию по объему, а также ручную вентиляцию и спонтанное дыхание пациента через аппарат. Возможны несколько вариантов исполнения этой модели – на мобильной тележке с двумя выдвижными ящиками, на мобильной тележке с одним выдвижным ящиком, а также портативный вариант, который можно установить на любом основании. Последний вариант может использоваться в работе мобильных полевых госпиталей, а также при чрезвычайных ситуациях._x000D_ Аппарат МК-1-1 оборудован двумя испарителями для жидких анестетиков и обеспечивает принудительную вентиляцию по объему, а также ручную вентиляцию и спонтанное дыхание пациента через аппарат. Кроме того, имеется встроенный электронный блок газоанализа и мониторирования параметров вентиляции._x000D_ Аппарат МК-1-2 дает возможность мониторирования параметров вентиляции, полного газового мониторинга с определением концентрации компонентов анестетической смеси как на вдохе, так и на выдохе. Кроме того, в режиме реального времени проводится капнометрия и капнография, а также отражаются параметры легочной механики._x000D_ Большой дисплей с отображением задаваемых и мониторируемых параметров облегчает работу врача. Аппарат способен записать и сохранить мониторируемые параметры в течение 10 000 часов работы. Наличие встроенного аккумулятора дает возможность не менее 1 часа автономной работы. Информация о больном может быть передана на другие электронные устройства в режиме реального времени._x000D_</t>
  </si>
  <si>
    <t xml:space="preserve"> предназначен для использования квалифицированными медиками в медицинских помещениях для ввода окиси азота (NO) в дыхательный контур пациента, проходящего терапию вдыханием окиси азота. При использовании в сочетании с монитором терапии вдыханием NO NOxBOXO2 прибор становится компонентом в системе подачи и контроля окиси азота._x000D_ Система крепится на тележке из малоуглеродистой стали с эпоксидным покрытием, которую нужно располагать рядом с прикроватным вентилятором пациента._x000D_ Во избежание внезапного прекращения терапии NO, что может оказаться очень вредным для пациента, в NOxBOX Mobile предусмотрена установка двух 10-литровых баллонов с NO и система смены баллонов с NO. Таким образом оба баллона можно установить одновременно так, что если газ в одном баллоне закончится подача NO пациенту не прекратится._x000D_ Возможность мониторинга обеспечивается NOxBOXO2, аппарат получает питание от сети и имеет резервный источник питания. Аккумуляторы NOxBOXO2 можно заряжать через сетевой трансформатор.  МониторNOxBOXO2 с помощью электрохимической технологии исследует образец газа, а микропроцессор преобразует выходное напряжение сенсора в соответствующие цифры, выводимые в качестве результата анализа._x000D_ Для предупреждения персонала об утечке NO можно опционально установить детекторы газа в окружающем воздухе (NOxAIR). Специальные мониторы NO и NO2 постоянно анализируют окружающий воздух на предмет наличия очень малых концентраций этих газов. В комплект входит 4 бесштырьковых коннектора для электронных датчиков._x000D_ портативный ультразвуковой аппарат премиум класса с цветным широкоформатным поворотным жидкокристаллическим монитором, с возможностью перемещения и автономной работой до 60 минут. Один из них находится в насосе, другой встроен в инфузионную систему Инфузомат Спэйс. </t>
  </si>
  <si>
    <t xml:space="preserve">призначений для використання досвідченими медиками у медичних приміщеннях для введення окису азоту (NO) в дихальний контур пацієнта, що проходить терапію вдихання окису азоту. При використанні в поєднанні з монітором терапії вдиханням NO NOxBOXO2 прилад стає компонентом у системі подачі і контролю окису азоту. Система кріпиться на візку з маловуглецевої сталі з епоксидним покриттям, яку потрібно розташовувати поруч з приліжкові вентилятором пацієнта. Щоб уникнути раптового припинення терапії NO, що може виявитися дуже шкідливим для пацієнта, в NOxBOX Mobile передбачена установка двох 10-літрових балонів з NO і система зміни балонів з NO. Таким чином обидва балона можна встановити одночасно так, що якщо газ в одному балоні закінчиться подача NO пацієнту не припиниться. Можливість моніторингу забезпечується NOxBOXO2, апарат одержує харчування від мережі і має резервне джерело живлення. Акумулятори NOxBOXO2 можна заряджати через мережевий трансформатор. МониторNOxBOXO2 з допомогою електрохімічної технології досліджує зразок газу, а мікропроцесор перетворює вихідну напругу сенсора у відповідні цифри, виведені в якості результату аналізу. Для попередження персоналу про витік NO опціонально можна встановити детектори газу в навколишньому повітрі (NOxAIR). Спеціальні монітори NO і NO2 постійно аналізують навколишній повітря на предмет наявності дуже малих концентрацій цих газів. В комплект входить 4 бесштырьковых коннектора для електронних датчиків. </t>
  </si>
  <si>
    <t>Види обладнання для медучтереждений.</t>
  </si>
  <si>
    <t>ErrorPublic</t>
  </si>
  <si>
    <t>NeOK</t>
  </si>
  <si>
    <t>Ошибка публикации!</t>
  </si>
  <si>
    <t>плать</t>
  </si>
  <si>
    <t>Модные платья этого сезона.</t>
  </si>
  <si>
    <t>чугун</t>
  </si>
  <si>
    <t>Прочность изделий из чугуна.</t>
  </si>
  <si>
    <t>авто</t>
  </si>
  <si>
    <t>Как правильно купить автомобиль.</t>
  </si>
  <si>
    <t>ваканс</t>
  </si>
  <si>
    <t>Как правильно составить резюме.</t>
  </si>
  <si>
    <t>мусор</t>
  </si>
  <si>
    <t>Как мы загрязняем нашу планету.</t>
  </si>
  <si>
    <t>ткан</t>
  </si>
  <si>
    <t>Как выбрать качественную ткань.</t>
  </si>
  <si>
    <t>печать</t>
  </si>
  <si>
    <t>Какие виды печати существуют.</t>
  </si>
  <si>
    <t>Как открыть компанию за границей.</t>
  </si>
  <si>
    <t>ресторан</t>
  </si>
  <si>
    <t>Как подобрать ресторан.</t>
  </si>
  <si>
    <t>гинеколог</t>
  </si>
  <si>
    <t>Распостраненные женские болезни.</t>
  </si>
  <si>
    <t>приви</t>
  </si>
  <si>
    <t>Нужны ли прививки.</t>
  </si>
  <si>
    <t>холтер</t>
  </si>
  <si>
    <t>Что такое экг по холтеру.</t>
  </si>
  <si>
    <t>crm</t>
  </si>
  <si>
    <t>Как взаимодействовать с клиентами.</t>
  </si>
  <si>
    <t>путевк</t>
  </si>
  <si>
    <t>Как недорого выбрать тур.</t>
  </si>
  <si>
    <t>угл</t>
  </si>
  <si>
    <t>Чем уголь выгоднее.</t>
  </si>
  <si>
    <t>amway</t>
  </si>
  <si>
    <t>Как побдобрать себе косметику.</t>
  </si>
  <si>
    <t>OK</t>
  </si>
  <si>
    <t>Публикация возаращает ошибку(не доконца настроено, так как при обычном входе стандартный пароль не пускает)</t>
  </si>
  <si>
    <t>Нужна доработка</t>
  </si>
  <si>
    <t>dveroman.kiev.ua</t>
  </si>
  <si>
    <t>отопление</t>
  </si>
  <si>
    <t>Чем обогревать свой дом.</t>
  </si>
  <si>
    <t>[caption id="" align="aligncenter" width="350"]&lt;img src="http://gospartner.com/wp-content/uploads/2016/04/med11.jpg" alt="" width="350" height="300" /&gt; Види обладнання для медучтереждений.[/caption]    призначений для використання досвідченими медиками у медичних приміщеннях для введення окису азоту (NO) в дихальний контур пацієнта, що проходить терапію вдихання окису азоту. При використанні в поєднанні з монітором терапії вдиханням NO NOxBOXO2 прилад стає компонентом у системі подачі і контролю окису азоту. Система кріпиться на візку з маловуглецевої сталі з епоксидним покриттям, яку потрібно розташовувати поруч з приліжкові вентилятором пацієнта. Щоб уникнути раптового припинення терапії NO, що може виявитися дуже шкідливим для пацієнта, в NOxBOX Mobile передбачена установка двох 10-літрових балонів з NO і система зміни балонів з NO. Також ви можете знайти все необхідне на ресурсі &lt;a href="http://nikator.com.ua/" title="медицинское оборудование"&gt;медицинское оборудование&lt;/a&gt;._x000D_
    Таким чином обидва балона можна встановити одночасно так, що якщо газ в одному балоні закінчиться подача NO пацієнту не припиниться. Можливість моніторингу забезпечується NOxBOXO2, апарат одержує харчування від мережі і має резервне джерело живлення. Акумулятори NOxBOXO2 можна заряджати через мережевий трансформатор. МониторNOxBOXO2 з допомогою електрохімічної технології досліджує зразок газу, а мікропроцесор перетворює вихідну напругу сенсора у відповідні цифри, виведені в якості результату аналізу. Для попередження персоналу про витік NO опціонально можна встановити детектори газу в навколишньому повітрі (NOxAIR). _x000D_
     Спеціальні монітори NO і NO2 постійно аналізують навколишній повітря на предмет наявності дуже малих концентрацій цих газів. В комплект входить 4 бесштырьковых коннектора для електронних датчиків. портативний ультразвуковий апарат преміум класу з кольоровим широкоформатним поворотним рідкокристалічним монітором, з можливістю переміщення і автономною роботою до 60 хвилин. Один з них знаходиться в насосі, інший вбудований в інфузійну систему Інфузомат Спейс.</t>
  </si>
  <si>
    <t>http://derevnya-rus.ru/%D0%B4%D0%B5%D1%80%D0%B5%D0%B2%D0%B5%D0%BD%D1%81%D0%BA%D0%B8%D0%B9-%D0%B4%D0%BE%D0%BC/%D0%BA%D0%B0%D0%BA-%D0%BE%D0%B1%D0%BE%D0%B3%D1%80%D0%B5%D1%82%D1%8C-%D0%B4%D0%BE%D0%BC-%D0%B8%D0%BB%D0%B8-%D0%BE%D1%82%D0%BE%D0%BF%D0%BB%D0%B5%D0%BD%D0%B8%D0%B5-%D0%B1%D0%B5%D0%B7-%D0%B3%D0%B0%D0%B7.html</t>
  </si>
  <si>
    <t xml:space="preserve">Жизнь современной русской деревни_x000D_
Рецепты из деревни_x000D_
 _x000D_
Как сделать творог? Очень сложно! Так думал я, пока не взялся за приготовление. ..._x000D_
Деревенская жизнь_x000D_
 Как добраться в город из дерев...  Только подойди…… Современная д...  Деревня. Текущее. Весна 2017....  Мой Новогодний ужин в русской ...  4 причины – почему я ещё...  Валим из деревни... _x000D_
Общайтесь со мной_x000D_
_x000D_
Свежие записи_x000D_
Как добраться в город из деревни? Из рассказов о деревенской жизни. _x000D_
Только подойди…… Современная деревня и ее будущее. _x000D_
Деревня. Русская деревня. Как там? _x000D_
Село. Что у нас в селе? Апрель 2017. _x000D_
Как избежать потерь в личных подсобных хозяйствах. Условия содержания кур, домашней птицы, кроликов и других животных. _x000D_
Рубрики_x000D_
Новости_x000D_
Переезд в деревню_x000D_
Деревенская жизнь_x000D_
Деревенский дом_x000D_
Я живу в деревне_x000D_
Советы из деревни_x000D_
Свиньи_x000D_
Птицеводство_x000D_
Кролики_x000D_
Деревенский справочник_x000D_
Бизнес в деревне_x000D_
Рецепты из деревни_x000D_
Здоровый образ жизни_x000D_
Деревня фото_x000D_
« На главную / Деревенский дом / Как обогреть дом или отопление без газа _x000D_
Как обогреть дом или отопление без газа17.12.2015 Отредактировано: 17.12.2015 Рубрика: Деревенский дом комментария 2 » _x000D_
Отопление без газа._x000D_
Как обогреть дом?_x000D_
Сколько угля и дров выходит в сутки на обогрев дома?_x000D_
Расходы на отопление._x000D_
Посмотрел в окно: на градуснике  –26. Прохладно. Пора отапливать деревенский дом. А так не хочется выходить на мороз. Что делать? Делать нечего, одеваюсь, иду за углем и дровами. Газового отопления ведь нет, а отопление без газа – это уже серьёзно. А многие ещё спрашивают: «Как живет деревня?»_x000D_
_x000D_
зима в деревне_x000D_
 _x000D_
Отопление без газа_x000D_
Жизнь распорядилась так, что стал я жить в деревне среди Кулундинских степей Алтайского края. В местах, где в наше время (посмотрел в окно – точно 21 век) ещё не ступала газовая труба Газпрома. Природного газа в нашей местности нет и в ближайшем тысячелетии, даже  не предвидится. Хотя  Российский газ поставляется за многие тысячи километров в Европу. Мы живём не там. Газ нужнее другим «дружелюбным» странам. Зато у нас большинство русских деревень газоснабжение обошло стороной и в этот век мы как по старинке отапливаем наши деревенские дома – кто углем, а кто дровами. А зимой морозы у нас достигают ужасных -40. Пусть нам завидуют!_x000D_
_x000D_
дом в деревне_x000D_
Как обогреть дом?_x000D_
Когда ехал жить в деревню в далёком 2013 году, даже не думал относительно того, как деревенские жители отапливают свои дома. Эти мысли не приходили в голову. Как можно об этом беспокоиться, если всю жизнь прожил в городе. Ведь приходишь с работы, а в квартире уже тепло. И переживать о том, как обогреть дом не надо, только успевай оплачивать услуги ЖКХ. Что ещё нужно для хорошей жизни?_x000D_
Впервые об отоплении своего деревенского дома я задумался когда приехал жить в деревню (вернее после приобретения дома). Походил, посмотрел. Газа нет. Система отопления состоит из самодельного котла, который топится углем и дровами. По всему дому проложены стальные трубы вместо батарей отопления, под полом расположен циркуляционный насос._x000D_
_x000D_
деревенский котел_x000D_
циркуляционный насос отопления_x000D_
Тогда осознал свою первую ошибку. При покупке дома необходимо было подробно всё выяснить у бывших хозяев. Узнать, как работает котел, его особенности, где находится заслонка, как прочищать дымоходы. Сколько нужно дров и угля? Где это всё брать? Я это не сделал._x000D_
Ну что ж, у бывших хозяев не выяснил, значит надо идти и выяснять  у соседей._x000D_
Оказалось, что на весь отопительный сезон бывшие хозяева дома заготавливали 5-6 тонн угля и 10-15 кубов дров. Выяснил цены. Подсчитал расходы на предстоящие покупки и пришёл к выводу – жить в деревне не так дёшево, как многие пишут и рассказывают. Опять нужны деньги._x000D_
Сколько угля и дров выходит в сутки на обогрев дома?_x000D_
Дом у меня тёплый, хорошо утеплён. Отапливаемая площадь 150 квадратных метров. Если температура на улице от 0 до -15 градусов – отапливаю дом один раз в сутки, начинаю топить вечером за три часа до сна. Затрачиваю при этом до половины ведра (10 литрового) угля и две охапки дров. На ночь закидываю в печь ещё полведра угля. Этого вполне хватает.  При повышении температуры до – 20С расход увеличивается. Топлю тоже один раз, угля уходит полтора – два ведра, три охапки дров. Дальше по нарастающей. В предыдущем году в самый морозный день при – 39С дом отапливал два раза в сутки, при этом потратил 4 ведра угля и шесть охапок дров._x000D_
_x000D_
дрова_x000D_
уголь_x000D_
Точного расчета нет. Очень сложно угадать какая будет температура на улице. Какой ожидается месяц – холодный или тёплый. Поэтому углем и дровами запасаешься с запасом._x000D_
 _x000D_
Расходы на отопление._x000D_
Опишу расходы на отопление деревенского дома в 2015 году._x000D_
Уголь купил 4,2 тонны кузбасский рядовой по цене 2125 рублей за тонну. Доставка 2500 рублей. 200 рублей трактористу на складе. Зачем платить трактористу? Чтобы тебе в машину насыпали хороший уголь. К сожалению, уголь бывает и не очень хорошим. Моя соседка купила 5 тонн. Сейчас жалуется – уголь плохой весь не прогорает, тепла отдаёт мало. Поэтому и платят деньги человеку, который знает где на складе топливной компании лежит хороший, а где плохой уголь. Затраты на доставку и покупку угля составили 11625 рублей._x000D_
Дрова заготавливал сам. Договор был с Лесхозом. Расходы составили 2500 рублей._x000D_
Можно было дрова и купить. Куб колотых дров стоил 1500 рублей. 10 кубов обошлись бы в 15000 рублей._x000D_
Мои общие затраты на отопление 14125 рублей._x000D_
 _x000D_
Если вы, уважаемый читатель, собираетесь переехать из города жить в деревню, обязательно продумайте и определитесь – как в выбранной вами местности отапливаются деревенские дома? Где деревенские жители достают дрова или уголь? И что им это стоит? Какие возникают проблемы по обогреву дома зимой и всевозможные пути их решения. Чтобы в зимнее время случайно не возник вопрос: как обогреть дом?_x000D_
 _x000D_
 _x000D_
Метки текущей записи: как живет деревня, уголь_x000D_
  _x000D_
     _x000D_
 _x000D_
Твитнуть _x000D_
Статьи на эту же тему:_x000D_
Деревенский быт или быт в деревне_x000D_
Дом в деревне. Моя мечта. Продолжение._x000D_
Дымит печь: что делать?_x000D_
Дом в деревне. Моя мечта._x000D_
Большой дом. Достоинства и недостатки._x000D_
  _x000D_
Комментарии к записи "Как обогреть дом или отопление без газа" _x000D_
Посмотреть последние комментарии _x000D_
Lik - пишет... _x000D_
02.03.2017 в 16:35_x000D_
 _x000D_
 По Вашим выкладкам дом ваш не тёплый по быстрому подсчёту 120ват/м2 за 7 месяцев. У меня на отопление дома 160м2 9-12м3 дров на отопительный сезон, угля и в помине нет. Дом новый, сам строил – термос из термопрофиля с системой рекуперации. Температура зимой у нас практически одинаковая – Вышневолоцкий район Тверской области._x000D_
PchelkinVlad - пишет... _x000D_
03.03.2017 в 07:34_x000D_
 _x000D_
Дом теплый по нашим деревенским меркам, обычный деревенский, ему более 25 лет. Строился бывшими хозяевами немцами. В те давние время современных строительных материалов на которые Вы ссылаетесь не было. Очень многое зависит от морозных и ветреных дней в зимнее время. Сравнивать среднестатистические данные погодных условий в разных регионах абсолютно не верно, у каждого все свое и морозы и ветра. Многое зависит и от местоположения самого дома. Количество дров, которые Вы приводите вызывают очень большие сомнения. Не поверю, чтобы за отопительный сезон у Вас выходило 12 м3 дров или в месяц 1,72 м3 или 0,058 м3 дров в сутки…. Вы лукавите или ошиблись в расчетах…_x000D_
Присоединиться к обсуждению статьи ..._x000D_
 Ваше имя _x000D_
   _x000D_
Проверка комментариев включена. Прежде чем Ваши комментарии будут опубликованы пройдет какое-то время._x000D_
Вернуться к первым комментариям Вернуться к началу страницы _x000D_
Рубрики_x000D_
Бизнес в деревне _x000D_
Деревенская жизнь _x000D_
Деревенский дом _x000D_
Деревня фото _x000D_
Здоровый образ жизни _x000D_
Кролики _x000D_
Новости _x000D_
Обзоры. Мнения. Обо всем. _x000D_
Переезд в деревню _x000D_
Птицеводство _x000D_
Рецепты из деревни _x000D_
Свиньи _x000D_
Советы из деревни _x000D_
Я живу в деревне _x000D_
Самое комментируемое_x000D_
 Из города в деревню. Прошло больше 30 месяцев...._x000D_
комментариев 40 _x000D_
 Деревенские продукты. Купите что-нибудь ради Христ..._x000D_
комментария 24 _x000D_
 Куры несушки с птицефабрики..._x000D_
комментариев 19 _x000D_
 Инкубация яиц. Ошибки выведения птенцов...._x000D_
комментариев 18 _x000D_
 Что значит жить в деревне?..._x000D_
комментариев 18 _x000D_
Самое читаемое_x000D_
Выращивание свиней - первый опыт (18312)_x000D_
Инкубация яиц. Ошибки выведения птенцов. (17925)_x000D_
Куры несушки с птицефабрики (17412)_x000D_
10 советов желающим переехать в деревню (13728)_x000D_
Что представляет собой работа в сельском хозяйстве ... (8358)_x000D_
Главная_x000D_
Все статьи_x000D_
Отчёты о деревенской жизни _x000D_
Переезд в деревню. Прошло три года._x000D_
Жизнь в деревне. Итоги двух лет._x000D_
Деревенская жизнь в течение 20 месяцев. Итоги._x000D_
Обзоры. Мнения. Обо всем._x000D_
От автора _x000D_
О сайте_x000D_
Об авторе сайта_x000D_
Где я был месяц_x000D_
Контакты_x000D_
 _x000D_
Все права защищены. © 2017. В случае перепечатки материалов обязательна прямая индексируемая ссылка на derevnya-rus.ru. Русская деревня_x000D_
_x000D_
 </t>
  </si>
  <si>
    <t xml:space="preserve"> Впервые об отоплении своего деревенского дома я задумался когда приехал жить в деревню (вернее после приобретения дома). Походил, посмотрел. Газа нет. Система отопления состоит из самодельного котла, который топится углем и дровами. По всему дому проложены стальные трубы вместо батарей отопления, под полом расположен циркуляционный насос._x000D_ Тогда осознал свою первую ошибку. При покупке дома необходимо было подробно всё выяснить у бывших хозяев. Узнать, как работает котел, его особенности, где находится заслонка, как прочищать дымоходы. Сколько нужно дров и угля? Где это всё брать? Я это не сделал._x000D_ Оказалось, что на весь отопительный сезон бывшие хозяева дома заготавливали 5-6 тонн угля и 10-15 кубов дров. Выяснил цены. Подсчитал расходы на предстоящие покупки и пришёл к выводу – жить в деревне не так дёшево, как многие пишут и рассказывают. Опять нужны деньги._x000D_ Дом у меня тёплый, хорошо утеплён. Отапливаемая площадь 150 квадратных метров. Если температура на улице от 0 до -15 градусов – отапливаю дом один раз в сутки, начинаю топить вечером за три часа до сна. Затрачиваю при этом до половины ведра (10 литрового) угля и две охапки дров. На ночь закидываю в печь ещё полведра угля. Этого вполне хватает.  При повышении температуры до – 20С расход увеличивается. Топлю тоже один раз, угля уходит полтора – два ведра, три охапки дров. Дальше по нарастающей. В предыдущем году в самый морозный день при – 39С дом отапливал два раза в сутки, при этом потратил 4 ведра угля и шесть охапок дров._x000D_ Точного расчета нет. Очень сложно угадать какая будет температура на улице. Какой ожидается месяц – холодный или тёплый. Поэтому углем и дровами запасаешься с запасом._x000D_ Уголь купил 4,2 тонны кузбасский рядовой по цене 2125 рублей за тонну. Доставка 2500 рублей. 200 рублей трактористу на складе. Зачем платить трактористу? Чтобы тебе в машину насыпали хороший уголь. К сожалению, уголь бывает и не очень хорошим. Моя соседка купила 5 тонн. Сейчас жалуется – уголь плохой весь не прогорает, тепла отдаёт мало. Поэтому и платят деньги человеку, который знает где на складе топливной компании лежит хороший, а где плохой уголь. Затраты на доставку и покупку угля составили 11625 рублей._x000D_ По Вашим выкладкам дом ваш не тёплый по быстрому подсчёту 120ват/м2 за 7 месяцев. У меня на отопление дома 160м2 9-12м3 дров на отопительный сезон, угля и в помине нет. Дом новый, сам строил – термос из термопрофиля с системой рекуперации. Температура зимой у нас практически одинаковая – Вышневолоцкий район Тверской области._x000D_ Проверка комментариев включена. Прежде чем Ваши комментарии будут опубликованы пройдет какое-то время._x000D_</t>
  </si>
  <si>
    <t xml:space="preserve">Походил, посмотрел. Газа нет. Система отопления состоит из самодельного котла, который топится углем и дровами. По всему дому проложены стальные трубы вместо батарей отопления, под полом расположен циркуляционный насос._x000D_ Тогда осознал свою первую ошибку. При покупке дома необходимо было подробно всё выяснить у бывших хозяев. Узнать, как работает котел, его особенности, где находится заслонка, как прочищать дымоходы. Выяснил цены. Опять нужны деньги._x000D_ Дом у меня тёплый, хорошо утеплён. Отапливаемая площадь 150 квадратных метров. Если температура на улице от 0 до -15 градусов – отапливаю дом один раз в сутки, начинаю топить вечером за три часа до сна. Затрачиваю при этом до половины ведра (10 литрового) угля и две охапки дров. На ночь закидываю в печь ещё полведра угля. Этого вполне хватает.  При повышении температуры до – 20С расход увеличивается. Топлю тоже один раз, угля уходит полтора – два ведра, три охапки дров. Дальше по нарастающей. В предыдущем году в самый морозный день при – 39С дом отапливал два раза в сутки, при этом потратил 4 ведра угля и шесть охапок дров._x000D_ Точного расчета нет. Очень сложно угадать какая будет температура на улице. Какой ожидается месяц – холодный или тёплый. Поэтому углем и дровами запасаешься с запасом._x000D_ Уголь купил 4,2 тонны кузбасский рядовой по цене 2125 рублей за тонну. Доставка 2500 рублей. 200 рублей трактористу на складе. Зачем платить трактористу? Чтобы тебе в машину насыпали хороший уголь. К сожалению, уголь бывает и не очень хорошим. Моя соседка купила 5 тонн. Сейчас жалуется – уголь плохой весь не прогорает, тепла отдаёт мало. Затраты на доставку и покупку угля составили 11625 рублей._x000D_ По Вашим выкладкам дом ваш не тёплый по быстрому подсчёту 120ват/м2 за 7 месяцев. У меня на отопление дома 160м2 9-12м3 дров на отопительный сезон, угля и в помине нет. Дом новый, сам строил – термос из термопрофиля с системой рекуперации. </t>
  </si>
  <si>
    <t xml:space="preserve">Походив, подивився. Газу немає. Система опалення складається з саморобного котла, який топиться вугіллям і дровами. По всьому будинку прокладені сталеві труби замість батарей опалення, під підлогою розташований циркуляційний насос. Тоді усвідомив свою першу помилку. При покупці будинку необхідно було детально все з'ясувати у колишніх господарів. Дізнатися, як працює котел, його особливості, де знаходиться заслінка, як прочищати димарі. З'ясував ціни. Знову потрібні гроші. Будинок у мене теплий, добре утеплений. Опалювальна площа 150 квадратних метрів. Якщо температура на вулиці від 0 до -15 градусів – опалюю будинок один раз на добу, починаю топити ввечері за три години до сну. Затрачаю при цьому до половини відра (10 літрового) вугілля та два оберемки дров. На ніч закидую в піч ще піввідра вугілля. Цього цілком вистачає. При підвищенні температури до – 20С витрата збільшується. Топлю теж один раз, вугілля йде півтора – два відра, три оберемки дров. Далі по наростаючій. У попередньому році В самий морозний день при – 39С будинок опалював два рази на добу, при цьому витратив 4 відра вугілля і шість оберемків дров. Точного розрахунку немає. Дуже складно вгадати, яка буде температура на вулиці. Який очікується місяць – холодний або теплий. Тому вугіллям і дровами запасаешься з запасом. Вугілля купив 4,2 тонни кузбасский рядовий за ціною 2125 рублів за тонну. Доставка 2500 рублів. 200 рублів постріли на складі. На жаль, вугілля буває і не дуже хорошим. </t>
  </si>
  <si>
    <t>Чим обігріти свій будинок.</t>
  </si>
  <si>
    <t>http://dveroman.kiev.ua/chim-obigriti-svij-budinok/</t>
  </si>
  <si>
    <t>[caption id="" align="aligncenter" width="350"]&lt;img src="http://utepleniedoma.com/wp-content/uploads/2015/05/pechnoe-otoplenie-v-derevyannom-dome-5.jpg" alt="" width="350" height="300" /&gt; Чим обігріти свій будинок.[/caption]    Походив, подивився. Газу немає. Система опалення складається з саморобного котла, який топиться вугіллям і дровами. По всьому будинку прокладені сталеві труби замість батарей опалення, під підлогою розташований циркуляційний насос. Тоді усвідомив свою першу помилку. При покупці будинку необхідно було детально все з'ясувати у колишніх господарів. Дізнатися, як працює котел, його особливості, де знаходиться заслінка, як прочищати димарі. З'ясував ціни. Знову потрібні гроші. Будинок у мене теплий, добре утеплений. Опалювальна площа 150 квадратних метрів. Якщо температура на вулиці від 0 до -15 градусів – опалюю будинок один раз на добу, починаю топити ввечері за три години до сну. Також ви можете знайти все необхідне на ресурсі &lt;a href="https://teplogrand.ua/" title="teplogrand.ua"&gt;teplogrand.ua&lt;/a&gt;._x000D_
    Затрачаю при цьому до половини відра (10 літрового) вугілля та два оберемки дров. На ніч закидую в піч ще піввідра вугілля. Цього цілком вистачає. При підвищенні температури до – 20С витрата збільшується. Топлю теж один раз, вугілля йде півтора – два відра, три оберемки дров. Далі по наростаючій. У попередньому році В самий морозний день при – 39С будинок опалював два рази на добу, при цьому витратив 4 відра вугілля і шість оберемків дров. Точного розрахунку немає. Дуже складно вгадати, яка буде температура на вулиці. Який очікується місяць – холодний або теплий. Тому вугіллям і дровами запасаешься з запасом. _x000D_
     Вугілля купив 4,2 тонни кузбасский рядовий за ціною 2125 рублів за тонну. Доставка 2500 рублів. 200 рублів постріли на складі. Навіщо платити трактор? Щоб тобі в машину насипали хороший вугілля. На жаль, вугілля буває і не дуже хорошим. Моя сусідка купила 5 тонн. Зараз скаржиться – вугілля поганої весь не прогорає, тепла віддає мало. Витрати на доставку та придбання вугілля склали 11625 рублів. За Вашим тлумаченням ваш дім не теплий швидкого підрахунку 120ват/м2 за 7 місяців. У мене на опалення будинку 160м2 9-12 м3 дров на опалювальний сезон, вугілля і в помині немає. Будинок новий, сам будував – термос з термопрофілю з системою рекуперації.</t>
  </si>
  <si>
    <t>28546504        </t>
  </si>
  <si>
    <t>Нужна доработка.</t>
  </si>
  <si>
    <t>терминал</t>
  </si>
  <si>
    <t>Как расчитаться картой в магазине.</t>
  </si>
  <si>
    <t>роды</t>
  </si>
  <si>
    <t>Как подготовится к родам.</t>
  </si>
  <si>
    <t>Заявки в работе</t>
  </si>
  <si>
    <t>Максим</t>
  </si>
  <si>
    <t>d5cc2917-2128-4f9d-a58d-b5d761b71b57</t>
  </si>
  <si>
    <t>ощадбанк</t>
  </si>
  <si>
    <t>сбербанк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</si>
</sst>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4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Bodoni MT"/>
      <family val="1"/>
    </font>
    <font>
      <sz val="11"/>
      <color theme="1"/>
      <name val="Calibri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ont="1"/>
    <xf numFmtId="0" fontId="0" fillId="0" borderId="6" xfId="0" applyBorder="1"/>
    <xf numFmtId="0" fontId="0" fillId="0" borderId="0" xfId="0" applyBorder="1"/>
    <xf numFmtId="0" fontId="0" fillId="0" borderId="0" xfId="0" applyFill="1" applyBorder="1"/>
    <xf numFmtId="0" fontId="0" fillId="0" borderId="4" xfId="0" applyBorder="1" applyAlignment="1">
      <alignment horizontal="center"/>
    </xf>
    <xf numFmtId="0" fontId="2" fillId="6" borderId="3" xfId="0" applyFont="1" applyFill="1" applyBorder="1" applyAlignment="1">
      <alignment horizontal="center" vertical="center" wrapText="1"/>
    </xf>
    <xf numFmtId="0" fontId="0" fillId="14" borderId="7" xfId="0" applyFill="1" applyBorder="1"/>
    <xf numFmtId="0" fontId="0" fillId="6" borderId="5" xfId="0" applyFill="1" applyBorder="1"/>
    <xf numFmtId="0" fontId="0" fillId="0" borderId="8" xfId="0" applyBorder="1" applyAlignment="1">
      <alignment horizontal="center"/>
    </xf>
    <xf numFmtId="0" fontId="2" fillId="13" borderId="3" xfId="0" applyFont="1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0" fontId="2" fillId="3" borderId="3" xfId="0" applyFont="1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vertical="center"/>
    </xf>
    <xf numFmtId="0" fontId="0" fillId="8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9" borderId="0" xfId="0" applyFill="1" applyBorder="1" applyAlignment="1">
      <alignment vertical="center"/>
    </xf>
    <xf numFmtId="0" fontId="2" fillId="15" borderId="3" xfId="0" applyFont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12" borderId="3" xfId="0" applyFont="1" applyFill="1" applyBorder="1" applyAlignment="1">
      <alignment vertical="center"/>
    </xf>
    <xf numFmtId="0" fontId="3" fillId="0" borderId="0" xfId="0" applyFont="1" applyAlignment="1">
      <alignment wrapText="1"/>
    </xf>
    <xf numFmtId="0" fontId="0" fillId="2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5" borderId="1" xfId="0" applyFont="1" applyFill="1" applyBorder="1"/>
    <xf numFmtId="0" fontId="0" fillId="0" borderId="0" xfId="0" applyFont="1" applyFill="1" applyBorder="1"/>
    <xf numFmtId="0" fontId="0" fillId="17" borderId="3" xfId="0" applyFill="1" applyBorder="1" applyAlignment="1">
      <alignment horizontal="center" vertical="center" wrapText="1"/>
    </xf>
    <xf numFmtId="0" fontId="0" fillId="0" borderId="0" xfId="0" applyFill="1"/>
    <xf numFmtId="0" fontId="9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7" borderId="5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/>
    <xf numFmtId="14" fontId="3" fillId="0" borderId="0" xfId="0" applyNumberFormat="1" applyFont="1"/>
    <xf numFmtId="22" fontId="3" fillId="0" borderId="0" xfId="0" applyNumberFormat="1" applyFont="1"/>
    <xf numFmtId="0" fontId="0" fillId="7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3" fillId="5" borderId="10" xfId="0" applyFont="1" applyFill="1" applyBorder="1"/>
    <xf numFmtId="0" fontId="3" fillId="5" borderId="13" xfId="0" applyFont="1" applyFill="1" applyBorder="1"/>
    <xf numFmtId="0" fontId="8" fillId="0" borderId="1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22" fontId="8" fillId="0" borderId="15" xfId="0" applyNumberFormat="1" applyFont="1" applyBorder="1" applyAlignment="1">
      <alignment horizontal="center" vertical="center"/>
    </xf>
    <xf numFmtId="0" fontId="2" fillId="0" borderId="1" xfId="0" applyFont="1" applyBorder="1"/>
    <xf numFmtId="0" fontId="0" fillId="0" borderId="1" xfId="0" applyBorder="1"/>
    <xf numFmtId="0" fontId="0" fillId="0" borderId="16" xfId="0" applyFill="1" applyBorder="1"/>
    <xf numFmtId="0" fontId="3" fillId="0" borderId="0" xfId="0" applyFont="1" applyAlignment="1">
      <alignment horizontal="left"/>
    </xf>
    <xf numFmtId="22" fontId="0" fillId="0" borderId="0" xfId="0" applyNumberFormat="1"/>
    <xf numFmtId="0" fontId="0" fillId="18" borderId="0" xfId="0" applyFill="1"/>
    <xf numFmtId="0" fontId="3" fillId="2" borderId="2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esult">
        <xsd:complexType>
          <xsd:sequence minOccurs="0">
            <xsd:element minOccurs="0" nillable="true" type="xsd:boolean" name="Success" form="unqualified"/>
            <xsd:element minOccurs="0" nillable="true" name="Tasks" form="unqualified">
              <xsd:complexType>
                <xsd:sequence minOccurs="0">
                  <xsd:element minOccurs="0" maxOccurs="unbounded" nillable="true" name="Task" form="unqualified">
                    <xsd:complexType>
                      <xsd:sequence minOccurs="0">
                        <xsd:element minOccurs="0" nillable="true" type="xsd:integer" name="Id" form="unqualified"/>
                        <xsd:element minOccurs="0" nillable="true" type="xsd:string" name="Type" form="unqualified"/>
                        <xsd:element minOccurs="0" nillable="true" type="xsd:string" name="Text" form="unqualified"/>
                        <xsd:element minOccurs="0" nillable="true" type="xsd:string" name="Comment" form="unqualified"/>
                        <xsd:element minOccurs="0" nillable="true" type="xsd:string" name="Site" form="unqualified"/>
                        <xsd:element minOccurs="0" nillable="true" type="xsd:string" name="CheckUrl" form="unqualified"/>
                        <xsd:element minOccurs="0" nillable="true" type="xsd:double" name="Price" form="unqualified"/>
                        <xsd:element minOccurs="0" nillable="true" type="xsd:dateTime" name="CreateDate" form="unqualified"/>
                        <xsd:element minOccurs="0" nillable="true" type="xsd:dateTime" name="TakenDate" form="unqualified"/>
                        <xsd:element minOccurs="0" nillable="true" type="xsd:string" name="CompletedDate" form="unqualified"/>
                        <xsd:element minOccurs="0" nillable="true" type="xsd:string" name="ApprovedDate" form="unqualified"/>
                        <xsd:element minOccurs="0" nillable="true" type="xsd:string" name="RejectedDate" form="unqualified"/>
                        <xsd:element minOccurs="0" nillable="true" type="xsd:integer" name="ReturnCount" form="unqualified"/>
                        <xsd:element minOccurs="0" nillable="true" type="xsd:integer" name="ModificationPrice" form="unqualified"/>
                        <xsd:element minOccurs="0" nillable="true" type="xsd:dateTime" name="AutoActionTime" form="unqualified"/>
                        <xsd:element minOccurs="0" nillable="true" type="xsd:boolean" name="NofollowRequired" form="unqualified"/>
                        <xsd:element minOccurs="0" nillable="true" type="xsd:string" name="Error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Result_карта" RootElement="Resul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45720</xdr:rowOff>
        </xdr:from>
        <xdr:to>
          <xdr:col>3</xdr:col>
          <xdr:colOff>297180</xdr:colOff>
          <xdr:row>2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</xdr:colOff>
          <xdr:row>2</xdr:row>
          <xdr:rowOff>152400</xdr:rowOff>
        </xdr:from>
        <xdr:to>
          <xdr:col>3</xdr:col>
          <xdr:colOff>335280</xdr:colOff>
          <xdr:row>4</xdr:row>
          <xdr:rowOff>144780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4</xdr:row>
          <xdr:rowOff>38100</xdr:rowOff>
        </xdr:from>
        <xdr:to>
          <xdr:col>1</xdr:col>
          <xdr:colOff>2423160</xdr:colOff>
          <xdr:row>5</xdr:row>
          <xdr:rowOff>152400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форму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0</xdr:rowOff>
        </xdr:from>
        <xdr:to>
          <xdr:col>15</xdr:col>
          <xdr:colOff>716280</xdr:colOff>
          <xdr:row>0</xdr:row>
          <xdr:rowOff>342900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0</xdr:row>
          <xdr:rowOff>7620</xdr:rowOff>
        </xdr:from>
        <xdr:to>
          <xdr:col>10</xdr:col>
          <xdr:colOff>228600</xdr:colOff>
          <xdr:row>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F36"/>
  <sheetViews>
    <sheetView zoomScale="80" zoomScaleNormal="80" workbookViewId="0">
      <selection activeCell="C29" sqref="C29"/>
    </sheetView>
  </sheetViews>
  <sheetFormatPr defaultColWidth="40.6640625" defaultRowHeight="14.4" x14ac:dyDescent="0.3"/>
  <cols>
    <col min="1" max="1" width="17.6640625" style="2" bestFit="1" customWidth="1"/>
    <col min="2" max="18" width="38.88671875" style="2" customWidth="1"/>
    <col min="19" max="16384" width="40.6640625" style="2"/>
  </cols>
  <sheetData>
    <row r="1" spans="1:6" ht="16.5" customHeight="1" thickBot="1" x14ac:dyDescent="0.35">
      <c r="A1" s="56" t="str">
        <f xml:space="preserve"> "Авторизация: " &amp; $F$2</f>
        <v>Авторизация: Максим</v>
      </c>
      <c r="B1" s="57"/>
      <c r="C1" s="40"/>
      <c r="D1" s="40"/>
      <c r="E1" s="43" t="s">
        <v>55</v>
      </c>
      <c r="F1" s="43" t="s">
        <v>44</v>
      </c>
    </row>
    <row r="2" spans="1:6" ht="15.6" x14ac:dyDescent="0.3">
      <c r="A2" s="45" t="s">
        <v>4</v>
      </c>
      <c r="B2" s="47" t="b">
        <v>1</v>
      </c>
      <c r="C2" s="40"/>
      <c r="D2" s="40"/>
      <c r="E2" s="50" t="s">
        <v>290</v>
      </c>
      <c r="F2" s="44" t="s">
        <v>291</v>
      </c>
    </row>
    <row r="3" spans="1:6" x14ac:dyDescent="0.3">
      <c r="A3" s="45" t="s">
        <v>5</v>
      </c>
      <c r="B3" s="48" t="s">
        <v>292</v>
      </c>
      <c r="C3" s="40"/>
      <c r="D3" s="40"/>
      <c r="E3" s="40"/>
      <c r="F3" s="40"/>
    </row>
    <row r="4" spans="1:6" ht="15" thickBot="1" x14ac:dyDescent="0.35">
      <c r="A4" s="46" t="s">
        <v>107</v>
      </c>
      <c r="B4" s="49">
        <v>43103.777083333334</v>
      </c>
      <c r="C4" s="41"/>
      <c r="D4" s="40"/>
      <c r="E4" s="40"/>
      <c r="F4" s="40"/>
    </row>
    <row r="5" spans="1:6" x14ac:dyDescent="0.3">
      <c r="A5" s="40"/>
      <c r="B5" s="40"/>
      <c r="C5" s="42"/>
      <c r="D5" s="40"/>
      <c r="E5" s="40"/>
      <c r="F5" s="40"/>
    </row>
    <row r="6" spans="1:6" x14ac:dyDescent="0.3">
      <c r="E6" s="40"/>
    </row>
    <row r="7" spans="1:6" x14ac:dyDescent="0.3">
      <c r="A7" s="2" t="s">
        <v>6</v>
      </c>
      <c r="B7"/>
      <c r="C7"/>
      <c r="D7"/>
      <c r="E7"/>
    </row>
    <row r="8" spans="1:6" x14ac:dyDescent="0.3">
      <c r="A8" s="2" t="s">
        <v>7</v>
      </c>
      <c r="B8"/>
      <c r="C8"/>
      <c r="D8"/>
      <c r="E8"/>
    </row>
    <row r="9" spans="1:6" x14ac:dyDescent="0.3">
      <c r="A9" s="2" t="s">
        <v>8</v>
      </c>
      <c r="B9"/>
      <c r="C9"/>
      <c r="D9"/>
      <c r="E9"/>
    </row>
    <row r="10" spans="1:6" x14ac:dyDescent="0.3">
      <c r="A10" s="2" t="s">
        <v>9</v>
      </c>
      <c r="B10"/>
      <c r="C10"/>
      <c r="D10"/>
      <c r="E10"/>
    </row>
    <row r="11" spans="1:6" x14ac:dyDescent="0.3">
      <c r="A11" s="2" t="s">
        <v>10</v>
      </c>
      <c r="B11"/>
      <c r="C11"/>
      <c r="D11"/>
      <c r="E11"/>
    </row>
    <row r="12" spans="1:6" x14ac:dyDescent="0.3">
      <c r="A12" s="2" t="s">
        <v>11</v>
      </c>
      <c r="B12"/>
      <c r="C12"/>
      <c r="D12"/>
      <c r="E12"/>
    </row>
    <row r="13" spans="1:6" x14ac:dyDescent="0.3">
      <c r="A13" s="2" t="s">
        <v>12</v>
      </c>
      <c r="B13"/>
      <c r="C13"/>
      <c r="D13"/>
      <c r="E13"/>
    </row>
    <row r="14" spans="1:6" x14ac:dyDescent="0.3">
      <c r="A14" s="2" t="s">
        <v>13</v>
      </c>
      <c r="B14"/>
      <c r="C14"/>
      <c r="D14"/>
      <c r="E14"/>
    </row>
    <row r="15" spans="1:6" x14ac:dyDescent="0.3">
      <c r="A15" s="2" t="s">
        <v>14</v>
      </c>
      <c r="B15"/>
      <c r="C15"/>
      <c r="D15"/>
      <c r="E15"/>
    </row>
    <row r="16" spans="1:6" x14ac:dyDescent="0.3">
      <c r="A16" s="2" t="s">
        <v>15</v>
      </c>
      <c r="B16"/>
      <c r="C16"/>
      <c r="D16"/>
      <c r="E16"/>
    </row>
    <row r="17" spans="1:5" x14ac:dyDescent="0.3">
      <c r="A17" s="2" t="s">
        <v>16</v>
      </c>
      <c r="B17"/>
      <c r="C17"/>
      <c r="D17"/>
      <c r="E17"/>
    </row>
    <row r="18" spans="1:5" x14ac:dyDescent="0.3">
      <c r="A18" s="2" t="s">
        <v>17</v>
      </c>
      <c r="B18"/>
      <c r="C18"/>
      <c r="D18"/>
      <c r="E18"/>
    </row>
    <row r="19" spans="1:5" x14ac:dyDescent="0.3">
      <c r="A19" s="2" t="s">
        <v>18</v>
      </c>
      <c r="B19"/>
      <c r="C19"/>
      <c r="D19"/>
      <c r="E19"/>
    </row>
    <row r="20" spans="1:5" x14ac:dyDescent="0.3">
      <c r="A20" s="2" t="s">
        <v>19</v>
      </c>
      <c r="B20"/>
      <c r="C20"/>
      <c r="D20"/>
      <c r="E20"/>
    </row>
    <row r="21" spans="1:5" x14ac:dyDescent="0.3">
      <c r="A21" s="2" t="s">
        <v>20</v>
      </c>
      <c r="B21"/>
      <c r="C21"/>
      <c r="D21"/>
      <c r="E21"/>
    </row>
    <row r="22" spans="1:5" x14ac:dyDescent="0.3">
      <c r="A22" s="2" t="s">
        <v>21</v>
      </c>
      <c r="B22"/>
      <c r="C22"/>
      <c r="D22"/>
      <c r="E22"/>
    </row>
    <row r="23" spans="1:5" x14ac:dyDescent="0.3">
      <c r="A23" s="2" t="s">
        <v>22</v>
      </c>
      <c r="B23"/>
      <c r="C23"/>
      <c r="D23"/>
      <c r="E23"/>
    </row>
    <row r="24" spans="1:5" x14ac:dyDescent="0.3">
      <c r="A24" s="2" t="s">
        <v>0</v>
      </c>
      <c r="B24"/>
      <c r="C24"/>
      <c r="D24"/>
      <c r="E24"/>
    </row>
    <row r="25" spans="1:5" x14ac:dyDescent="0.3">
      <c r="A25" s="32" t="s">
        <v>1</v>
      </c>
      <c r="B25"/>
      <c r="C25"/>
      <c r="D25"/>
      <c r="E25"/>
    </row>
    <row r="26" spans="1:5" x14ac:dyDescent="0.3">
      <c r="A26" s="3" t="s">
        <v>31</v>
      </c>
      <c r="B26"/>
      <c r="C26"/>
      <c r="D26"/>
      <c r="E26"/>
    </row>
    <row r="27" spans="1:5" x14ac:dyDescent="0.3">
      <c r="A27" s="3" t="s">
        <v>43</v>
      </c>
      <c r="B27"/>
      <c r="C27"/>
      <c r="D27"/>
      <c r="E27"/>
    </row>
    <row r="28" spans="1:5" x14ac:dyDescent="0.3">
      <c r="A28" s="3" t="s">
        <v>51</v>
      </c>
      <c r="B28"/>
      <c r="C28"/>
      <c r="D28"/>
      <c r="E28"/>
    </row>
    <row r="29" spans="1:5" x14ac:dyDescent="0.3">
      <c r="A29" s="33" t="s">
        <v>69</v>
      </c>
      <c r="B29"/>
      <c r="C29"/>
      <c r="D29"/>
      <c r="E29"/>
    </row>
    <row r="30" spans="1:5" x14ac:dyDescent="0.3">
      <c r="A30" s="33" t="s">
        <v>118</v>
      </c>
      <c r="B30"/>
      <c r="C30"/>
      <c r="D30"/>
      <c r="E30"/>
    </row>
    <row r="31" spans="1:5" x14ac:dyDescent="0.3">
      <c r="B31" s="28"/>
      <c r="E31" s="28"/>
    </row>
    <row r="34" spans="2:2" x14ac:dyDescent="0.3">
      <c r="B34" s="3"/>
    </row>
    <row r="36" spans="2:2" x14ac:dyDescent="0.3">
      <c r="B36" s="28"/>
    </row>
  </sheetData>
  <mergeCells count="1">
    <mergeCell ref="A1:B1"/>
  </mergeCells>
  <dataValidations count="2">
    <dataValidation type="list" allowBlank="1" showInputMessage="1" showErrorMessage="1" sqref="F2">
      <formula1>"Антон, Максим"</formula1>
    </dataValidation>
    <dataValidation type="list" allowBlank="1" showInputMessage="1" showErrorMessage="1" sqref="E2">
      <formula1>"Новые заявки, Заявки в работе"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RotaAuto">
                <anchor moveWithCells="1" sizeWithCells="1">
                  <from>
                    <xdr:col>2</xdr:col>
                    <xdr:colOff>114300</xdr:colOff>
                    <xdr:row>0</xdr:row>
                    <xdr:rowOff>45720</xdr:rowOff>
                  </from>
                  <to>
                    <xdr:col>3</xdr:col>
                    <xdr:colOff>297180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GetRotaIsue">
                <anchor moveWithCells="1" sizeWithCells="1">
                  <from>
                    <xdr:col>2</xdr:col>
                    <xdr:colOff>83820</xdr:colOff>
                    <xdr:row>2</xdr:row>
                    <xdr:rowOff>152400</xdr:rowOff>
                  </from>
                  <to>
                    <xdr:col>3</xdr:col>
                    <xdr:colOff>335280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lerform">
                <anchor moveWithCells="1" sizeWithCells="1">
                  <from>
                    <xdr:col>1</xdr:col>
                    <xdr:colOff>22860</xdr:colOff>
                    <xdr:row>4</xdr:row>
                    <xdr:rowOff>38100</xdr:rowOff>
                  </from>
                  <to>
                    <xdr:col>1</xdr:col>
                    <xdr:colOff>2423160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W29"/>
  <sheetViews>
    <sheetView zoomScale="70" zoomScaleNormal="70" workbookViewId="0">
      <selection activeCell="L21" sqref="L21"/>
    </sheetView>
  </sheetViews>
  <sheetFormatPr defaultRowHeight="14.4" x14ac:dyDescent="0.3"/>
  <cols>
    <col min="1" max="1" width="11.5546875" customWidth="1"/>
    <col min="3" max="3" width="15.5546875" bestFit="1" customWidth="1"/>
    <col min="4" max="4" width="22.33203125" bestFit="1" customWidth="1"/>
    <col min="5" max="5" width="16.44140625" bestFit="1" customWidth="1"/>
    <col min="7" max="7" width="16.44140625" bestFit="1" customWidth="1"/>
    <col min="9" max="9" width="13.33203125" bestFit="1" customWidth="1"/>
    <col min="12" max="12" width="10.44140625" customWidth="1"/>
    <col min="16" max="16" width="13.6640625" bestFit="1" customWidth="1"/>
    <col min="21" max="21" width="9.5546875" customWidth="1"/>
  </cols>
  <sheetData>
    <row r="1" spans="1:23" ht="32.25" customHeight="1" thickBot="1" x14ac:dyDescent="0.35">
      <c r="A1" s="59" t="s">
        <v>34</v>
      </c>
      <c r="B1" s="59"/>
      <c r="C1" s="22" t="s">
        <v>40</v>
      </c>
      <c r="D1" s="23"/>
      <c r="L1" s="8" t="s">
        <v>45</v>
      </c>
    </row>
    <row r="2" spans="1:23" s="17" customFormat="1" ht="31.5" customHeight="1" thickBot="1" x14ac:dyDescent="0.35">
      <c r="A2" s="58" t="s">
        <v>211</v>
      </c>
      <c r="B2" s="58"/>
      <c r="C2" s="24">
        <f>COUNTA(A:A)-2</f>
        <v>4</v>
      </c>
      <c r="D2" s="25"/>
      <c r="E2" s="12" t="s">
        <v>47</v>
      </c>
      <c r="F2" s="13" t="s">
        <v>24</v>
      </c>
      <c r="G2" s="14" t="s">
        <v>46</v>
      </c>
      <c r="H2" s="15" t="s">
        <v>25</v>
      </c>
      <c r="I2" s="21" t="s">
        <v>52</v>
      </c>
      <c r="J2" s="16" t="s">
        <v>23</v>
      </c>
      <c r="L2" s="20" t="s">
        <v>2</v>
      </c>
      <c r="N2" s="18" t="s">
        <v>26</v>
      </c>
      <c r="P2" s="19" t="s">
        <v>3</v>
      </c>
      <c r="R2" s="26" t="s">
        <v>32</v>
      </c>
      <c r="T2" s="12" t="s">
        <v>33</v>
      </c>
      <c r="U2" s="34" t="s">
        <v>72</v>
      </c>
      <c r="V2" s="27" t="s">
        <v>39</v>
      </c>
    </row>
    <row r="3" spans="1:23" x14ac:dyDescent="0.3">
      <c r="A3">
        <v>28561582</v>
      </c>
      <c r="E3" t="s">
        <v>170</v>
      </c>
      <c r="G3" s="54">
        <v>43095.522222222222</v>
      </c>
      <c r="I3" t="s">
        <v>145</v>
      </c>
      <c r="L3" s="1" t="s">
        <v>275</v>
      </c>
      <c r="R3" t="s">
        <v>234</v>
      </c>
      <c r="T3" t="s">
        <v>235</v>
      </c>
      <c r="U3" t="s">
        <v>236</v>
      </c>
      <c r="V3" t="s">
        <v>237</v>
      </c>
      <c r="W3" s="5"/>
    </row>
    <row r="4" spans="1:23" x14ac:dyDescent="0.3">
      <c r="A4" t="s">
        <v>229</v>
      </c>
      <c r="F4" s="1" t="s">
        <v>230</v>
      </c>
      <c r="H4" s="1" t="s">
        <v>231</v>
      </c>
      <c r="J4" s="1" t="s">
        <v>232</v>
      </c>
      <c r="L4" s="1" t="s">
        <v>234</v>
      </c>
      <c r="N4" s="1" t="s">
        <v>233</v>
      </c>
      <c r="P4" s="1">
        <v>100</v>
      </c>
      <c r="W4" s="5"/>
    </row>
    <row r="5" spans="1:23" x14ac:dyDescent="0.3">
      <c r="A5">
        <v>28562075</v>
      </c>
      <c r="E5" t="s">
        <v>272</v>
      </c>
      <c r="G5" s="54">
        <v>43095.828472222223</v>
      </c>
      <c r="I5" t="s">
        <v>145</v>
      </c>
      <c r="L5" s="1" t="s">
        <v>283</v>
      </c>
      <c r="R5" t="s">
        <v>281</v>
      </c>
      <c r="T5" t="s">
        <v>282</v>
      </c>
      <c r="U5" t="s">
        <v>269</v>
      </c>
      <c r="V5" t="b">
        <v>1</v>
      </c>
      <c r="W5" s="5"/>
    </row>
    <row r="6" spans="1:23" x14ac:dyDescent="0.3">
      <c r="A6" t="s">
        <v>276</v>
      </c>
      <c r="F6" s="1" t="s">
        <v>277</v>
      </c>
      <c r="H6" s="1" t="s">
        <v>278</v>
      </c>
      <c r="J6" s="1" t="s">
        <v>279</v>
      </c>
      <c r="L6" s="1" t="s">
        <v>281</v>
      </c>
      <c r="N6" s="1" t="s">
        <v>280</v>
      </c>
      <c r="P6" s="1">
        <v>100</v>
      </c>
      <c r="W6" s="5"/>
    </row>
    <row r="7" spans="1:23" x14ac:dyDescent="0.3">
      <c r="W7" s="5"/>
    </row>
    <row r="8" spans="1:23" x14ac:dyDescent="0.3">
      <c r="W8" s="5"/>
    </row>
    <row r="9" spans="1:23" x14ac:dyDescent="0.3">
      <c r="W9" s="5"/>
    </row>
    <row r="10" spans="1:23" x14ac:dyDescent="0.3">
      <c r="W10" s="5"/>
    </row>
    <row r="11" spans="1:23" x14ac:dyDescent="0.3">
      <c r="W11" s="5"/>
    </row>
    <row r="12" spans="1:23" x14ac:dyDescent="0.3">
      <c r="W12" s="5"/>
    </row>
    <row r="13" spans="1:23" x14ac:dyDescent="0.3">
      <c r="W13" s="5"/>
    </row>
    <row r="14" spans="1:23" x14ac:dyDescent="0.3">
      <c r="W14" s="5"/>
    </row>
    <row r="15" spans="1:23" x14ac:dyDescent="0.3">
      <c r="W15" s="5"/>
    </row>
    <row r="16" spans="1:23" x14ac:dyDescent="0.3">
      <c r="W16" s="5"/>
    </row>
    <row r="17" spans="23:23" x14ac:dyDescent="0.3">
      <c r="W17" s="5"/>
    </row>
    <row r="18" spans="23:23" x14ac:dyDescent="0.3">
      <c r="W18" s="5"/>
    </row>
    <row r="19" spans="23:23" x14ac:dyDescent="0.3">
      <c r="W19" s="5"/>
    </row>
    <row r="20" spans="23:23" x14ac:dyDescent="0.3">
      <c r="W20" s="5"/>
    </row>
    <row r="21" spans="23:23" x14ac:dyDescent="0.3">
      <c r="W21" s="5"/>
    </row>
    <row r="22" spans="23:23" x14ac:dyDescent="0.3">
      <c r="W22" s="5"/>
    </row>
    <row r="23" spans="23:23" x14ac:dyDescent="0.3">
      <c r="W23" s="5"/>
    </row>
    <row r="24" spans="23:23" x14ac:dyDescent="0.3">
      <c r="W24" s="5"/>
    </row>
    <row r="25" spans="23:23" x14ac:dyDescent="0.3">
      <c r="W25" s="5"/>
    </row>
    <row r="26" spans="23:23" x14ac:dyDescent="0.3">
      <c r="W26" s="5"/>
    </row>
    <row r="27" spans="23:23" x14ac:dyDescent="0.3">
      <c r="W27" s="5"/>
    </row>
    <row r="28" spans="23:23" x14ac:dyDescent="0.3">
      <c r="W28" s="5"/>
    </row>
    <row r="29" spans="23:23" x14ac:dyDescent="0.3">
      <c r="W29" s="5"/>
    </row>
  </sheetData>
  <mergeCells count="2">
    <mergeCell ref="A2:B2"/>
    <mergeCell ref="A1:B1"/>
  </mergeCells>
  <dataValidations count="3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  <dataValidation type="list" allowBlank="1" showInputMessage="1" showErrorMessage="1" sqref="U5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7620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121920</xdr:colOff>
                    <xdr:row>0</xdr:row>
                    <xdr:rowOff>0</xdr:rowOff>
                  </from>
                  <to>
                    <xdr:col>15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35"/>
  <sheetViews>
    <sheetView topLeftCell="A18" workbookViewId="0">
      <selection activeCell="G41" sqref="G41"/>
    </sheetView>
  </sheetViews>
  <sheetFormatPr defaultRowHeight="14.4" x14ac:dyDescent="0.3"/>
  <sheetData>
    <row r="1" spans="1:5" x14ac:dyDescent="0.3">
      <c r="A1" s="51" t="s">
        <v>160</v>
      </c>
      <c r="B1" s="51" t="s">
        <v>47</v>
      </c>
      <c r="C1" s="51" t="s">
        <v>161</v>
      </c>
      <c r="D1" s="51" t="s">
        <v>52</v>
      </c>
      <c r="E1" s="52" t="s">
        <v>190</v>
      </c>
    </row>
    <row r="2" spans="1:5" x14ac:dyDescent="0.3">
      <c r="A2" s="51">
        <v>28542234</v>
      </c>
      <c r="B2" s="51" t="s">
        <v>151</v>
      </c>
      <c r="C2" s="51"/>
      <c r="D2" s="51" t="s">
        <v>182</v>
      </c>
      <c r="E2" s="40" t="s">
        <v>191</v>
      </c>
    </row>
    <row r="3" spans="1:5" x14ac:dyDescent="0.3">
      <c r="A3" s="51">
        <v>28549279</v>
      </c>
      <c r="B3" s="51" t="s">
        <v>177</v>
      </c>
      <c r="C3" s="51"/>
      <c r="D3" s="51" t="s">
        <v>182</v>
      </c>
      <c r="E3" s="40" t="s">
        <v>191</v>
      </c>
    </row>
    <row r="4" spans="1:5" x14ac:dyDescent="0.3">
      <c r="A4">
        <v>28546343</v>
      </c>
      <c r="B4" t="s">
        <v>148</v>
      </c>
      <c r="D4" s="51" t="s">
        <v>182</v>
      </c>
      <c r="E4" s="6" t="s">
        <v>194</v>
      </c>
    </row>
    <row r="5" spans="1:5" x14ac:dyDescent="0.3">
      <c r="A5" s="51">
        <v>28544868</v>
      </c>
      <c r="B5" s="51" t="s">
        <v>166</v>
      </c>
      <c r="C5" s="51" t="s">
        <v>183</v>
      </c>
      <c r="D5" s="51" t="s">
        <v>188</v>
      </c>
    </row>
    <row r="6" spans="1:5" x14ac:dyDescent="0.3">
      <c r="A6" s="51">
        <v>28546435</v>
      </c>
      <c r="B6" s="51" t="s">
        <v>167</v>
      </c>
      <c r="C6" s="51" t="s">
        <v>187</v>
      </c>
      <c r="D6" s="51" t="s">
        <v>188</v>
      </c>
    </row>
    <row r="7" spans="1:5" x14ac:dyDescent="0.3">
      <c r="A7" s="51">
        <v>28546613</v>
      </c>
      <c r="B7" s="51" t="s">
        <v>168</v>
      </c>
      <c r="C7" s="51" t="s">
        <v>181</v>
      </c>
      <c r="D7" s="51" t="s">
        <v>188</v>
      </c>
    </row>
    <row r="8" spans="1:5" x14ac:dyDescent="0.3">
      <c r="A8">
        <v>28547795</v>
      </c>
      <c r="B8" t="s">
        <v>170</v>
      </c>
      <c r="D8" s="52" t="s">
        <v>182</v>
      </c>
      <c r="E8" t="s">
        <v>189</v>
      </c>
    </row>
    <row r="9" spans="1:5" x14ac:dyDescent="0.3">
      <c r="A9" s="51">
        <v>28549107</v>
      </c>
      <c r="B9" s="51" t="s">
        <v>147</v>
      </c>
      <c r="C9" s="51"/>
      <c r="D9" s="51" t="s">
        <v>182</v>
      </c>
      <c r="E9" t="s">
        <v>191</v>
      </c>
    </row>
    <row r="10" spans="1:5" x14ac:dyDescent="0.3">
      <c r="A10" s="51">
        <v>28549521</v>
      </c>
      <c r="B10" s="51" t="s">
        <v>178</v>
      </c>
      <c r="C10" s="51"/>
      <c r="D10" s="51" t="s">
        <v>182</v>
      </c>
      <c r="E10" s="40" t="s">
        <v>191</v>
      </c>
    </row>
    <row r="11" spans="1:5" x14ac:dyDescent="0.3">
      <c r="A11" s="51">
        <v>28549420</v>
      </c>
      <c r="B11" s="51" t="s">
        <v>179</v>
      </c>
      <c r="C11" s="51" t="s">
        <v>193</v>
      </c>
      <c r="D11" s="51" t="s">
        <v>188</v>
      </c>
    </row>
    <row r="12" spans="1:5" x14ac:dyDescent="0.3">
      <c r="A12" s="51">
        <v>28539436</v>
      </c>
      <c r="B12" s="51" t="s">
        <v>146</v>
      </c>
      <c r="C12" s="51" t="s">
        <v>156</v>
      </c>
      <c r="D12" s="51" t="s">
        <v>195</v>
      </c>
    </row>
    <row r="13" spans="1:5" x14ac:dyDescent="0.3">
      <c r="A13" s="51">
        <v>28546504</v>
      </c>
      <c r="B13" s="51" t="s">
        <v>169</v>
      </c>
      <c r="C13" s="51" t="s">
        <v>196</v>
      </c>
      <c r="D13" s="51" t="s">
        <v>188</v>
      </c>
    </row>
    <row r="14" spans="1:5" x14ac:dyDescent="0.3">
      <c r="A14" s="53">
        <v>28550443</v>
      </c>
      <c r="B14" s="51" t="s">
        <v>199</v>
      </c>
      <c r="C14" s="51" t="s">
        <v>203</v>
      </c>
      <c r="D14" s="51" t="s">
        <v>188</v>
      </c>
    </row>
    <row r="15" spans="1:5" x14ac:dyDescent="0.3">
      <c r="A15" s="53">
        <v>28550474</v>
      </c>
      <c r="B15" t="s">
        <v>200</v>
      </c>
      <c r="C15" t="s">
        <v>204</v>
      </c>
      <c r="D15" s="51" t="s">
        <v>188</v>
      </c>
    </row>
    <row r="16" spans="1:5" x14ac:dyDescent="0.3">
      <c r="A16" s="53">
        <v>28546504</v>
      </c>
      <c r="B16" t="s">
        <v>169</v>
      </c>
      <c r="C16" t="s">
        <v>196</v>
      </c>
      <c r="D16" s="51" t="s">
        <v>195</v>
      </c>
    </row>
    <row r="18" spans="1:5" x14ac:dyDescent="0.3">
      <c r="A18">
        <v>28552804</v>
      </c>
      <c r="B18" t="s">
        <v>207</v>
      </c>
      <c r="C18" t="s">
        <v>212</v>
      </c>
      <c r="D18" t="s">
        <v>188</v>
      </c>
    </row>
    <row r="19" spans="1:5" x14ac:dyDescent="0.3">
      <c r="A19">
        <v>28553902</v>
      </c>
      <c r="B19" t="s">
        <v>168</v>
      </c>
      <c r="C19" t="s">
        <v>213</v>
      </c>
      <c r="D19" s="40" t="s">
        <v>188</v>
      </c>
    </row>
    <row r="20" spans="1:5" x14ac:dyDescent="0.3">
      <c r="A20" s="1">
        <v>28552247</v>
      </c>
      <c r="B20" s="1" t="s">
        <v>147</v>
      </c>
      <c r="D20" s="6" t="s">
        <v>182</v>
      </c>
      <c r="E20" t="s">
        <v>218</v>
      </c>
    </row>
    <row r="21" spans="1:5" x14ac:dyDescent="0.3">
      <c r="A21" s="53">
        <v>28546504</v>
      </c>
      <c r="B21" s="53" t="s">
        <v>169</v>
      </c>
      <c r="D21" s="6" t="s">
        <v>182</v>
      </c>
      <c r="E21" t="s">
        <v>219</v>
      </c>
    </row>
    <row r="22" spans="1:5" x14ac:dyDescent="0.3">
      <c r="A22" s="53">
        <v>28556692</v>
      </c>
      <c r="B22" s="53" t="s">
        <v>214</v>
      </c>
      <c r="D22" s="6" t="s">
        <v>182</v>
      </c>
      <c r="E22" t="s">
        <v>220</v>
      </c>
    </row>
    <row r="23" spans="1:5" x14ac:dyDescent="0.3">
      <c r="A23" s="53">
        <v>28556689</v>
      </c>
      <c r="B23" s="53" t="s">
        <v>148</v>
      </c>
      <c r="D23" s="6" t="s">
        <v>182</v>
      </c>
      <c r="E23" t="s">
        <v>220</v>
      </c>
    </row>
    <row r="24" spans="1:5" x14ac:dyDescent="0.3">
      <c r="A24" s="53">
        <v>28556977</v>
      </c>
      <c r="B24" s="53" t="s">
        <v>215</v>
      </c>
      <c r="D24" s="6" t="s">
        <v>182</v>
      </c>
      <c r="E24" t="s">
        <v>218</v>
      </c>
    </row>
    <row r="26" spans="1:5" x14ac:dyDescent="0.3">
      <c r="A26">
        <v>28560698</v>
      </c>
      <c r="B26" t="s">
        <v>221</v>
      </c>
      <c r="D26" s="6" t="s">
        <v>182</v>
      </c>
      <c r="E26" s="40" t="s">
        <v>218</v>
      </c>
    </row>
    <row r="27" spans="1:5" x14ac:dyDescent="0.3">
      <c r="A27">
        <v>28560696</v>
      </c>
      <c r="B27" t="s">
        <v>148</v>
      </c>
      <c r="C27" t="s">
        <v>224</v>
      </c>
      <c r="D27" s="6" t="s">
        <v>225</v>
      </c>
    </row>
    <row r="28" spans="1:5" x14ac:dyDescent="0.3">
      <c r="A28" s="55">
        <v>28560698</v>
      </c>
      <c r="B28" t="s">
        <v>221</v>
      </c>
      <c r="C28" s="6" t="s">
        <v>225</v>
      </c>
    </row>
    <row r="29" spans="1:5" x14ac:dyDescent="0.3">
      <c r="A29">
        <v>28561581</v>
      </c>
      <c r="B29" t="s">
        <v>226</v>
      </c>
      <c r="C29" s="6" t="s">
        <v>225</v>
      </c>
    </row>
    <row r="30" spans="1:5" x14ac:dyDescent="0.3">
      <c r="A30">
        <v>28561582</v>
      </c>
      <c r="B30" t="s">
        <v>170</v>
      </c>
      <c r="C30" s="6" t="s">
        <v>182</v>
      </c>
      <c r="D30" t="s">
        <v>270</v>
      </c>
    </row>
    <row r="31" spans="1:5" x14ac:dyDescent="0.3">
      <c r="A31">
        <v>28546504</v>
      </c>
      <c r="B31" t="s">
        <v>169</v>
      </c>
      <c r="C31" s="6" t="s">
        <v>271</v>
      </c>
    </row>
    <row r="33" spans="1:5" x14ac:dyDescent="0.3">
      <c r="A33">
        <v>28561582</v>
      </c>
      <c r="B33" t="s">
        <v>170</v>
      </c>
      <c r="D33" s="6" t="s">
        <v>182</v>
      </c>
      <c r="E33" t="s">
        <v>237</v>
      </c>
    </row>
    <row r="34" spans="1:5" x14ac:dyDescent="0.3">
      <c r="A34">
        <v>28562075</v>
      </c>
      <c r="B34" t="s">
        <v>272</v>
      </c>
      <c r="C34" t="s">
        <v>282</v>
      </c>
      <c r="D34" s="6" t="s">
        <v>225</v>
      </c>
    </row>
    <row r="35" spans="1:5" x14ac:dyDescent="0.3">
      <c r="A35" t="s">
        <v>284</v>
      </c>
      <c r="B35" t="s">
        <v>169</v>
      </c>
      <c r="D35" s="6" t="s">
        <v>285</v>
      </c>
    </row>
  </sheetData>
  <autoFilter ref="A1:D1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>
      <selection activeCell="F13" sqref="F13"/>
    </sheetView>
  </sheetViews>
  <sheetFormatPr defaultRowHeight="14.4" x14ac:dyDescent="0.3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18FCFF"/>
  </sheetPr>
  <dimension ref="A1:L1"/>
  <sheetViews>
    <sheetView workbookViewId="0">
      <selection activeCell="D14" sqref="D14"/>
    </sheetView>
  </sheetViews>
  <sheetFormatPr defaultColWidth="9.109375" defaultRowHeight="14.4" x14ac:dyDescent="0.3"/>
  <cols>
    <col min="1" max="1" width="3.109375" style="35" bestFit="1" customWidth="1"/>
    <col min="2" max="2" width="9.109375" style="35"/>
    <col min="3" max="3" width="50.6640625" style="35" bestFit="1" customWidth="1"/>
    <col min="4" max="4" width="37.5546875" style="35" bestFit="1" customWidth="1"/>
    <col min="5" max="7" width="15.33203125" style="35" bestFit="1" customWidth="1"/>
    <col min="8" max="8" width="10.109375" style="35" bestFit="1" customWidth="1"/>
    <col min="9" max="11" width="9.109375" style="35"/>
    <col min="12" max="12" width="10.109375" style="35" bestFit="1" customWidth="1"/>
    <col min="13" max="16384" width="9.109375" style="35"/>
  </cols>
  <sheetData>
    <row r="1" spans="1:12" ht="29.25" customHeight="1" thickBot="1" x14ac:dyDescent="0.35">
      <c r="A1" s="36" t="s">
        <v>93</v>
      </c>
      <c r="B1" s="37" t="s">
        <v>94</v>
      </c>
      <c r="C1" s="37" t="s">
        <v>95</v>
      </c>
      <c r="D1" s="37" t="s">
        <v>5</v>
      </c>
      <c r="E1" s="37" t="s">
        <v>96</v>
      </c>
      <c r="F1" s="37" t="s">
        <v>51</v>
      </c>
      <c r="G1" s="37" t="s">
        <v>97</v>
      </c>
      <c r="H1" s="39">
        <f>COUNTA(B:B)-1</f>
        <v>0</v>
      </c>
      <c r="L1" s="38">
        <f ca="1">TODAY()</f>
        <v>43096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CloseDefendIsue">
                <anchor moveWithCells="1" sizeWithCells="1">
                  <from>
                    <xdr:col>8</xdr:col>
                    <xdr:colOff>60960</xdr:colOff>
                    <xdr:row>0</xdr:row>
                    <xdr:rowOff>7620</xdr:rowOff>
                  </from>
                  <to>
                    <xdr:col>10</xdr:col>
                    <xdr:colOff>228600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37"/>
  <sheetViews>
    <sheetView tabSelected="1" topLeftCell="A22" workbookViewId="0">
      <selection activeCell="G30" sqref="G30"/>
    </sheetView>
  </sheetViews>
  <sheetFormatPr defaultRowHeight="14.4" x14ac:dyDescent="0.3"/>
  <cols>
    <col min="2" max="2" width="14.5546875" bestFit="1" customWidth="1"/>
    <col min="4" max="4" width="24.44140625" bestFit="1" customWidth="1"/>
  </cols>
  <sheetData>
    <row r="1" spans="1:4" ht="15" thickBot="1" x14ac:dyDescent="0.35">
      <c r="A1" s="7">
        <f>COUNTA(A2:A94)</f>
        <v>9</v>
      </c>
      <c r="B1" s="9" t="s">
        <v>49</v>
      </c>
      <c r="C1" s="11">
        <f>COUNTA(C2:C94)</f>
        <v>36</v>
      </c>
      <c r="D1" s="10" t="s">
        <v>35</v>
      </c>
    </row>
    <row r="2" spans="1:4" x14ac:dyDescent="0.3">
      <c r="A2" s="5" t="s">
        <v>27</v>
      </c>
      <c r="B2" s="4"/>
      <c r="C2" t="s">
        <v>50</v>
      </c>
    </row>
    <row r="3" spans="1:4" x14ac:dyDescent="0.3">
      <c r="A3" s="5" t="s">
        <v>28</v>
      </c>
      <c r="B3" s="4"/>
      <c r="C3" t="s">
        <v>141</v>
      </c>
    </row>
    <row r="4" spans="1:4" x14ac:dyDescent="0.3">
      <c r="A4" s="5" t="s">
        <v>30</v>
      </c>
      <c r="B4" s="4"/>
      <c r="C4" t="s">
        <v>36</v>
      </c>
    </row>
    <row r="5" spans="1:4" x14ac:dyDescent="0.3">
      <c r="A5" s="6" t="s">
        <v>41</v>
      </c>
      <c r="B5" s="4"/>
      <c r="C5" t="s">
        <v>37</v>
      </c>
    </row>
    <row r="6" spans="1:4" x14ac:dyDescent="0.3">
      <c r="A6" s="6" t="s">
        <v>42</v>
      </c>
      <c r="B6" s="4"/>
      <c r="C6" t="s">
        <v>38</v>
      </c>
    </row>
    <row r="7" spans="1:4" x14ac:dyDescent="0.3">
      <c r="A7" t="s">
        <v>99</v>
      </c>
      <c r="B7" s="4"/>
      <c r="C7" t="s">
        <v>48</v>
      </c>
    </row>
    <row r="8" spans="1:4" x14ac:dyDescent="0.3">
      <c r="A8" t="s">
        <v>100</v>
      </c>
      <c r="B8" s="4"/>
      <c r="C8" s="5" t="s">
        <v>29</v>
      </c>
    </row>
    <row r="9" spans="1:4" x14ac:dyDescent="0.3">
      <c r="A9" t="s">
        <v>101</v>
      </c>
      <c r="B9" s="4"/>
      <c r="C9" t="s">
        <v>53</v>
      </c>
    </row>
    <row r="10" spans="1:4" x14ac:dyDescent="0.3">
      <c r="A10" t="s">
        <v>110</v>
      </c>
      <c r="B10" s="4"/>
      <c r="C10" t="s">
        <v>54</v>
      </c>
    </row>
    <row r="11" spans="1:4" x14ac:dyDescent="0.3">
      <c r="B11" s="4"/>
      <c r="C11" t="s">
        <v>56</v>
      </c>
    </row>
    <row r="12" spans="1:4" x14ac:dyDescent="0.3">
      <c r="B12" s="4"/>
      <c r="C12" t="s">
        <v>57</v>
      </c>
    </row>
    <row r="13" spans="1:4" x14ac:dyDescent="0.3">
      <c r="B13" s="4"/>
      <c r="C13" t="s">
        <v>87</v>
      </c>
    </row>
    <row r="14" spans="1:4" x14ac:dyDescent="0.3">
      <c r="B14" s="4"/>
      <c r="C14" t="s">
        <v>88</v>
      </c>
    </row>
    <row r="15" spans="1:4" x14ac:dyDescent="0.3">
      <c r="B15" s="4"/>
      <c r="C15" t="s">
        <v>89</v>
      </c>
    </row>
    <row r="16" spans="1:4" x14ac:dyDescent="0.3">
      <c r="B16" s="4"/>
      <c r="C16" t="s">
        <v>121</v>
      </c>
    </row>
    <row r="17" spans="2:3" x14ac:dyDescent="0.3">
      <c r="B17" s="4"/>
      <c r="C17" t="s">
        <v>102</v>
      </c>
    </row>
    <row r="18" spans="2:3" x14ac:dyDescent="0.3">
      <c r="C18" t="s">
        <v>99</v>
      </c>
    </row>
    <row r="19" spans="2:3" x14ac:dyDescent="0.3">
      <c r="C19" t="s">
        <v>103</v>
      </c>
    </row>
    <row r="20" spans="2:3" x14ac:dyDescent="0.3">
      <c r="C20" t="s">
        <v>104</v>
      </c>
    </row>
    <row r="21" spans="2:3" x14ac:dyDescent="0.3">
      <c r="C21" t="s">
        <v>105</v>
      </c>
    </row>
    <row r="22" spans="2:3" x14ac:dyDescent="0.3">
      <c r="C22" t="s">
        <v>106</v>
      </c>
    </row>
    <row r="23" spans="2:3" x14ac:dyDescent="0.3">
      <c r="C23" t="s">
        <v>38</v>
      </c>
    </row>
    <row r="24" spans="2:3" x14ac:dyDescent="0.3">
      <c r="C24" t="s">
        <v>111</v>
      </c>
    </row>
    <row r="25" spans="2:3" x14ac:dyDescent="0.3">
      <c r="C25" t="s">
        <v>112</v>
      </c>
    </row>
    <row r="26" spans="2:3" x14ac:dyDescent="0.3">
      <c r="C26" t="s">
        <v>142</v>
      </c>
    </row>
    <row r="27" spans="2:3" x14ac:dyDescent="0.3">
      <c r="C27" t="s">
        <v>143</v>
      </c>
    </row>
    <row r="28" spans="2:3" x14ac:dyDescent="0.3">
      <c r="C28" t="s">
        <v>144</v>
      </c>
    </row>
    <row r="29" spans="2:3" x14ac:dyDescent="0.3">
      <c r="C29" t="s">
        <v>157</v>
      </c>
    </row>
    <row r="30" spans="2:3" x14ac:dyDescent="0.3">
      <c r="C30" t="s">
        <v>158</v>
      </c>
    </row>
    <row r="31" spans="2:3" x14ac:dyDescent="0.3">
      <c r="C31" t="s">
        <v>159</v>
      </c>
    </row>
    <row r="32" spans="2:3" x14ac:dyDescent="0.3">
      <c r="C32" t="s">
        <v>184</v>
      </c>
    </row>
    <row r="33" spans="3:3" x14ac:dyDescent="0.3">
      <c r="C33" t="s">
        <v>185</v>
      </c>
    </row>
    <row r="34" spans="3:3" x14ac:dyDescent="0.3">
      <c r="C34" t="s">
        <v>186</v>
      </c>
    </row>
    <row r="35" spans="3:3" x14ac:dyDescent="0.3">
      <c r="C35" t="s">
        <v>223</v>
      </c>
    </row>
    <row r="36" spans="3:3" x14ac:dyDescent="0.3">
      <c r="C36" t="s">
        <v>293</v>
      </c>
    </row>
    <row r="37" spans="3:3" x14ac:dyDescent="0.3">
      <c r="C37" t="s">
        <v>294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65"/>
  <sheetViews>
    <sheetView topLeftCell="A43" workbookViewId="0">
      <selection activeCell="E69" sqref="E69"/>
    </sheetView>
  </sheetViews>
  <sheetFormatPr defaultRowHeight="14.4" x14ac:dyDescent="0.3"/>
  <cols>
    <col min="1" max="1" width="5.5546875" customWidth="1"/>
    <col min="2" max="2" width="13.44140625" bestFit="1" customWidth="1"/>
    <col min="3" max="3" width="21.88671875" bestFit="1" customWidth="1"/>
  </cols>
  <sheetData>
    <row r="1" spans="1:3" x14ac:dyDescent="0.3">
      <c r="A1" s="29">
        <f>COUNTA(B:B)-1</f>
        <v>64</v>
      </c>
      <c r="B1" s="31" t="s">
        <v>58</v>
      </c>
      <c r="C1" s="30" t="s">
        <v>59</v>
      </c>
    </row>
    <row r="2" spans="1:3" x14ac:dyDescent="0.3">
      <c r="A2">
        <v>1</v>
      </c>
      <c r="B2" t="s">
        <v>121</v>
      </c>
      <c r="C2" t="s">
        <v>60</v>
      </c>
    </row>
    <row r="3" spans="1:3" x14ac:dyDescent="0.3">
      <c r="A3">
        <v>2</v>
      </c>
      <c r="B3" t="s">
        <v>61</v>
      </c>
      <c r="C3" t="s">
        <v>62</v>
      </c>
    </row>
    <row r="4" spans="1:3" x14ac:dyDescent="0.3">
      <c r="A4">
        <v>3</v>
      </c>
      <c r="B4" t="s">
        <v>63</v>
      </c>
      <c r="C4" t="s">
        <v>64</v>
      </c>
    </row>
    <row r="5" spans="1:3" x14ac:dyDescent="0.3">
      <c r="A5">
        <v>4</v>
      </c>
      <c r="B5" t="s">
        <v>65</v>
      </c>
      <c r="C5" t="s">
        <v>90</v>
      </c>
    </row>
    <row r="6" spans="1:3" x14ac:dyDescent="0.3">
      <c r="A6">
        <v>5</v>
      </c>
      <c r="B6" t="s">
        <v>113</v>
      </c>
      <c r="C6" t="s">
        <v>66</v>
      </c>
    </row>
    <row r="7" spans="1:3" x14ac:dyDescent="0.3">
      <c r="A7">
        <v>6</v>
      </c>
      <c r="B7" t="s">
        <v>67</v>
      </c>
      <c r="C7" t="s">
        <v>68</v>
      </c>
    </row>
    <row r="8" spans="1:3" s="40" customFormat="1" x14ac:dyDescent="0.3">
      <c r="A8" s="40">
        <v>7</v>
      </c>
      <c r="B8" s="40" t="s">
        <v>227</v>
      </c>
      <c r="C8" s="40" t="s">
        <v>228</v>
      </c>
    </row>
    <row r="9" spans="1:3" x14ac:dyDescent="0.3">
      <c r="A9">
        <v>8</v>
      </c>
      <c r="B9" t="s">
        <v>70</v>
      </c>
      <c r="C9" t="s">
        <v>71</v>
      </c>
    </row>
    <row r="10" spans="1:3" x14ac:dyDescent="0.3">
      <c r="A10">
        <v>9</v>
      </c>
      <c r="B10" t="s">
        <v>73</v>
      </c>
      <c r="C10" t="s">
        <v>74</v>
      </c>
    </row>
    <row r="11" spans="1:3" x14ac:dyDescent="0.3">
      <c r="A11">
        <v>10</v>
      </c>
      <c r="B11" t="s">
        <v>75</v>
      </c>
      <c r="C11" t="s">
        <v>76</v>
      </c>
    </row>
    <row r="12" spans="1:3" x14ac:dyDescent="0.3">
      <c r="A12">
        <v>11</v>
      </c>
      <c r="B12" t="s">
        <v>77</v>
      </c>
      <c r="C12" t="s">
        <v>80</v>
      </c>
    </row>
    <row r="13" spans="1:3" x14ac:dyDescent="0.3">
      <c r="A13">
        <v>12</v>
      </c>
      <c r="B13" t="s">
        <v>78</v>
      </c>
      <c r="C13" t="s">
        <v>79</v>
      </c>
    </row>
    <row r="14" spans="1:3" x14ac:dyDescent="0.3">
      <c r="A14">
        <v>13</v>
      </c>
      <c r="B14" t="s">
        <v>81</v>
      </c>
      <c r="C14" t="s">
        <v>82</v>
      </c>
    </row>
    <row r="15" spans="1:3" x14ac:dyDescent="0.3">
      <c r="A15">
        <v>14</v>
      </c>
      <c r="B15" t="s">
        <v>83</v>
      </c>
      <c r="C15" t="s">
        <v>84</v>
      </c>
    </row>
    <row r="16" spans="1:3" x14ac:dyDescent="0.3">
      <c r="A16">
        <v>15</v>
      </c>
      <c r="B16" t="s">
        <v>85</v>
      </c>
      <c r="C16" t="s">
        <v>86</v>
      </c>
    </row>
    <row r="17" spans="1:3" x14ac:dyDescent="0.3">
      <c r="A17">
        <v>16</v>
      </c>
      <c r="B17" t="s">
        <v>91</v>
      </c>
      <c r="C17" t="s">
        <v>92</v>
      </c>
    </row>
    <row r="18" spans="1:3" x14ac:dyDescent="0.3">
      <c r="A18">
        <v>17</v>
      </c>
      <c r="B18" s="40" t="s">
        <v>162</v>
      </c>
      <c r="C18" s="40" t="s">
        <v>163</v>
      </c>
    </row>
    <row r="19" spans="1:3" x14ac:dyDescent="0.3">
      <c r="A19">
        <v>18</v>
      </c>
      <c r="B19" t="s">
        <v>109</v>
      </c>
      <c r="C19" t="s">
        <v>108</v>
      </c>
    </row>
    <row r="20" spans="1:3" x14ac:dyDescent="0.3">
      <c r="A20">
        <v>19</v>
      </c>
      <c r="B20" t="s">
        <v>114</v>
      </c>
      <c r="C20" t="s">
        <v>115</v>
      </c>
    </row>
    <row r="21" spans="1:3" x14ac:dyDescent="0.3">
      <c r="A21">
        <v>20</v>
      </c>
      <c r="B21" t="s">
        <v>117</v>
      </c>
      <c r="C21" t="s">
        <v>116</v>
      </c>
    </row>
    <row r="22" spans="1:3" x14ac:dyDescent="0.3">
      <c r="A22">
        <v>21</v>
      </c>
      <c r="B22" t="s">
        <v>119</v>
      </c>
      <c r="C22" t="s">
        <v>120</v>
      </c>
    </row>
    <row r="23" spans="1:3" x14ac:dyDescent="0.3">
      <c r="A23">
        <v>22</v>
      </c>
      <c r="B23" t="s">
        <v>123</v>
      </c>
      <c r="C23" t="s">
        <v>124</v>
      </c>
    </row>
    <row r="24" spans="1:3" x14ac:dyDescent="0.3">
      <c r="A24">
        <v>23</v>
      </c>
      <c r="B24" t="s">
        <v>125</v>
      </c>
      <c r="C24" t="s">
        <v>126</v>
      </c>
    </row>
    <row r="25" spans="1:3" x14ac:dyDescent="0.3">
      <c r="A25">
        <v>24</v>
      </c>
      <c r="B25" t="s">
        <v>127</v>
      </c>
      <c r="C25" t="s">
        <v>128</v>
      </c>
    </row>
    <row r="26" spans="1:3" x14ac:dyDescent="0.3">
      <c r="A26">
        <v>25</v>
      </c>
      <c r="B26" t="s">
        <v>129</v>
      </c>
      <c r="C26" t="s">
        <v>130</v>
      </c>
    </row>
    <row r="27" spans="1:3" x14ac:dyDescent="0.3">
      <c r="A27">
        <v>26</v>
      </c>
      <c r="B27" t="s">
        <v>131</v>
      </c>
      <c r="C27" t="s">
        <v>132</v>
      </c>
    </row>
    <row r="28" spans="1:3" x14ac:dyDescent="0.3">
      <c r="A28">
        <v>27</v>
      </c>
      <c r="B28" t="s">
        <v>133</v>
      </c>
      <c r="C28" t="s">
        <v>134</v>
      </c>
    </row>
    <row r="29" spans="1:3" x14ac:dyDescent="0.3">
      <c r="A29">
        <v>28</v>
      </c>
      <c r="B29" t="s">
        <v>135</v>
      </c>
      <c r="C29" t="s">
        <v>136</v>
      </c>
    </row>
    <row r="30" spans="1:3" x14ac:dyDescent="0.3">
      <c r="A30">
        <v>29</v>
      </c>
      <c r="B30" t="s">
        <v>137</v>
      </c>
      <c r="C30" t="s">
        <v>138</v>
      </c>
    </row>
    <row r="31" spans="1:3" x14ac:dyDescent="0.3">
      <c r="A31">
        <v>30</v>
      </c>
      <c r="B31" t="s">
        <v>139</v>
      </c>
      <c r="C31" t="s">
        <v>140</v>
      </c>
    </row>
    <row r="32" spans="1:3" x14ac:dyDescent="0.3">
      <c r="A32">
        <v>31</v>
      </c>
      <c r="B32" t="s">
        <v>149</v>
      </c>
      <c r="C32" t="s">
        <v>150</v>
      </c>
    </row>
    <row r="33" spans="1:3" x14ac:dyDescent="0.3">
      <c r="A33">
        <v>32</v>
      </c>
      <c r="B33" t="s">
        <v>152</v>
      </c>
      <c r="C33" t="s">
        <v>153</v>
      </c>
    </row>
    <row r="34" spans="1:3" x14ac:dyDescent="0.3">
      <c r="A34">
        <v>33</v>
      </c>
      <c r="B34" t="s">
        <v>154</v>
      </c>
      <c r="C34" t="s">
        <v>155</v>
      </c>
    </row>
    <row r="35" spans="1:3" x14ac:dyDescent="0.3">
      <c r="A35">
        <v>34</v>
      </c>
      <c r="B35" s="40" t="s">
        <v>122</v>
      </c>
      <c r="C35" s="40" t="s">
        <v>98</v>
      </c>
    </row>
    <row r="36" spans="1:3" x14ac:dyDescent="0.3">
      <c r="A36">
        <v>35</v>
      </c>
      <c r="B36" t="s">
        <v>164</v>
      </c>
      <c r="C36" t="s">
        <v>165</v>
      </c>
    </row>
    <row r="37" spans="1:3" x14ac:dyDescent="0.3">
      <c r="A37">
        <v>36</v>
      </c>
      <c r="B37" t="s">
        <v>171</v>
      </c>
      <c r="C37" t="s">
        <v>172</v>
      </c>
    </row>
    <row r="38" spans="1:3" x14ac:dyDescent="0.3">
      <c r="A38">
        <v>37</v>
      </c>
      <c r="B38" t="s">
        <v>173</v>
      </c>
      <c r="C38" t="s">
        <v>174</v>
      </c>
    </row>
    <row r="39" spans="1:3" x14ac:dyDescent="0.3">
      <c r="A39">
        <v>38</v>
      </c>
      <c r="B39" t="s">
        <v>176</v>
      </c>
      <c r="C39" t="s">
        <v>175</v>
      </c>
    </row>
    <row r="40" spans="1:3" x14ac:dyDescent="0.3">
      <c r="A40">
        <v>39</v>
      </c>
      <c r="B40" t="s">
        <v>180</v>
      </c>
      <c r="C40" t="s">
        <v>192</v>
      </c>
    </row>
    <row r="41" spans="1:3" x14ac:dyDescent="0.3">
      <c r="A41">
        <v>40</v>
      </c>
      <c r="B41" t="s">
        <v>197</v>
      </c>
      <c r="C41" t="s">
        <v>198</v>
      </c>
    </row>
    <row r="42" spans="1:3" x14ac:dyDescent="0.3">
      <c r="A42">
        <v>41</v>
      </c>
      <c r="B42" t="s">
        <v>201</v>
      </c>
      <c r="C42" t="s">
        <v>202</v>
      </c>
    </row>
    <row r="43" spans="1:3" x14ac:dyDescent="0.3">
      <c r="A43">
        <v>42</v>
      </c>
      <c r="B43" t="s">
        <v>205</v>
      </c>
      <c r="C43" t="s">
        <v>222</v>
      </c>
    </row>
    <row r="44" spans="1:3" x14ac:dyDescent="0.3">
      <c r="A44">
        <v>43</v>
      </c>
      <c r="B44" t="s">
        <v>210</v>
      </c>
      <c r="C44" t="s">
        <v>206</v>
      </c>
    </row>
    <row r="45" spans="1:3" x14ac:dyDescent="0.3">
      <c r="A45">
        <v>44</v>
      </c>
      <c r="B45" t="s">
        <v>208</v>
      </c>
      <c r="C45" t="s">
        <v>209</v>
      </c>
    </row>
    <row r="46" spans="1:3" x14ac:dyDescent="0.3">
      <c r="A46">
        <v>45</v>
      </c>
      <c r="B46" t="s">
        <v>216</v>
      </c>
      <c r="C46" t="s">
        <v>217</v>
      </c>
    </row>
    <row r="47" spans="1:3" x14ac:dyDescent="0.3">
      <c r="A47">
        <v>46</v>
      </c>
      <c r="B47" t="s">
        <v>238</v>
      </c>
      <c r="C47" t="s">
        <v>239</v>
      </c>
    </row>
    <row r="48" spans="1:3" x14ac:dyDescent="0.3">
      <c r="A48">
        <v>47</v>
      </c>
      <c r="B48" t="s">
        <v>240</v>
      </c>
      <c r="C48" t="s">
        <v>241</v>
      </c>
    </row>
    <row r="49" spans="1:3" x14ac:dyDescent="0.3">
      <c r="A49">
        <v>48</v>
      </c>
      <c r="B49" t="s">
        <v>242</v>
      </c>
      <c r="C49" t="s">
        <v>243</v>
      </c>
    </row>
    <row r="50" spans="1:3" x14ac:dyDescent="0.3">
      <c r="A50">
        <v>49</v>
      </c>
      <c r="B50" t="s">
        <v>244</v>
      </c>
      <c r="C50" t="s">
        <v>245</v>
      </c>
    </row>
    <row r="51" spans="1:3" x14ac:dyDescent="0.3">
      <c r="A51">
        <v>50</v>
      </c>
      <c r="B51" t="s">
        <v>246</v>
      </c>
      <c r="C51" t="s">
        <v>247</v>
      </c>
    </row>
    <row r="52" spans="1:3" x14ac:dyDescent="0.3">
      <c r="A52">
        <v>51</v>
      </c>
      <c r="B52" t="s">
        <v>248</v>
      </c>
      <c r="C52" t="s">
        <v>249</v>
      </c>
    </row>
    <row r="53" spans="1:3" x14ac:dyDescent="0.3">
      <c r="A53">
        <v>52</v>
      </c>
      <c r="B53" t="s">
        <v>250</v>
      </c>
      <c r="C53" t="s">
        <v>251</v>
      </c>
    </row>
    <row r="54" spans="1:3" x14ac:dyDescent="0.3">
      <c r="A54">
        <v>53</v>
      </c>
      <c r="B54" t="s">
        <v>50</v>
      </c>
      <c r="C54" t="s">
        <v>252</v>
      </c>
    </row>
    <row r="55" spans="1:3" x14ac:dyDescent="0.3">
      <c r="A55">
        <v>54</v>
      </c>
      <c r="B55" t="s">
        <v>253</v>
      </c>
      <c r="C55" t="s">
        <v>254</v>
      </c>
    </row>
    <row r="56" spans="1:3" x14ac:dyDescent="0.3">
      <c r="A56">
        <v>55</v>
      </c>
      <c r="B56" t="s">
        <v>255</v>
      </c>
      <c r="C56" t="s">
        <v>256</v>
      </c>
    </row>
    <row r="57" spans="1:3" x14ac:dyDescent="0.3">
      <c r="A57">
        <v>56</v>
      </c>
      <c r="B57" t="s">
        <v>257</v>
      </c>
      <c r="C57" t="s">
        <v>258</v>
      </c>
    </row>
    <row r="58" spans="1:3" x14ac:dyDescent="0.3">
      <c r="A58">
        <v>57</v>
      </c>
      <c r="B58" t="s">
        <v>259</v>
      </c>
      <c r="C58" t="s">
        <v>260</v>
      </c>
    </row>
    <row r="59" spans="1:3" x14ac:dyDescent="0.3">
      <c r="A59">
        <v>58</v>
      </c>
      <c r="B59" t="s">
        <v>261</v>
      </c>
      <c r="C59" t="s">
        <v>262</v>
      </c>
    </row>
    <row r="60" spans="1:3" x14ac:dyDescent="0.3">
      <c r="A60">
        <v>59</v>
      </c>
      <c r="B60" t="s">
        <v>263</v>
      </c>
      <c r="C60" t="s">
        <v>264</v>
      </c>
    </row>
    <row r="61" spans="1:3" x14ac:dyDescent="0.3">
      <c r="A61">
        <v>60</v>
      </c>
      <c r="B61" t="s">
        <v>265</v>
      </c>
      <c r="C61" t="s">
        <v>266</v>
      </c>
    </row>
    <row r="62" spans="1:3" x14ac:dyDescent="0.3">
      <c r="A62">
        <v>61</v>
      </c>
      <c r="B62" t="s">
        <v>267</v>
      </c>
      <c r="C62" t="s">
        <v>268</v>
      </c>
    </row>
    <row r="63" spans="1:3" x14ac:dyDescent="0.3">
      <c r="A63">
        <v>62</v>
      </c>
      <c r="B63" t="s">
        <v>286</v>
      </c>
      <c r="C63" t="s">
        <v>287</v>
      </c>
    </row>
    <row r="64" spans="1:3" x14ac:dyDescent="0.3">
      <c r="A64">
        <v>63</v>
      </c>
      <c r="B64" t="s">
        <v>288</v>
      </c>
      <c r="C64" t="s">
        <v>289</v>
      </c>
    </row>
    <row r="65" spans="1:3" x14ac:dyDescent="0.3">
      <c r="A65">
        <v>64</v>
      </c>
      <c r="B65" t="s">
        <v>273</v>
      </c>
      <c r="C65" t="s">
        <v>274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D3FEA9-3AB3-4950-AAAA-D3DFF0F2D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Ротапост</vt:lpstr>
      <vt:lpstr>Прод</vt:lpstr>
      <vt:lpstr>Лист1</vt:lpstr>
      <vt:lpstr>BufferList</vt:lpstr>
      <vt:lpstr>Отложенные</vt:lpstr>
      <vt:lpstr>Исключения</vt:lpstr>
      <vt:lpstr>Ключи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Черняхівський Віталій Анатолійович</dc:creator>
  <cp:lastModifiedBy>Черняхівський Віталій Анатолійович</cp:lastModifiedBy>
  <dcterms:created xsi:type="dcterms:W3CDTF">2017-07-26T09:37:38Z</dcterms:created>
  <dcterms:modified xsi:type="dcterms:W3CDTF">2017-12-27T16:02:27Z</dcterms:modified>
</cp:coreProperties>
</file>