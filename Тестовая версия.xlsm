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 activeTab="2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Отложенные" sheetId="10" r:id="rId5"/>
    <sheet name="Исключения" sheetId="8" r:id="rId6"/>
    <sheet name="Ключи" sheetId="9" r:id="rId7"/>
  </sheets>
  <functionGroups builtInGroupCount="18"/>
  <definedNames>
    <definedName name="_xlnm._FilterDatabase" localSheetId="5" hidden="1">Исключения!$C$1:$C$25</definedName>
    <definedName name="_xlnm._FilterDatabase" localSheetId="6" hidden="1">Ключи!$C$1:$C$107</definedName>
    <definedName name="_xlnm._FilterDatabase" localSheetId="2" hidden="1">Лист1!$A$1:$D$15</definedName>
    <definedName name="_xlnm._FilterDatabase" localSheetId="1" hidden="1">Прод!$A$1:$A$43</definedName>
    <definedName name="_xlnm._FilterDatabase" localSheetId="0" hidden="1">Ротапост!$A$25:$A$25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<sst xmlns="http://schemas.openxmlformats.org/spreadsheetml/2006/main" count="568" uniqueCount="433">
  <si>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</si>
  <si>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</si>
  <si>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</si>
  <si>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</si>
  <si>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</si>
  <si>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</si>
  <si>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</si>
  <si>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</si>
  <si>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</si>
  <si>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</si>
  <si>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</si>
  <si>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</si>
  <si>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</si>
  <si>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</si>
  <si>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</si>
  <si>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</si>
  <si>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</si>
  <si>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</si>
  <si>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</si>
  <si>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</si>
  <si>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</si>
  <si>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</si>
  <si>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</si>
  <si>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</si>
  <si>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</si>
  <si>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</si>
  <si>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</si>
  <si>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</si>
  <si>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</si>
  <si>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</si>
  <si>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</si>
  <si>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</si>
  <si>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</si>
  <si>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</si>
  <si>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</si>
  <si>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</si>
  <si>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</si>
  <si>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</si>
  <si>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</si>
  <si>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</si>
  <si>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</si>
  <si>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</si>
  <si>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</si>
  <si>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</si>
  <si>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</si>
  <si>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</si>
  <si>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</si>
  <si>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</si>
  <si>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</si>
  <si>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</si>
  <si>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</si>
  <si>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</si>
  <si>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</si>
  <si>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</si>
  <si>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</si>
  <si>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</si>
  <si>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</si>
  <si>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</si>
  <si>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</si>
  <si>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</si>
  <si>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</si>
  <si>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</si>
  <si>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</si>
  <si>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</si>
  <si>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</si>
  <si>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</si>
  <si>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</si>
  <si>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</si>
  <si>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</si>
  <si>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</si>
  <si>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</si>
  <si>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</si>
  <si>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</si>
  <si>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</si>
  <si>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</si>
  <si>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</si>
  <si>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</si>
  <si>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</si>
  <si>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</si>
  <si>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</si>
  <si>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</si>
  <si>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</si>
  <si>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</si>
  <si>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</si>
  <si>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</si>
  <si>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</si>
  <si>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</si>
  <si>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</si>
  <si>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</si>
  <si>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</si>
  <si>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</si>
  <si>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</si>
  <si>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</si>
  <si>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</si>
  <si>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</si>
  <si>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</si>
  <si>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</si>
  <si>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</si>
  <si>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</si>
  <si>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</si>
  <si>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</si>
  <si>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</si>
  <si>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</si>
  <si>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</si>
  <si>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</si>
  <si>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</si>
  <si>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</si>
  <si>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</si>
  <si>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</si>
  <si>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</si>
  <si>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</si>
  <si>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</si>
  <si>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</si>
  <si>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</si>
  <si>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</si>
  <si>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</si>
  <si>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</si>
  <si>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</si>
  <si>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</si>
  <si>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</si>
  <si>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</si>
  <si>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</si>
  <si>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</si>
  <si>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</si>
  <si>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</si>
  <si>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</si>
  <si>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</si>
  <si>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</si>
  <si>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</si>
  <si>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</si>
  <si>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</si>
  <si>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</si>
  <si>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</si>
  <si>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</si>
  <si>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</si>
  <si>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</si>
  <si>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</si>
  <si>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</si>
  <si>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</si>
  <si>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</si>
  <si>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</si>
  <si>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</si>
  <si>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</si>
  <si>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</si>
  <si>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</si>
  <si>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</si>
  <si>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</si>
  <si>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</si>
  <si>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</si>
  <si>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</si>
  <si>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</si>
  <si>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</si>
  <si>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</si>
  <si>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</si>
  <si>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</si>
  <si>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</si>
  <si>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</si>
  <si>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</si>
  <si>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</si>
  <si>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</si>
  <si>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</si>
  <si>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</si>
  <si>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сайт</t>
  </si>
  <si>
    <t>Как создается сайт.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</si>
  <si>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</si>
  <si>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</si>
  <si>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</si>
  <si>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</si>
  <si>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</si>
  <si>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</si>
  <si>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</si>
  <si>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</si>
  <si>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</si>
  <si>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</si>
  <si>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</si>
  <si>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</si>
  <si>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</si>
  <si>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</si>
  <si>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</si>
  <si>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</si>
  <si>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</si>
  <si>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</si>
  <si>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</si>
  <si>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</si>
  <si>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</si>
  <si>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</si>
  <si>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</si>
  <si>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</si>
  <si>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</si>
  <si>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</si>
  <si>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</si>
  <si>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</si>
  <si>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</si>
  <si>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</si>
  <si>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</si>
  <si>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</si>
  <si>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</si>
  <si>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</si>
  <si>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</si>
  <si>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</si>
  <si>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</si>
  <si>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</si>
  <si>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</si>
  <si>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</si>
  <si>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</si>
  <si>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</si>
  <si>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</si>
  <si>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</si>
  <si>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</si>
  <si>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</si>
  <si>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</si>
  <si>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</si>
  <si>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</si>
  <si>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</si>
  <si>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</si>
  <si>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</si>
  <si>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</si>
  <si>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</si>
  <si>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</si>
  <si>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</si>
  <si>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</si>
  <si>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</si>
  <si>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</si>
  <si>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</si>
  <si>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</si>
  <si>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Виды оборудования для медучтереждений.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</si>
  <si>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</si>
  <si>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</si>
  <si>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</si>
  <si>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</si>
  <si>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</si>
  <si>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</si>
  <si>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</si>
  <si>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</si>
  <si>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</si>
  <si>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</si>
  <si>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</si>
  <si>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</si>
  <si>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</si>
  <si>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</si>
  <si>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</si>
  <si>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</si>
  <si>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</si>
  <si>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</si>
  <si>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</si>
  <si>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</si>
  <si>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приви</t>
  </si>
  <si>
    <t>Нужны ли прививки.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</si>
  <si>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</si>
  <si>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</si>
  <si>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</si>
  <si>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</si>
  <si>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</si>
  <si>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</si>
  <si>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</si>
  <si>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</si>
  <si>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</si>
  <si>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Как побдобрать себе косметику.</t>
  </si>
  <si>
    <t>OK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</si>
  <si>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</si>
  <si>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</si>
  <si>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</si>
  <si>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</si>
  <si>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</si>
  <si>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</si>
  <si>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</si>
  <si>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</si>
  <si>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</si>
  <si>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Как расчитаться картой в магазине.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</si>
  <si>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</si>
  <si>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</si>
  <si>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</si>
  <si>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</si>
  <si>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</si>
  <si>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</si>
  <si>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</si>
  <si>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</si>
  <si>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</si>
  <si>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</si>
  <si>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</si>
  <si>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</si>
  <si>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</si>
  <si>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</si>
  <si>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</si>
  <si>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</si>
  <si>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</si>
  <si>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</si>
  <si>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</si>
  <si>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</si>
  <si>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</si>
  <si>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</si>
  <si>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</si>
  <si>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</si>
  <si>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</si>
  <si>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</si>
  <si>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</si>
  <si>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</si>
  <si>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</si>
  <si>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</si>
  <si>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</si>
  <si>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</si>
  <si>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</si>
  <si>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веб</t>
  </si>
  <si>
    <t>автобус</t>
  </si>
  <si>
    <t>Как можно путешестовать по Европе.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</si>
  <si>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</si>
  <si>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</si>
  <si>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</si>
  <si>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</si>
  <si>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</si>
  <si>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</si>
  <si>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</si>
  <si>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</si>
  <si>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</si>
  <si>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</si>
  <si>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</si>
  <si>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</si>
  <si>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</si>
  <si>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</si>
  <si>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</si>
  <si>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</si>
  <si>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</si>
  <si>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</si>
  <si>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</si>
  <si>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</si>
  <si>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</si>
  <si>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</si>
  <si>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</si>
  <si>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</si>
  <si>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</si>
  <si>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</si>
  <si>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</si>
  <si>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</si>
  <si>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</si>
  <si>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</si>
  <si>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</si>
  <si>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</si>
  <si>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</si>
  <si>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</si>
  <si>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</si>
  <si>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</si>
  <si>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</si>
  <si>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</si>
  <si>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</si>
  <si>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</si>
  <si>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</si>
  <si>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</si>
  <si>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</si>
  <si>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</si>
  <si>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</si>
  <si>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</si>
  <si>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</si>
  <si>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</si>
  <si>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</si>
  <si>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</si>
  <si>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</si>
  <si>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</si>
  <si>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</si>
  <si>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</si>
  <si>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</si>
  <si>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</si>
  <si>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</si>
  <si>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</si>
  <si>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</si>
  <si>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</si>
  <si>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</si>
  <si>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</si>
  <si>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</si>
  <si>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</si>
  <si>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</si>
  <si>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</si>
  <si>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</si>
  <si>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</si>
  <si>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</si>
  <si>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</si>
  <si>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</si>
  <si>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</si>
  <si>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</si>
  <si>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Путешествуем по европе.</t>
  </si>
  <si>
    <t>билет</t>
  </si>
  <si>
    <t>Как недорого проехать весь мир.</t>
  </si>
  <si>
    <t>квитки</t>
  </si>
  <si>
    <t>Вібираем направление для путешествия.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</si>
  <si>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</si>
  <si>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</si>
  <si>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</si>
  <si>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</si>
  <si>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</si>
  <si>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</si>
  <si>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</si>
  <si>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</si>
  <si>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</si>
  <si>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</si>
  <si>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</si>
  <si>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</si>
  <si>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</si>
  <si>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</si>
  <si>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</si>
  <si>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</si>
  <si>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</si>
  <si>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</si>
  <si>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</si>
  <si>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</si>
  <si>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</si>
  <si>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</si>
  <si>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</si>
  <si>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</si>
  <si>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</si>
  <si>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</si>
  <si>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</si>
  <si>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</si>
  <si>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</si>
  <si>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</si>
  <si>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</si>
  <si>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</si>
  <si>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</si>
  <si>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</si>
  <si>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</si>
  <si>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</si>
  <si>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</si>
  <si>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YES</t>
  </si>
  <si>
    <t>Курко</t>
  </si>
  <si>
    <t>Новые заявки</t>
  </si>
  <si>
    <t>61465022-6443-492b-a36c-140faf0e9e95</t>
  </si>
  <si>
    <t>Новый</t>
  </si>
  <si>
    <t>https://dom.ria.com/ru/news/kvartira-po-perestupke-kak-pravilno-pereustupit-zhile-207893.html</t>
  </si>
  <si>
    <t xml:space="preserve">Вход в кабинет рус укр _x000D_
RIA.comАвтомобилиНедвижимостьГрузоперевозки _x000D_
 _x000D_
Добавить объявление _x000D_
Продажа жильяАренда жильяНовостройки _x000D_
Перевірені квартири на DOM.RIA _x000D_
 _x000D_
рус укр Вход в кабинет _x000D_
Продажа жилья_x000D_
Аренда жилья_x000D_
Новостройки _x000D_
DOM.RIA.com _x000D_
Новости недвижимости Украины _x000D_
Другие новости недвижимости _x000D_
Квартира по переступке: как правильно переуступить жилье?_x000D_
Дата публикации: 11.07.2017 _x000D_
Автор: Юлия Денисюк _x000D_
Просмотров: 12033 _x000D_
Другие новости недвижимости _x000D_
Переуступка — передача третьему лицу прав по отношению ко второму лицу со стороны обладателя этих прав (первого лица). _x000D_
Поделись новостью с другом:_x000D_
Поделись новостью с другом:_x000D_
 _x000D_
Как правило, украинские застройщики без права собственности продают квартиры инвесторам. Инвесторы ищут покупателей и реализуют недвижимость по переуступке._x000D_
Переуступка возможна после полной выплаты по договору долевого участия или в момент перевода задолженности на нового хозяина. Застройщик — обязательная сторона при оформлении переуступки по договору долевого участия._x000D_
_x000D_
После подписания договора, покупатель обязан хранить:_x000D_
основной договор;_x000D_
договор переуступки;_x000D_
документальное подтверждение взаиморасчетов;_x000D_
согласие застройщика и, при необходимости, банка;_x000D_
акт приема/передачи документов;_x000D_
С чего начинается продажа по переуступке?_x000D_
Договор переуступки должен учитывать переходящие документы и быть максимально подробным и однозначным. Новый владелец получает все права прежнего владельца._x000D_
_x000D_
Оцените ситуацию, убедитесь, что:_x000D_
строительная фирма разрешает переуступку третьей стороне;_x000D_
у застройщика есть разрешительные документы;_x000D_
в суде нет иска на застройщика;_x000D_
график стройки не сорван, инвестора не осаждают пикетами;_x000D_
договор переуступки составлен правильно (при необходимости обратитесь к юристу);_x000D_
договор заверил нотариус;_x000D_
в договоре есть пункт о штрафных санкциях за переуступку, если договор с застройщиком предусматривает штраф._x000D_
Сотрудничество через целевые облигации — нежелательный рискованный вариант._x000D_
_x000D_
Постарайтесь найти застройщика, который работает через фонд финансирования строительства — процесс дополнительно контролирует государство._x000D_
Договор долевого участия_x000D_
Претендент может получить квартиру по переуступке с помощью договора долевого участия. Стороны проводят расчеты, заверяют права и обязательства в письменном виде в договоре. Неучтенные расходы покрывает новый владелец. Переуступка нуждается в государственной регистрации. Возможна до подписания акта приема-передачи недвижимости. Преимущества работы по договору долевого участия: претендент защищен украинским законодательством. Недостатки: в случае расторжения договора, претендент потеряет часть потраченных средств._x000D_
_x000D_
Предварительный договор_x000D_
Претендент может получить квартиру по переуступке с помощью предварительного договора о продаже. Сторона получает право требовать заключения основного договора купли-продажи. Предварительный договор относится не к процессу купли-продажи, а к возможности договориться о приобретении жилья в будущем. Покупатель передает деньги только в процессе работы с основным договором. Предварительный договор не нуждается в государственной регистрации. Переуступка возможна до подписания основного договора. Обратите внимание: договор уступки — свидетельство приобретения права требования, а не самой квартиры._x000D_
Переуступка в новострое_x000D_
Распространенный сценарий — покупка квартиры по переуступке в новостройке для дальнейшей перепродажи. После подписания и регистрации договора долевого участия, владелец может переуступить право собственности третьему лицу. Владелец ограничен во времени — до момента подписания акта приема-передачи недвижимости._x000D_
_x000D_
Будьте внимательны! Предприимчивые владельцы используют схему для обогащения при продаже некачественного жилья. После проведения переуступки, новый владелец не имеет законной возможности предъявить претензию по качеству жилья прежнему владельцу._x000D_
_x000D_
Переуступка в новостройках возможна, если:_x000D_
договор долевого участия включает согласие застройщика на переуступку;_x000D_
первый хозяин выплатил цену договора и получил подтверждение застройщика;_x000D_
недвижимость купили по ипотеке и банк дал согласие на переуступку._x000D_
Переуступка нуждается в государственной регистрации._x000D_
В случае нарушения законного порядка сделки, юридическая и материальная ответственность лежит на прежнем владельце._x000D_
Сделка задним числом_x000D_
Закон обязывает проводить переуступку в промежуток между заключением договора и подписанием акта приема-передачи. Из-за большого промежутка между стадиями, владельцы ищут возможность быстрее получить деньги за квартиру._x000D_
Заключение договора задним числом незаконно!_x000D_
Для обхода государственной регистрации, стороны договариваются с застройщиком о смене даты акта приема-передачи._x000D_
При работе через договор купли/продажи, стороны договариваются о смене даты основного договора до момента госрегистрации._x000D_
Мошенничество при переуступке_x000D_
Если планируете получить недвижимость по переуступке, будьте внимательны и осторожны — есть действующие мошеннические схемы._x000D_
Распространенный вариант — владелец подписывает договор купли/продажи (без гос. регистрации) и продает недвижимость несколько раз. После получения оплаты претендентов, мошенник пропадает._x000D_
Переуступка по договору долевого участия — защита от подобного сценария._x000D_
_x000D_
Чиновники могут признать переуступку подозрительной, если стороны сделки занижают цену и прежний владелец подал дело о банкротстве._x000D_
Прежде чем заключать договор переуступки, соберите максимум информации о застройщике и проанализируйте доступные документы._x000D_
В чем плюсы переуступки?_x000D_
Претендент быстрее получит жилье._x000D_
Иногда есть возможность купить недвижимость дешевле, чем у застройщика._x000D_
Как правило, квартиры переуступают в домах близких к сдаче в эксплуатацию._x000D_
Риск переуступки — получить право на квартиру, которую никогда не достроят _x000D_
В данном случае лучшая рекомендация звучит так: максимально тщательно и внимательно изучайте конкретное предложение, если выгода ощутима, а риски незначительны — работайте по переуступке._x000D_
Поделись новостью с другом: _x000D_
Так же в рубрике Другие новости недвижимости:_x000D_
В регионах продолжают принимать жилищные программы _x000D_
сегодня 12:17, Автор: Антон Терехов _x000D_
В Украине для воплощения программы лизинга привлекут $500 млн _x000D_
29.12.2017, Автор: Антон Терехов _x000D_
Укргазбанк продал землю и недвижимость на 33 млн гривен _x000D_
27.12.2017, Автор: DOM.RIA.com _x000D_
В регионах заработают жилищные программы _x000D_
27.12.2017, Автор: Антон Терехов _x000D_
США профинансирует строительство хранилища ядерного топлива в Украине _x000D_
26.12.2017, Автор: DOM.RIA.com _x000D_
На DOM.RIA ищут: _x000D_
Квартиры _x000D_
Дома _x000D_
Участки _x000D_
Офисы _x000D_
Коммерческая _x000D_
Гаражи _x000D_
Интересные новости _x000D_
 _x000D_
В регионах продолжают принимать жилищные программы _x000D_
сегодня 12:17 8 _x000D_
В конце 2017 г. многие регионы утвердили или продлили действие программ доступного жилья. В текущем году в Украине будут действовать 73 местные жилищные программы. _x000D_
Читать далее → _x000D_
 _x000D_
Старт продаж комфортных квартир _x000D_
сегодня 12:11 7 _x000D_
Надоело жить в арендованной квартире или делить жилое пространство с родителями, а может Вы молодая семья, которая хочет самостоятельности? Тогда наше предложение Вас обрадует. _x000D_
Читать далее → _x000D_
 _x000D_
Как правильно хранить вещи в гардеробе: лайфхаки _x000D_
сегодня 11:17 5239 _x000D_
Гардероб для современных людей обоих полов – довольно важное место. Рассмотрим, как аккуратно, красиво и функционально разложить вещи в гардеробе. _x000D_
Читать далее → _x000D_
наверх _x000D_
_x000D_
_x000D_
Возникли вопросы? _x000D_
0 (800) 210 012 — бесплатно со всех телефонов по Украине _x000D_
(067) 431-82-29, (093) 190-27-23, (050) 416-86-88 </t>
  </si>
  <si>
    <t xml:space="preserve"> Как правило, украинские застройщики без права собственности продают квартиры инвесторам. Инвесторы ищут покупателей и реализуют недвижимость по переуступке._x000D_ Переуступка возможна после полной выплаты по договору долевого участия или в момент перевода задолженности на нового хозяина. Застройщик — обязательная сторона при оформлении переуступки по договору долевого участия._x000D_ Договор переуступки должен учитывать переходящие документы и быть максимально подробным и однозначным. Новый владелец получает все права прежнего владельца._x000D_ в договоре есть пункт о штрафных санкциях за переуступку, если договор с застройщиком предусматривает штраф._x000D_ Постарайтесь найти застройщика, который работает через фонд финансирования строительства — процесс дополнительно контролирует государство._x000D_ Претендент может получить квартиру по переуступке с помощью договора долевого участия. Стороны проводят расчеты, заверяют права и обязательства в письменном виде в договоре. Неучтенные расходы покрывает новый владелец. Переуступка нуждается в государственной регистрации. Возможна до подписания акта приема-передачи недвижимости. Преимущества работы по договору долевого участия: претендент защищен украинским законодательством. Недостатки: в случае расторжения договора, претендент потеряет часть потраченных средств._x000D_ Претендент может получить квартиру по переуступке с помощью предварительного договора о продаже. Сторона получает право требовать заключения основного договора купли-продажи. Предварительный договор относится не к процессу купли-продажи, а к возможности договориться о приобретении жилья в будущем. Покупатель передает деньги только в процессе работы с основным договором. Предварительный договор не нуждается в государственной регистрации. Переуступка возможна до подписания основного договора. Обратите внимание: договор уступки — свидетельство приобретения права требования, а не самой квартиры._x000D_ Распространенный сценарий — покупка квартиры по переуступке в новостройке для дальнейшей перепродажи. После подписания и регистрации договора долевого участия, владелец может переуступить право собственности третьему лицу. Владелец ограничен во времени — до момента подписания акта приема-передачи недвижимости._x000D_ Будьте внимательны! Предприимчивые владельцы используют схему для обогащения при продаже некачественного жилья. После проведения переуступки, новый владелец не имеет законной возможности предъявить претензию по качеству жилья прежнему владельцу._x000D_ В случае нарушения законного порядка сделки, юридическая и материальная ответственность лежит на прежнем владельце._x000D_ Закон обязывает проводить переуступку в промежуток между заключением договора и подписанием акта приема-передачи. Из-за большого промежутка между стадиями, владельцы ищут возможность быстрее получить деньги за квартиру._x000D_ Для обхода государственной регистрации, стороны договариваются с застройщиком о смене даты акта приема-передачи._x000D_ При работе через договор купли/продажи, стороны договариваются о смене даты основного договора до момента госрегистрации._x000D_ Если планируете получить недвижимость по переуступке, будьте внимательны и осторожны — есть действующие мошеннические схемы._x000D_ Распространенный вариант — владелец подписывает договор купли/продажи (без гос. регистрации) и продает недвижимость несколько раз. После получения оплаты претендентов, мошенник пропадает._x000D_ Чиновники могут признать переуступку подозрительной, если стороны сделки занижают цену и прежний владелец подал дело о банкротстве._x000D_ Прежде чем заключать договор переуступки, соберите максимум информации о застройщике и проанализируйте доступные документы._x000D_ В данном случае лучшая рекомендация звучит так: максимально тщательно и внимательно изучайте конкретное предложение, если выгода ощутима, а риски незначительны — работайте по переуступке._x000D_</t>
  </si>
  <si>
    <t xml:space="preserve">Инвесторы ищут покупателей и реализуют недвижимость по переуступке._x000D_ Переуступка возможна после полной выплаты по договору долевого участия или в момент перевода задолженности на нового хозяина. Застройщик — обязательная сторона при оформлении переуступки по договору долевого участия._x000D_ Договор переуступки должен учитывать переходящие документы и быть максимально подробным и однозначным. Новый владелец получает все права прежнего владельца._x000D_ в договоре есть пункт о штрафных санкциях за переуступку, если договор с застройщиком предусматривает штраф._x000D_ Постарайтесь найти застройщика, который работает через фонд финансирования строительства — процесс дополнительно контролирует государство._x000D_ Претендент может получить квартиру по переуступке с помощью договора долевого участия. Стороны проводят расчеты, заверяют права и обязательства в письменном виде в договоре. Неучтенные расходы покрывает новый владелец. Переуступка нуждается в государственной регистрации. Возможна до подписания акта приема-передачи недвижимости. Недостатки: в случае расторжения договора, претендент потеряет часть потраченных средств._x000D_ Претендент может получить квартиру по переуступке с помощью предварительного договора о продаже. Сторона получает право требовать заключения основного договора купли-продажи. Предварительный договор относится не к процессу купли-продажи, а к возможности договориться о приобретении жилья в будущем. Покупатель передает деньги только в процессе работы с основным договором. Предварительный договор не нуждается в государственной регистрации. Переуступка возможна до подписания основного договора. Обратите внимание: договор уступки — свидетельство приобретения права требования, а не самой квартиры._x000D_ Распространенный сценарий — покупка квартиры по переуступке в новостройке для дальнейшей перепродажи. </t>
  </si>
  <si>
    <t xml:space="preserve">Інвестори шукають покупців і реалізують нерухомість по переуступці. Переуступка можлива після повної виплати за договором пайової участі або в момент переведення заборгованості на нового господаря. Забудовник — обов'язкова сторона при оформленні переуступки за договором пайової участі. Договір переуступки повинен враховувати перехідні документи і бути максимально конкретним і однозначним. Новий власник отримує всі права колишнього власника. в договорі є пункт про штрафні санкції за переуступку, якщо договір з забудовником передбачає штраф. Постарайтеся знайти забудовника, який працює через фонд фінансування будівництва — процес додатково контролює держава. Претендент може отримати квартиру по переуступці з допомогою договору пайової участі. Сторони проводять розрахунки, запевняють права і зобов'язання в письмовому вигляді в договорі. Невраховані витрати покриває новий власник. Переуступка потребує державної реєстрації. Можлива до підписання акту прийому-передачі нерухомості. Недоліки: у разі розірвання договору, претендент втратить частину витрачених коштів. Претендент може отримати квартиру по переуступці з допомогою попереднього договору про продаж. Сторона отримує право вимагати укладення основного договору купівлі-продажу. Попередній договір не відноситься до процесу купівлі-продажу, а до можливості домовитися про придбання житла в майбутньому. Покупець передає гроші тільки в процесі роботи з основним договором. </t>
  </si>
  <si>
    <t>Як правильно купити квартиру.</t>
  </si>
  <si>
    <t>[caption id="" align="aligncenter" width="350"]&lt;img src="http://kak-pravilno.com/wp-content/uploads/2017/09/kak_pokupat_kvartiru.jpg" alt="" width="350" height="300" /&gt; Як правильно купити квартиру.[/caption]    Інвестори шукають покупців і реалізують нерухомість по переуступці. Переуступка можлива після повної виплати за договором пайової участі або в момент переведення заборгованості на нового господаря. Забудовник — обов'язкова сторона при оформленні переуступки за договором пайової участі. Договір переуступки повинен враховувати перехідні документи і бути максимально конкретним і однозначним. Новий власник отримує всі права колишнього власника. в договорі є пункт про штрафні санкції за переуступку, якщо договір з забудовником передбачає штраф. Постарайтеся знайти забудовника, який працює через фонд фінансування будівництва — процес додатково контролює держава. Також ви можете знайти все необхідне на ресурсі &lt;a href="http://stroika-crim.ru/remont-kvartir-v-yalte/" title="ремонт квартир Ялта под ключ расценки"&gt;ремонт квартир Ялта под ключ расценки&lt;/a&gt;._x000D_
    Претендент може отримати квартиру по переуступці з допомогою договору пайової участі. Сторони проводять розрахунки, запевняють права і зобов'язання в письмовому вигляді в договорі. Невраховані витрати покриває новий власник. Переуступка потребує державної реєстрації. Можлива до підписання акту прийому-передачі нерухомості. Недоліки: у разі розірвання договору, претендент втратить частину витрачених коштів. Претендент може отримати квартиру по переуступці з допомогою попереднього договору про продаж. _x000D_
     Сторона отримує право вимагати укладення основного договору купівлі-продажу. Попередній договір не відноситься до процесу купівлі-продажу, а до можливості домовитися про придбання житла в майбутньому. Покупець передає гроші тільки в процесі роботи з основним договором. Попередній договір не потребує державної реєстрації. Можлива Переуступка до підписання основного договору. Зверніть увагу: договір поступки — свідоцтво придбання права вимоги, а не самої квартири. Поширений сценарій — покупка квартири по переуступці в новобудові для подальшого перепродажу.</t>
  </si>
  <si>
    <t>http://sharabt.com.ua/yak-pravylno-kupyty-kvartyru/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</si>
</sst>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0" fillId="0" borderId="16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45720</xdr:rowOff>
        </xdr:from>
        <xdr:to>
          <xdr:col>3</xdr:col>
          <xdr:colOff>297180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2</xdr:row>
          <xdr:rowOff>152400</xdr:rowOff>
        </xdr:from>
        <xdr:to>
          <xdr:col>3</xdr:col>
          <xdr:colOff>335280</xdr:colOff>
          <xdr:row>4</xdr:row>
          <xdr:rowOff>144780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1</xdr:col>
          <xdr:colOff>2423160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U36"/>
  <sheetViews>
    <sheetView zoomScale="80" zoomScaleNormal="80" workbookViewId="0">
      <selection activeCell="F2" sqref="F2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21" ht="16.5" customHeight="1" thickBot="1" x14ac:dyDescent="0.35">
      <c r="A1" s="57" t="str">
        <f xml:space="preserve"> "Авторизация: " &amp; $F$2</f>
        <v>Авторизация: Курко</v>
      </c>
      <c r="B1" s="58"/>
      <c r="C1" s="40"/>
      <c r="D1" s="40"/>
      <c r="E1" s="43" t="s">
        <v>55</v>
      </c>
      <c r="F1" s="43" t="s">
        <v>44</v>
      </c>
    </row>
    <row r="2" spans="1:21" ht="15.6" x14ac:dyDescent="0.3">
      <c r="A2" s="45" t="s">
        <v>4</v>
      </c>
      <c r="B2" s="47" t="b">
        <v>1</v>
      </c>
      <c r="C2" s="40"/>
      <c r="D2" s="40"/>
      <c r="E2" s="50" t="s">
        <v>422</v>
      </c>
      <c r="F2" s="44" t="s">
        <v>421</v>
      </c>
    </row>
    <row r="3" spans="1:21" x14ac:dyDescent="0.3">
      <c r="A3" s="45" t="s">
        <v>5</v>
      </c>
      <c r="B3" s="48" t="s">
        <v>423</v>
      </c>
      <c r="C3" s="40"/>
      <c r="D3" s="40"/>
      <c r="E3" s="40"/>
      <c r="F3" s="40"/>
    </row>
    <row r="4" spans="1:21" ht="15" thickBot="1" x14ac:dyDescent="0.35">
      <c r="A4" s="46" t="s">
        <v>106</v>
      </c>
      <c r="B4" s="49">
        <v>43117.595138888886</v>
      </c>
      <c r="C4" s="41"/>
      <c r="D4" s="40"/>
      <c r="E4" s="40"/>
      <c r="F4" s="40"/>
    </row>
    <row r="5" spans="1:21" x14ac:dyDescent="0.3">
      <c r="A5" s="40"/>
      <c r="B5" s="40"/>
      <c r="C5" s="42"/>
      <c r="D5" s="40"/>
      <c r="E5" s="40"/>
      <c r="F5" s="40"/>
    </row>
    <row r="6" spans="1:21" x14ac:dyDescent="0.3">
      <c r="E6" s="40"/>
    </row>
    <row r="7" spans="1:21" x14ac:dyDescent="0.3">
      <c r="A7" s="2" t="s">
        <v>6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 s="2" t="s">
        <v>7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 s="2" t="s">
        <v>8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 s="2" t="s">
        <v>9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x14ac:dyDescent="0.3">
      <c r="A11" s="2" t="s">
        <v>10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</row>
    <row r="12" spans="1:21" x14ac:dyDescent="0.3">
      <c r="A12" s="2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x14ac:dyDescent="0.3">
      <c r="A13" s="2" t="s">
        <v>12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x14ac:dyDescent="0.3">
      <c r="A14" s="2" t="s">
        <v>13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x14ac:dyDescent="0.3">
      <c r="A15" s="2" t="s">
        <v>14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x14ac:dyDescent="0.3">
      <c r="A16" s="2" t="s">
        <v>15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x14ac:dyDescent="0.3">
      <c r="A17" s="2" t="s">
        <v>16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3">
      <c r="A18" s="2" t="s">
        <v>17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3">
      <c r="A19" s="2" t="s">
        <v>18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3">
      <c r="A20" s="2" t="s">
        <v>19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3">
      <c r="A21" s="2" t="s">
        <v>20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3">
      <c r="A22" s="2" t="s">
        <v>21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3">
      <c r="A23" s="2" t="s">
        <v>22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3">
      <c r="A24" s="2" t="s">
        <v>0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3">
      <c r="A25" s="32" t="s">
        <v>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3">
      <c r="A26" s="3" t="s">
        <v>31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3">
      <c r="A27" s="3" t="s">
        <v>43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3">
      <c r="A28" s="3" t="s">
        <v>51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3">
      <c r="A29" s="56" t="s">
        <v>69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3">
      <c r="A30" s="33" t="s">
        <v>117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3">
      <c r="B31" s="28"/>
      <c r="E31" s="28"/>
    </row>
    <row r="34" spans="2:2" x14ac:dyDescent="0.3">
      <c r="B34" s="3"/>
    </row>
    <row r="36" spans="2:2" x14ac:dyDescent="0.3">
      <c r="B36" s="28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45720</xdr:rowOff>
                  </from>
                  <to>
                    <xdr:col>3</xdr:col>
                    <xdr:colOff>297180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83820</xdr:colOff>
                    <xdr:row>2</xdr:row>
                    <xdr:rowOff>152400</xdr:rowOff>
                  </from>
                  <to>
                    <xdr:col>3</xdr:col>
                    <xdr:colOff>335280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1</xdr:col>
                    <xdr:colOff>2423160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T3" sqref="T3"/>
    </sheetView>
  </sheetViews>
  <sheetFormatPr defaultRowHeight="14.4" x14ac:dyDescent="0.3"/>
  <cols>
    <col min="1" max="1" width="11.5546875" customWidth="1"/>
    <col min="2" max="2" width="8.88671875" customWidth="1"/>
    <col min="3" max="3" width="15.5546875" customWidth="1"/>
    <col min="4" max="4" width="22.33203125" customWidth="1"/>
    <col min="5" max="5" width="16.44140625" bestFit="1" customWidth="1"/>
    <col min="6" max="6" width="8.88671875" customWidth="1"/>
    <col min="7" max="7" width="16.44140625" customWidth="1"/>
    <col min="8" max="8" width="8.88671875" customWidth="1"/>
    <col min="9" max="9" width="13.33203125" customWidth="1"/>
    <col min="10" max="11" width="8.88671875" customWidth="1"/>
    <col min="12" max="12" width="10.44140625" customWidth="1"/>
    <col min="13" max="15" width="8.88671875" customWidth="1"/>
    <col min="16" max="16" width="13.6640625" customWidth="1"/>
    <col min="17" max="19" width="8.88671875" customWidth="1"/>
    <col min="21" max="21" width="9.5546875" customWidth="1"/>
  </cols>
  <sheetData>
    <row r="1" spans="1:23" ht="32.25" customHeight="1" thickBot="1" x14ac:dyDescent="0.35">
      <c r="A1" s="60" t="s">
        <v>34</v>
      </c>
      <c r="B1" s="60"/>
      <c r="C1" s="22" t="s">
        <v>40</v>
      </c>
      <c r="D1" s="23"/>
      <c r="L1" s="8" t="s">
        <v>45</v>
      </c>
    </row>
    <row r="2" spans="1:23" s="17" customFormat="1" ht="31.5" customHeight="1" thickBot="1" x14ac:dyDescent="0.35">
      <c r="A2" s="59" t="s">
        <v>420</v>
      </c>
      <c r="B2" s="59"/>
      <c r="C2" s="24">
        <f>COUNTA(A:A)-2</f>
        <v>2</v>
      </c>
      <c r="D2" s="25"/>
      <c r="E2" s="12" t="s">
        <v>47</v>
      </c>
      <c r="F2" s="13" t="s">
        <v>24</v>
      </c>
      <c r="G2" s="14" t="s">
        <v>46</v>
      </c>
      <c r="H2" s="15" t="s">
        <v>25</v>
      </c>
      <c r="I2" s="21" t="s">
        <v>52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4" t="s">
        <v>72</v>
      </c>
      <c r="V2" s="27" t="s">
        <v>39</v>
      </c>
    </row>
    <row r="3" spans="1:23" x14ac:dyDescent="0.3">
      <c r="A3">
        <v>28573902</v>
      </c>
      <c r="E3" t="s">
        <v>404</v>
      </c>
      <c r="G3" s="54">
        <v>43109.907638888886</v>
      </c>
      <c r="I3" t="s">
        <v>424</v>
      </c>
      <c r="L3" s="1" t="s">
        <v>431</v>
      </c>
      <c r="R3" t="s">
        <v>430</v>
      </c>
      <c r="T3" t="s">
        <v>432</v>
      </c>
      <c r="U3" t="s">
        <v>258</v>
      </c>
      <c r="V3" t="b">
        <v>1</v>
      </c>
      <c r="W3" s="5"/>
    </row>
    <row r="4" spans="1:23" x14ac:dyDescent="0.3">
      <c r="A4" t="s">
        <v>425</v>
      </c>
      <c r="F4" s="1" t="s">
        <v>426</v>
      </c>
      <c r="H4" s="1" t="s">
        <v>427</v>
      </c>
      <c r="J4" s="1" t="s">
        <v>428</v>
      </c>
      <c r="L4" s="1" t="s">
        <v>430</v>
      </c>
      <c r="N4" s="1" t="s">
        <v>429</v>
      </c>
      <c r="P4" s="1">
        <v>77.2</v>
      </c>
      <c r="W4" s="5"/>
    </row>
    <row r="5" spans="1:23" x14ac:dyDescent="0.3">
      <c r="W5" s="5"/>
    </row>
    <row r="6" spans="1:23" x14ac:dyDescent="0.3"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84"/>
  <sheetViews>
    <sheetView tabSelected="1" topLeftCell="A72" workbookViewId="0">
      <selection activeCell="I86" sqref="I86"/>
    </sheetView>
  </sheetViews>
  <sheetFormatPr defaultRowHeight="14.4" x14ac:dyDescent="0.3"/>
  <sheetData>
    <row r="1" spans="1:5" x14ac:dyDescent="0.3">
      <c r="A1" s="51" t="s">
        <v>158</v>
      </c>
      <c r="B1" s="51" t="s">
        <v>47</v>
      </c>
      <c r="C1" s="51" t="s">
        <v>159</v>
      </c>
      <c r="D1" s="51" t="s">
        <v>52</v>
      </c>
      <c r="E1" s="52" t="s">
        <v>188</v>
      </c>
    </row>
    <row r="2" spans="1:5" x14ac:dyDescent="0.3">
      <c r="A2" s="51">
        <v>28542234</v>
      </c>
      <c r="B2" s="51" t="s">
        <v>149</v>
      </c>
      <c r="C2" s="51"/>
      <c r="D2" s="51" t="s">
        <v>180</v>
      </c>
      <c r="E2" s="40" t="s">
        <v>189</v>
      </c>
    </row>
    <row r="3" spans="1:5" x14ac:dyDescent="0.3">
      <c r="A3" s="51">
        <v>28549279</v>
      </c>
      <c r="B3" s="51" t="s">
        <v>175</v>
      </c>
      <c r="C3" s="51"/>
      <c r="D3" s="51" t="s">
        <v>180</v>
      </c>
      <c r="E3" s="40" t="s">
        <v>189</v>
      </c>
    </row>
    <row r="4" spans="1:5" x14ac:dyDescent="0.3">
      <c r="A4">
        <v>28546343</v>
      </c>
      <c r="B4" t="s">
        <v>146</v>
      </c>
      <c r="D4" s="51" t="s">
        <v>180</v>
      </c>
      <c r="E4" s="6" t="s">
        <v>192</v>
      </c>
    </row>
    <row r="5" spans="1:5" x14ac:dyDescent="0.3">
      <c r="A5" s="51">
        <v>28544868</v>
      </c>
      <c r="B5" s="51" t="s">
        <v>164</v>
      </c>
      <c r="C5" s="51" t="s">
        <v>181</v>
      </c>
      <c r="D5" s="51" t="s">
        <v>186</v>
      </c>
    </row>
    <row r="6" spans="1:5" x14ac:dyDescent="0.3">
      <c r="A6" s="51">
        <v>28546435</v>
      </c>
      <c r="B6" s="51" t="s">
        <v>165</v>
      </c>
      <c r="C6" s="51" t="s">
        <v>185</v>
      </c>
      <c r="D6" s="51" t="s">
        <v>186</v>
      </c>
    </row>
    <row r="7" spans="1:5" x14ac:dyDescent="0.3">
      <c r="A7" s="51">
        <v>28546613</v>
      </c>
      <c r="B7" s="51" t="s">
        <v>166</v>
      </c>
      <c r="C7" s="51" t="s">
        <v>179</v>
      </c>
      <c r="D7" s="51" t="s">
        <v>186</v>
      </c>
    </row>
    <row r="8" spans="1:5" x14ac:dyDescent="0.3">
      <c r="A8">
        <v>28547795</v>
      </c>
      <c r="B8" t="s">
        <v>168</v>
      </c>
      <c r="D8" s="52" t="s">
        <v>180</v>
      </c>
      <c r="E8" t="s">
        <v>187</v>
      </c>
    </row>
    <row r="9" spans="1:5" x14ac:dyDescent="0.3">
      <c r="A9" s="51">
        <v>28549107</v>
      </c>
      <c r="B9" s="51" t="s">
        <v>145</v>
      </c>
      <c r="C9" s="51"/>
      <c r="D9" s="51" t="s">
        <v>180</v>
      </c>
      <c r="E9" t="s">
        <v>189</v>
      </c>
    </row>
    <row r="10" spans="1:5" x14ac:dyDescent="0.3">
      <c r="A10" s="51">
        <v>28549521</v>
      </c>
      <c r="B10" s="51" t="s">
        <v>176</v>
      </c>
      <c r="C10" s="51"/>
      <c r="D10" s="51" t="s">
        <v>180</v>
      </c>
      <c r="E10" s="40" t="s">
        <v>189</v>
      </c>
    </row>
    <row r="11" spans="1:5" x14ac:dyDescent="0.3">
      <c r="A11" s="51">
        <v>28549420</v>
      </c>
      <c r="B11" s="51" t="s">
        <v>177</v>
      </c>
      <c r="C11" s="51" t="s">
        <v>191</v>
      </c>
      <c r="D11" s="51" t="s">
        <v>186</v>
      </c>
    </row>
    <row r="12" spans="1:5" x14ac:dyDescent="0.3">
      <c r="A12" s="51">
        <v>28539436</v>
      </c>
      <c r="B12" s="51" t="s">
        <v>144</v>
      </c>
      <c r="C12" s="51" t="s">
        <v>154</v>
      </c>
      <c r="D12" s="51" t="s">
        <v>193</v>
      </c>
    </row>
    <row r="13" spans="1:5" x14ac:dyDescent="0.3">
      <c r="A13" s="51">
        <v>28546504</v>
      </c>
      <c r="B13" s="51" t="s">
        <v>167</v>
      </c>
      <c r="C13" s="51" t="s">
        <v>194</v>
      </c>
      <c r="D13" s="51" t="s">
        <v>186</v>
      </c>
    </row>
    <row r="14" spans="1:5" x14ac:dyDescent="0.3">
      <c r="A14" s="53">
        <v>28550443</v>
      </c>
      <c r="B14" s="51" t="s">
        <v>197</v>
      </c>
      <c r="C14" s="51" t="s">
        <v>201</v>
      </c>
      <c r="D14" s="51" t="s">
        <v>186</v>
      </c>
    </row>
    <row r="15" spans="1:5" x14ac:dyDescent="0.3">
      <c r="A15" s="53">
        <v>28550474</v>
      </c>
      <c r="B15" t="s">
        <v>198</v>
      </c>
      <c r="C15" t="s">
        <v>202</v>
      </c>
      <c r="D15" s="51" t="s">
        <v>186</v>
      </c>
    </row>
    <row r="16" spans="1:5" x14ac:dyDescent="0.3">
      <c r="A16" s="53">
        <v>28546504</v>
      </c>
      <c r="B16" t="s">
        <v>167</v>
      </c>
      <c r="C16" t="s">
        <v>194</v>
      </c>
      <c r="D16" s="51" t="s">
        <v>193</v>
      </c>
    </row>
    <row r="18" spans="1:5" x14ac:dyDescent="0.3">
      <c r="A18">
        <v>28552804</v>
      </c>
      <c r="B18" t="s">
        <v>205</v>
      </c>
      <c r="C18" t="s">
        <v>209</v>
      </c>
      <c r="D18" t="s">
        <v>186</v>
      </c>
    </row>
    <row r="19" spans="1:5" x14ac:dyDescent="0.3">
      <c r="A19">
        <v>28553902</v>
      </c>
      <c r="B19" t="s">
        <v>166</v>
      </c>
      <c r="C19" t="s">
        <v>210</v>
      </c>
      <c r="D19" s="40" t="s">
        <v>186</v>
      </c>
    </row>
    <row r="20" spans="1:5" x14ac:dyDescent="0.3">
      <c r="A20" s="1">
        <v>28552247</v>
      </c>
      <c r="B20" s="1" t="s">
        <v>145</v>
      </c>
      <c r="D20" s="6" t="s">
        <v>180</v>
      </c>
      <c r="E20" t="s">
        <v>215</v>
      </c>
    </row>
    <row r="21" spans="1:5" x14ac:dyDescent="0.3">
      <c r="A21" s="53">
        <v>28546504</v>
      </c>
      <c r="B21" s="53" t="s">
        <v>167</v>
      </c>
      <c r="D21" s="6" t="s">
        <v>180</v>
      </c>
      <c r="E21" t="s">
        <v>216</v>
      </c>
    </row>
    <row r="22" spans="1:5" x14ac:dyDescent="0.3">
      <c r="A22" s="53">
        <v>28556692</v>
      </c>
      <c r="B22" s="53" t="s">
        <v>211</v>
      </c>
      <c r="D22" s="6" t="s">
        <v>180</v>
      </c>
      <c r="E22" t="s">
        <v>217</v>
      </c>
    </row>
    <row r="23" spans="1:5" x14ac:dyDescent="0.3">
      <c r="A23" s="53">
        <v>28556689</v>
      </c>
      <c r="B23" s="53" t="s">
        <v>146</v>
      </c>
      <c r="D23" s="6" t="s">
        <v>180</v>
      </c>
      <c r="E23" t="s">
        <v>217</v>
      </c>
    </row>
    <row r="24" spans="1:5" x14ac:dyDescent="0.3">
      <c r="A24" s="53">
        <v>28556977</v>
      </c>
      <c r="B24" s="53" t="s">
        <v>212</v>
      </c>
      <c r="D24" s="6" t="s">
        <v>180</v>
      </c>
      <c r="E24" t="s">
        <v>215</v>
      </c>
    </row>
    <row r="26" spans="1:5" x14ac:dyDescent="0.3">
      <c r="A26">
        <v>28560698</v>
      </c>
      <c r="B26" t="s">
        <v>218</v>
      </c>
      <c r="D26" s="6" t="s">
        <v>180</v>
      </c>
      <c r="E26" s="40" t="s">
        <v>215</v>
      </c>
    </row>
    <row r="27" spans="1:5" x14ac:dyDescent="0.3">
      <c r="A27">
        <v>28560696</v>
      </c>
      <c r="B27" t="s">
        <v>146</v>
      </c>
      <c r="C27" t="s">
        <v>221</v>
      </c>
      <c r="D27" s="6" t="s">
        <v>222</v>
      </c>
    </row>
    <row r="28" spans="1:5" x14ac:dyDescent="0.3">
      <c r="A28" s="55">
        <v>28560698</v>
      </c>
      <c r="B28" t="s">
        <v>218</v>
      </c>
      <c r="C28" s="6" t="s">
        <v>222</v>
      </c>
    </row>
    <row r="29" spans="1:5" x14ac:dyDescent="0.3">
      <c r="A29">
        <v>28561581</v>
      </c>
      <c r="B29" t="s">
        <v>223</v>
      </c>
      <c r="C29" s="6" t="s">
        <v>222</v>
      </c>
    </row>
    <row r="30" spans="1:5" x14ac:dyDescent="0.3">
      <c r="A30">
        <v>28561582</v>
      </c>
      <c r="B30" t="s">
        <v>168</v>
      </c>
      <c r="C30" s="6" t="s">
        <v>180</v>
      </c>
      <c r="D30" t="s">
        <v>259</v>
      </c>
    </row>
    <row r="31" spans="1:5" x14ac:dyDescent="0.3">
      <c r="A31">
        <v>28546504</v>
      </c>
      <c r="B31" t="s">
        <v>167</v>
      </c>
      <c r="C31" s="6" t="s">
        <v>260</v>
      </c>
    </row>
    <row r="33" spans="1:5" x14ac:dyDescent="0.3">
      <c r="A33">
        <v>28561582</v>
      </c>
      <c r="B33" t="s">
        <v>168</v>
      </c>
      <c r="D33" s="6" t="s">
        <v>180</v>
      </c>
      <c r="E33" t="s">
        <v>226</v>
      </c>
    </row>
    <row r="34" spans="1:5" x14ac:dyDescent="0.3">
      <c r="A34">
        <v>28562075</v>
      </c>
      <c r="B34" t="s">
        <v>261</v>
      </c>
      <c r="C34" t="s">
        <v>264</v>
      </c>
      <c r="D34" s="6" t="s">
        <v>222</v>
      </c>
    </row>
    <row r="35" spans="1:5" x14ac:dyDescent="0.3">
      <c r="A35" t="s">
        <v>265</v>
      </c>
      <c r="B35" t="s">
        <v>167</v>
      </c>
      <c r="D35" s="6" t="s">
        <v>266</v>
      </c>
    </row>
    <row r="36" spans="1:5" x14ac:dyDescent="0.3">
      <c r="A36">
        <v>28563723</v>
      </c>
      <c r="B36" t="s">
        <v>175</v>
      </c>
      <c r="C36" t="s">
        <v>290</v>
      </c>
      <c r="D36" s="6" t="s">
        <v>222</v>
      </c>
    </row>
    <row r="37" spans="1:5" x14ac:dyDescent="0.3">
      <c r="A37">
        <v>28563725</v>
      </c>
      <c r="B37" t="s">
        <v>176</v>
      </c>
      <c r="C37" t="s">
        <v>291</v>
      </c>
      <c r="D37" s="6" t="s">
        <v>222</v>
      </c>
    </row>
    <row r="38" spans="1:5" x14ac:dyDescent="0.3">
      <c r="A38">
        <v>28563671</v>
      </c>
      <c r="B38" t="s">
        <v>287</v>
      </c>
      <c r="C38" t="s">
        <v>292</v>
      </c>
      <c r="D38" s="6" t="s">
        <v>222</v>
      </c>
    </row>
    <row r="39" spans="1:5" x14ac:dyDescent="0.3">
      <c r="A39">
        <v>28563721</v>
      </c>
      <c r="B39" t="s">
        <v>288</v>
      </c>
      <c r="C39" t="s">
        <v>293</v>
      </c>
      <c r="D39" s="6" t="s">
        <v>222</v>
      </c>
    </row>
    <row r="40" spans="1:5" x14ac:dyDescent="0.3">
      <c r="A40">
        <v>28562625</v>
      </c>
      <c r="B40" t="s">
        <v>289</v>
      </c>
      <c r="D40" s="6" t="s">
        <v>295</v>
      </c>
      <c r="E40" t="s">
        <v>189</v>
      </c>
    </row>
    <row r="42" spans="1:5" x14ac:dyDescent="0.3">
      <c r="A42">
        <v>28567486</v>
      </c>
      <c r="B42" t="s">
        <v>298</v>
      </c>
      <c r="C42" t="s">
        <v>299</v>
      </c>
      <c r="D42" s="6" t="s">
        <v>222</v>
      </c>
    </row>
    <row r="43" spans="1:5" x14ac:dyDescent="0.3">
      <c r="A43">
        <v>28562625</v>
      </c>
      <c r="B43" t="s">
        <v>289</v>
      </c>
      <c r="D43" s="6" t="s">
        <v>180</v>
      </c>
      <c r="E43" t="s">
        <v>300</v>
      </c>
    </row>
    <row r="44" spans="1:5" x14ac:dyDescent="0.3">
      <c r="A44">
        <v>28563927</v>
      </c>
      <c r="B44" t="s">
        <v>177</v>
      </c>
      <c r="D44" s="6" t="s">
        <v>180</v>
      </c>
      <c r="E44" s="40" t="s">
        <v>300</v>
      </c>
    </row>
    <row r="46" spans="1:5" x14ac:dyDescent="0.3">
      <c r="A46">
        <v>28572285</v>
      </c>
      <c r="B46" t="s">
        <v>218</v>
      </c>
      <c r="C46" t="s">
        <v>367</v>
      </c>
      <c r="D46" s="6" t="s">
        <v>222</v>
      </c>
    </row>
    <row r="47" spans="1:5" x14ac:dyDescent="0.3">
      <c r="A47">
        <v>28572434</v>
      </c>
      <c r="B47" t="s">
        <v>301</v>
      </c>
      <c r="C47" t="s">
        <v>368</v>
      </c>
      <c r="D47" s="6" t="s">
        <v>222</v>
      </c>
    </row>
    <row r="48" spans="1:5" x14ac:dyDescent="0.3">
      <c r="A48">
        <v>28572147</v>
      </c>
      <c r="B48" t="s">
        <v>223</v>
      </c>
      <c r="C48" t="s">
        <v>370</v>
      </c>
      <c r="D48" s="6" t="s">
        <v>222</v>
      </c>
    </row>
    <row r="50" spans="1:5" x14ac:dyDescent="0.3">
      <c r="A50">
        <v>28567399</v>
      </c>
      <c r="B50" t="s">
        <v>371</v>
      </c>
      <c r="C50" t="s">
        <v>386</v>
      </c>
      <c r="D50" s="6" t="s">
        <v>222</v>
      </c>
    </row>
    <row r="51" spans="1:5" x14ac:dyDescent="0.3">
      <c r="A51">
        <v>28567404</v>
      </c>
      <c r="B51" t="s">
        <v>373</v>
      </c>
      <c r="C51" t="s">
        <v>387</v>
      </c>
      <c r="D51" s="6" t="s">
        <v>222</v>
      </c>
    </row>
    <row r="52" spans="1:5" x14ac:dyDescent="0.3">
      <c r="A52">
        <v>28567402</v>
      </c>
      <c r="B52" t="s">
        <v>374</v>
      </c>
      <c r="C52" t="s">
        <v>388</v>
      </c>
      <c r="D52" s="6" t="s">
        <v>222</v>
      </c>
    </row>
    <row r="53" spans="1:5" x14ac:dyDescent="0.3">
      <c r="A53">
        <v>28570198</v>
      </c>
      <c r="B53" t="s">
        <v>376</v>
      </c>
      <c r="C53" t="s">
        <v>389</v>
      </c>
      <c r="D53" s="6" t="s">
        <v>222</v>
      </c>
    </row>
    <row r="54" spans="1:5" x14ac:dyDescent="0.3">
      <c r="A54">
        <v>28570195</v>
      </c>
      <c r="B54" t="s">
        <v>376</v>
      </c>
      <c r="C54" t="s">
        <v>390</v>
      </c>
      <c r="D54" s="6" t="s">
        <v>222</v>
      </c>
    </row>
    <row r="55" spans="1:5" x14ac:dyDescent="0.3">
      <c r="A55">
        <v>28568341</v>
      </c>
      <c r="B55" t="s">
        <v>375</v>
      </c>
      <c r="D55" s="6" t="s">
        <v>180</v>
      </c>
      <c r="E55" t="s">
        <v>300</v>
      </c>
    </row>
    <row r="56" spans="1:5" x14ac:dyDescent="0.3">
      <c r="A56">
        <v>28571296</v>
      </c>
      <c r="B56" t="s">
        <v>376</v>
      </c>
      <c r="C56" t="s">
        <v>391</v>
      </c>
      <c r="D56" s="6" t="s">
        <v>222</v>
      </c>
    </row>
    <row r="57" spans="1:5" x14ac:dyDescent="0.3">
      <c r="A57">
        <v>28573145</v>
      </c>
      <c r="B57" t="s">
        <v>372</v>
      </c>
      <c r="E57" t="s">
        <v>392</v>
      </c>
    </row>
    <row r="58" spans="1:5" x14ac:dyDescent="0.3">
      <c r="A58" s="1">
        <v>28573132</v>
      </c>
      <c r="B58" s="1" t="s">
        <v>177</v>
      </c>
      <c r="D58" s="6" t="s">
        <v>180</v>
      </c>
      <c r="E58" s="40" t="s">
        <v>392</v>
      </c>
    </row>
    <row r="59" spans="1:5" x14ac:dyDescent="0.3">
      <c r="A59" s="1">
        <v>28573136</v>
      </c>
      <c r="B59" s="1" t="s">
        <v>145</v>
      </c>
      <c r="D59" s="6" t="s">
        <v>180</v>
      </c>
      <c r="E59" s="40" t="s">
        <v>392</v>
      </c>
    </row>
    <row r="60" spans="1:5" x14ac:dyDescent="0.3">
      <c r="A60" s="1">
        <v>28573137</v>
      </c>
      <c r="B60" s="1" t="s">
        <v>288</v>
      </c>
      <c r="D60" s="6" t="s">
        <v>180</v>
      </c>
      <c r="E60" s="40" t="s">
        <v>392</v>
      </c>
    </row>
    <row r="61" spans="1:5" x14ac:dyDescent="0.3">
      <c r="A61" s="1">
        <v>28573142</v>
      </c>
      <c r="B61" s="1" t="s">
        <v>393</v>
      </c>
      <c r="D61" s="6" t="s">
        <v>180</v>
      </c>
      <c r="E61" s="40" t="s">
        <v>392</v>
      </c>
    </row>
    <row r="62" spans="1:5" x14ac:dyDescent="0.3">
      <c r="A62" s="1">
        <v>28573139</v>
      </c>
      <c r="B62" s="1" t="s">
        <v>144</v>
      </c>
      <c r="D62" s="6" t="s">
        <v>180</v>
      </c>
      <c r="E62" s="40" t="s">
        <v>392</v>
      </c>
    </row>
    <row r="63" spans="1:5" x14ac:dyDescent="0.3">
      <c r="A63">
        <v>28567388</v>
      </c>
      <c r="B63" t="s">
        <v>394</v>
      </c>
      <c r="C63" t="s">
        <v>410</v>
      </c>
      <c r="D63" s="6" t="s">
        <v>222</v>
      </c>
    </row>
    <row r="64" spans="1:5" x14ac:dyDescent="0.3">
      <c r="A64">
        <v>28568419</v>
      </c>
      <c r="B64" t="s">
        <v>395</v>
      </c>
      <c r="C64" t="s">
        <v>411</v>
      </c>
      <c r="D64" s="6" t="s">
        <v>222</v>
      </c>
    </row>
    <row r="65" spans="1:5" x14ac:dyDescent="0.3">
      <c r="A65">
        <v>28570174</v>
      </c>
      <c r="B65" t="s">
        <v>396</v>
      </c>
      <c r="C65" t="s">
        <v>412</v>
      </c>
      <c r="D65" s="6" t="s">
        <v>222</v>
      </c>
    </row>
    <row r="66" spans="1:5" x14ac:dyDescent="0.3">
      <c r="A66">
        <v>28570566</v>
      </c>
      <c r="B66" t="s">
        <v>397</v>
      </c>
      <c r="C66" t="s">
        <v>413</v>
      </c>
      <c r="D66" s="6" t="s">
        <v>222</v>
      </c>
    </row>
    <row r="67" spans="1:5" x14ac:dyDescent="0.3">
      <c r="A67">
        <v>28570199</v>
      </c>
      <c r="B67" t="s">
        <v>398</v>
      </c>
      <c r="C67" t="s">
        <v>414</v>
      </c>
      <c r="D67" s="6" t="s">
        <v>222</v>
      </c>
    </row>
    <row r="68" spans="1:5" x14ac:dyDescent="0.3">
      <c r="A68">
        <v>28570196</v>
      </c>
      <c r="B68" t="s">
        <v>398</v>
      </c>
      <c r="C68" t="s">
        <v>415</v>
      </c>
      <c r="D68" s="6" t="s">
        <v>222</v>
      </c>
    </row>
    <row r="69" spans="1:5" x14ac:dyDescent="0.3">
      <c r="A69">
        <v>28570211</v>
      </c>
      <c r="B69" t="s">
        <v>399</v>
      </c>
      <c r="C69" t="s">
        <v>416</v>
      </c>
      <c r="D69" s="6" t="s">
        <v>222</v>
      </c>
    </row>
    <row r="70" spans="1:5" x14ac:dyDescent="0.3">
      <c r="A70">
        <v>28570197</v>
      </c>
      <c r="B70" t="s">
        <v>400</v>
      </c>
      <c r="C70" t="s">
        <v>417</v>
      </c>
      <c r="D70" s="6" t="s">
        <v>222</v>
      </c>
    </row>
    <row r="71" spans="1:5" x14ac:dyDescent="0.3">
      <c r="A71">
        <v>28572090</v>
      </c>
      <c r="B71" t="s">
        <v>401</v>
      </c>
      <c r="C71" t="s">
        <v>418</v>
      </c>
      <c r="D71" s="6" t="s">
        <v>222</v>
      </c>
    </row>
    <row r="72" spans="1:5" x14ac:dyDescent="0.3">
      <c r="A72">
        <v>28573146</v>
      </c>
      <c r="B72" t="s">
        <v>402</v>
      </c>
      <c r="D72" s="6" t="s">
        <v>180</v>
      </c>
      <c r="E72" s="40" t="s">
        <v>392</v>
      </c>
    </row>
    <row r="73" spans="1:5" x14ac:dyDescent="0.3">
      <c r="A73">
        <v>28573141</v>
      </c>
      <c r="B73" t="s">
        <v>397</v>
      </c>
      <c r="D73" s="6" t="s">
        <v>180</v>
      </c>
      <c r="E73" s="40" t="s">
        <v>392</v>
      </c>
    </row>
    <row r="74" spans="1:5" x14ac:dyDescent="0.3">
      <c r="A74">
        <v>28573133</v>
      </c>
      <c r="B74" t="s">
        <v>394</v>
      </c>
      <c r="D74" s="6" t="s">
        <v>180</v>
      </c>
      <c r="E74" s="40" t="s">
        <v>392</v>
      </c>
    </row>
    <row r="75" spans="1:5" x14ac:dyDescent="0.3">
      <c r="A75">
        <v>28573144</v>
      </c>
      <c r="B75" t="s">
        <v>403</v>
      </c>
      <c r="D75" s="6" t="s">
        <v>180</v>
      </c>
      <c r="E75" s="40" t="s">
        <v>392</v>
      </c>
    </row>
    <row r="76" spans="1:5" x14ac:dyDescent="0.3">
      <c r="A76">
        <v>28573135</v>
      </c>
      <c r="B76" t="s">
        <v>401</v>
      </c>
      <c r="D76" s="6" t="s">
        <v>180</v>
      </c>
      <c r="E76" s="40" t="s">
        <v>392</v>
      </c>
    </row>
    <row r="77" spans="1:5" x14ac:dyDescent="0.3">
      <c r="A77">
        <v>28567394</v>
      </c>
      <c r="B77" t="s">
        <v>399</v>
      </c>
      <c r="D77" s="6" t="s">
        <v>260</v>
      </c>
    </row>
    <row r="78" spans="1:5" x14ac:dyDescent="0.3">
      <c r="A78" s="53">
        <v>28567393</v>
      </c>
      <c r="B78" s="53" t="s">
        <v>404</v>
      </c>
      <c r="D78" s="6" t="s">
        <v>260</v>
      </c>
    </row>
    <row r="79" spans="1:5" x14ac:dyDescent="0.3">
      <c r="A79" s="53">
        <v>28567390</v>
      </c>
      <c r="B79" s="53" t="s">
        <v>398</v>
      </c>
      <c r="D79" s="6" t="s">
        <v>260</v>
      </c>
    </row>
    <row r="80" spans="1:5" x14ac:dyDescent="0.3">
      <c r="A80" s="53">
        <v>28567396</v>
      </c>
      <c r="B80" s="53" t="s">
        <v>405</v>
      </c>
      <c r="D80" s="6" t="s">
        <v>260</v>
      </c>
    </row>
    <row r="81" spans="1:4" x14ac:dyDescent="0.3">
      <c r="A81" s="53">
        <v>28567401</v>
      </c>
      <c r="B81" s="53" t="s">
        <v>396</v>
      </c>
      <c r="D81" s="6" t="s">
        <v>260</v>
      </c>
    </row>
    <row r="82" spans="1:4" x14ac:dyDescent="0.3">
      <c r="A82" s="53">
        <v>28567400</v>
      </c>
      <c r="B82" s="53" t="s">
        <v>397</v>
      </c>
      <c r="D82" s="6" t="s">
        <v>260</v>
      </c>
    </row>
    <row r="84" spans="1:4" x14ac:dyDescent="0.3">
      <c r="A84">
        <v>28573902</v>
      </c>
      <c r="B84" t="s">
        <v>404</v>
      </c>
      <c r="C84" t="s">
        <v>432</v>
      </c>
      <c r="D84" t="s">
        <v>186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14" sqref="D14"/>
    </sheetView>
  </sheetViews>
  <sheetFormatPr defaultColWidth="9.109375" defaultRowHeight="14.4" x14ac:dyDescent="0.3"/>
  <cols>
    <col min="1" max="1" width="3.109375" style="35" bestFit="1" customWidth="1"/>
    <col min="2" max="2" width="9.109375" style="35"/>
    <col min="3" max="3" width="50.6640625" style="35" bestFit="1" customWidth="1"/>
    <col min="4" max="4" width="37.5546875" style="35" bestFit="1" customWidth="1"/>
    <col min="5" max="7" width="15.33203125" style="35" bestFit="1" customWidth="1"/>
    <col min="8" max="8" width="10.109375" style="35" bestFit="1" customWidth="1"/>
    <col min="9" max="11" width="9.109375" style="35"/>
    <col min="12" max="12" width="10.109375" style="35" bestFit="1" customWidth="1"/>
    <col min="13" max="16384" width="9.109375" style="35"/>
  </cols>
  <sheetData>
    <row r="1" spans="1:12" ht="29.25" customHeight="1" thickBot="1" x14ac:dyDescent="0.35">
      <c r="A1" s="36" t="s">
        <v>92</v>
      </c>
      <c r="B1" s="37" t="s">
        <v>93</v>
      </c>
      <c r="C1" s="37" t="s">
        <v>94</v>
      </c>
      <c r="D1" s="37" t="s">
        <v>5</v>
      </c>
      <c r="E1" s="37" t="s">
        <v>95</v>
      </c>
      <c r="F1" s="37" t="s">
        <v>51</v>
      </c>
      <c r="G1" s="37" t="s">
        <v>96</v>
      </c>
      <c r="H1" s="39">
        <f>COUNTA(B:B)-1</f>
        <v>0</v>
      </c>
      <c r="L1" s="38">
        <f ca="1">TODAY()</f>
        <v>43110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39"/>
  <sheetViews>
    <sheetView topLeftCell="A20" workbookViewId="0">
      <selection activeCell="C40" sqref="C40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49</v>
      </c>
      <c r="C1" s="11">
        <f>COUNTA(C2:C94)</f>
        <v>38</v>
      </c>
      <c r="D1" s="10" t="s">
        <v>35</v>
      </c>
    </row>
    <row r="2" spans="1:4" x14ac:dyDescent="0.3">
      <c r="A2" s="5" t="s">
        <v>27</v>
      </c>
      <c r="B2" s="4"/>
      <c r="C2" t="s">
        <v>50</v>
      </c>
    </row>
    <row r="3" spans="1:4" x14ac:dyDescent="0.3">
      <c r="A3" s="5" t="s">
        <v>28</v>
      </c>
      <c r="B3" s="4"/>
      <c r="C3" t="s">
        <v>140</v>
      </c>
    </row>
    <row r="4" spans="1:4" x14ac:dyDescent="0.3">
      <c r="A4" s="5" t="s">
        <v>30</v>
      </c>
      <c r="B4" s="4"/>
      <c r="C4" t="s">
        <v>36</v>
      </c>
    </row>
    <row r="5" spans="1:4" x14ac:dyDescent="0.3">
      <c r="A5" s="6" t="s">
        <v>41</v>
      </c>
      <c r="B5" s="4"/>
      <c r="C5" t="s">
        <v>37</v>
      </c>
    </row>
    <row r="6" spans="1:4" x14ac:dyDescent="0.3">
      <c r="A6" s="6" t="s">
        <v>42</v>
      </c>
      <c r="B6" s="4"/>
      <c r="C6" t="s">
        <v>38</v>
      </c>
    </row>
    <row r="7" spans="1:4" x14ac:dyDescent="0.3">
      <c r="A7" t="s">
        <v>98</v>
      </c>
      <c r="B7" s="4"/>
      <c r="C7" t="s">
        <v>48</v>
      </c>
    </row>
    <row r="8" spans="1:4" x14ac:dyDescent="0.3">
      <c r="A8" t="s">
        <v>99</v>
      </c>
      <c r="B8" s="4"/>
      <c r="C8" s="5" t="s">
        <v>29</v>
      </c>
    </row>
    <row r="9" spans="1:4" x14ac:dyDescent="0.3">
      <c r="A9" t="s">
        <v>100</v>
      </c>
      <c r="B9" s="4"/>
      <c r="C9" t="s">
        <v>53</v>
      </c>
    </row>
    <row r="10" spans="1:4" x14ac:dyDescent="0.3">
      <c r="A10" t="s">
        <v>109</v>
      </c>
      <c r="B10" s="4"/>
      <c r="C10" t="s">
        <v>54</v>
      </c>
    </row>
    <row r="11" spans="1:4" x14ac:dyDescent="0.3">
      <c r="B11" s="4"/>
      <c r="C11" t="s">
        <v>56</v>
      </c>
    </row>
    <row r="12" spans="1:4" x14ac:dyDescent="0.3">
      <c r="B12" s="4"/>
      <c r="C12" t="s">
        <v>57</v>
      </c>
    </row>
    <row r="13" spans="1:4" x14ac:dyDescent="0.3">
      <c r="B13" s="4"/>
      <c r="C13" t="s">
        <v>86</v>
      </c>
    </row>
    <row r="14" spans="1:4" x14ac:dyDescent="0.3">
      <c r="B14" s="4"/>
      <c r="C14" t="s">
        <v>87</v>
      </c>
    </row>
    <row r="15" spans="1:4" x14ac:dyDescent="0.3">
      <c r="B15" s="4"/>
      <c r="C15" t="s">
        <v>88</v>
      </c>
    </row>
    <row r="16" spans="1:4" x14ac:dyDescent="0.3">
      <c r="B16" s="4"/>
      <c r="C16" t="s">
        <v>120</v>
      </c>
    </row>
    <row r="17" spans="2:3" x14ac:dyDescent="0.3">
      <c r="B17" s="4"/>
      <c r="C17" t="s">
        <v>101</v>
      </c>
    </row>
    <row r="18" spans="2:3" x14ac:dyDescent="0.3">
      <c r="C18" t="s">
        <v>98</v>
      </c>
    </row>
    <row r="19" spans="2:3" x14ac:dyDescent="0.3">
      <c r="C19" t="s">
        <v>102</v>
      </c>
    </row>
    <row r="20" spans="2:3" x14ac:dyDescent="0.3">
      <c r="C20" t="s">
        <v>103</v>
      </c>
    </row>
    <row r="21" spans="2:3" x14ac:dyDescent="0.3">
      <c r="C21" t="s">
        <v>104</v>
      </c>
    </row>
    <row r="22" spans="2:3" x14ac:dyDescent="0.3">
      <c r="C22" t="s">
        <v>105</v>
      </c>
    </row>
    <row r="23" spans="2:3" x14ac:dyDescent="0.3">
      <c r="C23" t="s">
        <v>38</v>
      </c>
    </row>
    <row r="24" spans="2:3" x14ac:dyDescent="0.3">
      <c r="C24" t="s">
        <v>110</v>
      </c>
    </row>
    <row r="25" spans="2:3" x14ac:dyDescent="0.3">
      <c r="C25" t="s">
        <v>111</v>
      </c>
    </row>
    <row r="26" spans="2:3" x14ac:dyDescent="0.3">
      <c r="C26" t="s">
        <v>141</v>
      </c>
    </row>
    <row r="27" spans="2:3" x14ac:dyDescent="0.3">
      <c r="C27" t="s">
        <v>142</v>
      </c>
    </row>
    <row r="28" spans="2:3" x14ac:dyDescent="0.3">
      <c r="C28" t="s">
        <v>143</v>
      </c>
    </row>
    <row r="29" spans="2:3" x14ac:dyDescent="0.3">
      <c r="C29" t="s">
        <v>155</v>
      </c>
    </row>
    <row r="30" spans="2:3" x14ac:dyDescent="0.3">
      <c r="C30" t="s">
        <v>156</v>
      </c>
    </row>
    <row r="31" spans="2:3" x14ac:dyDescent="0.3">
      <c r="C31" t="s">
        <v>157</v>
      </c>
    </row>
    <row r="32" spans="2:3" x14ac:dyDescent="0.3">
      <c r="C32" t="s">
        <v>182</v>
      </c>
    </row>
    <row r="33" spans="3:3" x14ac:dyDescent="0.3">
      <c r="C33" t="s">
        <v>183</v>
      </c>
    </row>
    <row r="34" spans="3:3" x14ac:dyDescent="0.3">
      <c r="C34" t="s">
        <v>184</v>
      </c>
    </row>
    <row r="35" spans="3:3" x14ac:dyDescent="0.3">
      <c r="C35" t="s">
        <v>220</v>
      </c>
    </row>
    <row r="36" spans="3:3" x14ac:dyDescent="0.3">
      <c r="C36" t="s">
        <v>270</v>
      </c>
    </row>
    <row r="37" spans="3:3" x14ac:dyDescent="0.3">
      <c r="C37" t="s">
        <v>271</v>
      </c>
    </row>
    <row r="38" spans="3:3" x14ac:dyDescent="0.3">
      <c r="C38" t="s">
        <v>294</v>
      </c>
    </row>
    <row r="39" spans="3:3" x14ac:dyDescent="0.3">
      <c r="C39" t="s">
        <v>419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4"/>
  <sheetViews>
    <sheetView topLeftCell="A93" workbookViewId="0">
      <selection activeCell="B115" sqref="B115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29">
        <f>COUNTA(B:B)-1</f>
        <v>113</v>
      </c>
      <c r="B1" s="31" t="s">
        <v>58</v>
      </c>
      <c r="C1" s="30" t="s">
        <v>59</v>
      </c>
    </row>
    <row r="2" spans="1:3" x14ac:dyDescent="0.3">
      <c r="A2">
        <v>1</v>
      </c>
      <c r="B2" s="40" t="s">
        <v>120</v>
      </c>
      <c r="C2" s="40" t="s">
        <v>60</v>
      </c>
    </row>
    <row r="3" spans="1:3" x14ac:dyDescent="0.3">
      <c r="A3">
        <v>2</v>
      </c>
      <c r="B3" s="40" t="s">
        <v>296</v>
      </c>
      <c r="C3" s="40" t="s">
        <v>297</v>
      </c>
    </row>
    <row r="4" spans="1:3" x14ac:dyDescent="0.3">
      <c r="A4">
        <v>3</v>
      </c>
      <c r="B4" s="40" t="s">
        <v>61</v>
      </c>
      <c r="C4" s="40" t="s">
        <v>62</v>
      </c>
    </row>
    <row r="5" spans="1:3" x14ac:dyDescent="0.3">
      <c r="A5">
        <v>4</v>
      </c>
      <c r="B5" s="40" t="s">
        <v>63</v>
      </c>
      <c r="C5" s="40" t="s">
        <v>64</v>
      </c>
    </row>
    <row r="6" spans="1:3" x14ac:dyDescent="0.3">
      <c r="A6">
        <v>5</v>
      </c>
      <c r="B6" s="40" t="s">
        <v>65</v>
      </c>
      <c r="C6" s="40" t="s">
        <v>89</v>
      </c>
    </row>
    <row r="7" spans="1:3" x14ac:dyDescent="0.3">
      <c r="A7">
        <v>6</v>
      </c>
      <c r="B7" s="40" t="s">
        <v>112</v>
      </c>
      <c r="C7" s="40" t="s">
        <v>66</v>
      </c>
    </row>
    <row r="8" spans="1:3" s="40" customFormat="1" x14ac:dyDescent="0.3">
      <c r="A8" s="40">
        <v>7</v>
      </c>
      <c r="B8" s="40" t="s">
        <v>67</v>
      </c>
      <c r="C8" s="40" t="s">
        <v>68</v>
      </c>
    </row>
    <row r="9" spans="1:3" x14ac:dyDescent="0.3">
      <c r="A9">
        <v>8</v>
      </c>
      <c r="B9" s="40" t="s">
        <v>224</v>
      </c>
      <c r="C9" s="40" t="s">
        <v>225</v>
      </c>
    </row>
    <row r="10" spans="1:3" x14ac:dyDescent="0.3">
      <c r="A10">
        <v>9</v>
      </c>
      <c r="B10" s="40" t="s">
        <v>70</v>
      </c>
      <c r="C10" s="40" t="s">
        <v>71</v>
      </c>
    </row>
    <row r="11" spans="1:3" x14ac:dyDescent="0.3">
      <c r="A11">
        <v>10</v>
      </c>
      <c r="B11" s="40" t="s">
        <v>73</v>
      </c>
      <c r="C11" s="40" t="s">
        <v>74</v>
      </c>
    </row>
    <row r="12" spans="1:3" x14ac:dyDescent="0.3">
      <c r="A12">
        <v>11</v>
      </c>
      <c r="B12" s="40" t="s">
        <v>303</v>
      </c>
      <c r="C12" s="40" t="s">
        <v>304</v>
      </c>
    </row>
    <row r="13" spans="1:3" x14ac:dyDescent="0.3">
      <c r="A13">
        <v>12</v>
      </c>
      <c r="B13" s="40" t="s">
        <v>75</v>
      </c>
      <c r="C13" s="40" t="s">
        <v>76</v>
      </c>
    </row>
    <row r="14" spans="1:3" x14ac:dyDescent="0.3">
      <c r="A14">
        <v>13</v>
      </c>
      <c r="B14" s="40" t="s">
        <v>77</v>
      </c>
      <c r="C14" s="40" t="s">
        <v>79</v>
      </c>
    </row>
    <row r="15" spans="1:3" x14ac:dyDescent="0.3">
      <c r="A15">
        <v>14</v>
      </c>
      <c r="B15" s="40" t="s">
        <v>78</v>
      </c>
      <c r="C15" s="40" t="s">
        <v>305</v>
      </c>
    </row>
    <row r="16" spans="1:3" x14ac:dyDescent="0.3">
      <c r="A16">
        <v>15</v>
      </c>
      <c r="B16" s="40" t="s">
        <v>80</v>
      </c>
      <c r="C16" s="40" t="s">
        <v>81</v>
      </c>
    </row>
    <row r="17" spans="1:3" x14ac:dyDescent="0.3">
      <c r="A17">
        <v>16</v>
      </c>
      <c r="B17" s="40" t="s">
        <v>82</v>
      </c>
      <c r="C17" s="40" t="s">
        <v>83</v>
      </c>
    </row>
    <row r="18" spans="1:3" x14ac:dyDescent="0.3">
      <c r="A18">
        <v>17</v>
      </c>
      <c r="B18" s="40" t="s">
        <v>84</v>
      </c>
      <c r="C18" s="40" t="s">
        <v>85</v>
      </c>
    </row>
    <row r="19" spans="1:3" x14ac:dyDescent="0.3">
      <c r="A19">
        <v>18</v>
      </c>
      <c r="B19" s="40" t="s">
        <v>90</v>
      </c>
      <c r="C19" s="40" t="s">
        <v>91</v>
      </c>
    </row>
    <row r="20" spans="1:3" x14ac:dyDescent="0.3">
      <c r="A20">
        <v>19</v>
      </c>
      <c r="B20" s="40" t="s">
        <v>160</v>
      </c>
      <c r="C20" s="40" t="s">
        <v>161</v>
      </c>
    </row>
    <row r="21" spans="1:3" x14ac:dyDescent="0.3">
      <c r="A21">
        <v>20</v>
      </c>
      <c r="B21" s="40" t="s">
        <v>108</v>
      </c>
      <c r="C21" s="40" t="s">
        <v>107</v>
      </c>
    </row>
    <row r="22" spans="1:3" x14ac:dyDescent="0.3">
      <c r="A22">
        <v>21</v>
      </c>
      <c r="B22" s="40" t="s">
        <v>113</v>
      </c>
      <c r="C22" s="40" t="s">
        <v>114</v>
      </c>
    </row>
    <row r="23" spans="1:3" x14ac:dyDescent="0.3">
      <c r="A23">
        <v>22</v>
      </c>
      <c r="B23" s="40" t="s">
        <v>116</v>
      </c>
      <c r="C23" s="40" t="s">
        <v>115</v>
      </c>
    </row>
    <row r="24" spans="1:3" x14ac:dyDescent="0.3">
      <c r="A24">
        <v>23</v>
      </c>
      <c r="B24" s="40" t="s">
        <v>118</v>
      </c>
      <c r="C24" s="40" t="s">
        <v>119</v>
      </c>
    </row>
    <row r="25" spans="1:3" x14ac:dyDescent="0.3">
      <c r="A25">
        <v>24</v>
      </c>
      <c r="B25" s="40" t="s">
        <v>122</v>
      </c>
      <c r="C25" s="40" t="s">
        <v>123</v>
      </c>
    </row>
    <row r="26" spans="1:3" x14ac:dyDescent="0.3">
      <c r="A26">
        <v>25</v>
      </c>
      <c r="B26" s="40" t="s">
        <v>124</v>
      </c>
      <c r="C26" s="40" t="s">
        <v>125</v>
      </c>
    </row>
    <row r="27" spans="1:3" x14ac:dyDescent="0.3">
      <c r="A27">
        <v>26</v>
      </c>
      <c r="B27" s="40" t="s">
        <v>126</v>
      </c>
      <c r="C27" s="40" t="s">
        <v>127</v>
      </c>
    </row>
    <row r="28" spans="1:3" x14ac:dyDescent="0.3">
      <c r="A28">
        <v>27</v>
      </c>
      <c r="B28" s="40" t="s">
        <v>128</v>
      </c>
      <c r="C28" s="40" t="s">
        <v>129</v>
      </c>
    </row>
    <row r="29" spans="1:3" x14ac:dyDescent="0.3">
      <c r="A29">
        <v>28</v>
      </c>
      <c r="B29" s="40" t="s">
        <v>130</v>
      </c>
      <c r="C29" s="40" t="s">
        <v>131</v>
      </c>
    </row>
    <row r="30" spans="1:3" x14ac:dyDescent="0.3">
      <c r="A30">
        <v>29</v>
      </c>
      <c r="B30" s="40" t="s">
        <v>132</v>
      </c>
      <c r="C30" s="40" t="s">
        <v>133</v>
      </c>
    </row>
    <row r="31" spans="1:3" x14ac:dyDescent="0.3">
      <c r="A31">
        <v>30</v>
      </c>
      <c r="B31" s="40" t="s">
        <v>134</v>
      </c>
      <c r="C31" s="40" t="s">
        <v>135</v>
      </c>
    </row>
    <row r="32" spans="1:3" x14ac:dyDescent="0.3">
      <c r="A32">
        <v>31</v>
      </c>
      <c r="B32" s="40" t="s">
        <v>136</v>
      </c>
      <c r="C32" s="40" t="s">
        <v>137</v>
      </c>
    </row>
    <row r="33" spans="1:3" x14ac:dyDescent="0.3">
      <c r="A33">
        <v>32</v>
      </c>
      <c r="B33" s="40" t="s">
        <v>138</v>
      </c>
      <c r="C33" s="40" t="s">
        <v>139</v>
      </c>
    </row>
    <row r="34" spans="1:3" x14ac:dyDescent="0.3">
      <c r="A34">
        <v>33</v>
      </c>
      <c r="B34" s="40" t="s">
        <v>147</v>
      </c>
      <c r="C34" s="40" t="s">
        <v>148</v>
      </c>
    </row>
    <row r="35" spans="1:3" x14ac:dyDescent="0.3">
      <c r="A35">
        <v>34</v>
      </c>
      <c r="B35" s="40" t="s">
        <v>150</v>
      </c>
      <c r="C35" s="40" t="s">
        <v>151</v>
      </c>
    </row>
    <row r="36" spans="1:3" x14ac:dyDescent="0.3">
      <c r="A36">
        <v>35</v>
      </c>
      <c r="B36" s="40" t="s">
        <v>152</v>
      </c>
      <c r="C36" s="40" t="s">
        <v>153</v>
      </c>
    </row>
    <row r="37" spans="1:3" x14ac:dyDescent="0.3">
      <c r="A37">
        <v>36</v>
      </c>
      <c r="B37" s="40" t="s">
        <v>121</v>
      </c>
      <c r="C37" s="40" t="s">
        <v>97</v>
      </c>
    </row>
    <row r="38" spans="1:3" s="40" customFormat="1" x14ac:dyDescent="0.3">
      <c r="A38" s="40">
        <v>37</v>
      </c>
      <c r="B38" s="40" t="s">
        <v>365</v>
      </c>
      <c r="C38" s="40" t="s">
        <v>366</v>
      </c>
    </row>
    <row r="39" spans="1:3" x14ac:dyDescent="0.3">
      <c r="A39">
        <v>38</v>
      </c>
      <c r="B39" s="40" t="s">
        <v>162</v>
      </c>
      <c r="C39" s="40" t="s">
        <v>163</v>
      </c>
    </row>
    <row r="40" spans="1:3" x14ac:dyDescent="0.3">
      <c r="A40">
        <v>39</v>
      </c>
      <c r="B40" s="40" t="s">
        <v>169</v>
      </c>
      <c r="C40" s="40" t="s">
        <v>170</v>
      </c>
    </row>
    <row r="41" spans="1:3" x14ac:dyDescent="0.3">
      <c r="A41">
        <v>40</v>
      </c>
      <c r="B41" s="40" t="s">
        <v>171</v>
      </c>
      <c r="C41" s="40" t="s">
        <v>172</v>
      </c>
    </row>
    <row r="42" spans="1:3" x14ac:dyDescent="0.3">
      <c r="A42">
        <v>41</v>
      </c>
      <c r="B42" s="40" t="s">
        <v>174</v>
      </c>
      <c r="C42" s="40" t="s">
        <v>173</v>
      </c>
    </row>
    <row r="43" spans="1:3" x14ac:dyDescent="0.3">
      <c r="A43">
        <v>42</v>
      </c>
      <c r="B43" s="40" t="s">
        <v>178</v>
      </c>
      <c r="C43" s="40" t="s">
        <v>190</v>
      </c>
    </row>
    <row r="44" spans="1:3" x14ac:dyDescent="0.3">
      <c r="A44">
        <v>43</v>
      </c>
      <c r="B44" s="40" t="s">
        <v>195</v>
      </c>
      <c r="C44" s="40" t="s">
        <v>196</v>
      </c>
    </row>
    <row r="45" spans="1:3" x14ac:dyDescent="0.3">
      <c r="A45">
        <v>44</v>
      </c>
      <c r="B45" s="40" t="s">
        <v>199</v>
      </c>
      <c r="C45" s="40" t="s">
        <v>200</v>
      </c>
    </row>
    <row r="46" spans="1:3" x14ac:dyDescent="0.3">
      <c r="A46">
        <v>45</v>
      </c>
      <c r="B46" s="40" t="s">
        <v>203</v>
      </c>
      <c r="C46" s="40" t="s">
        <v>219</v>
      </c>
    </row>
    <row r="47" spans="1:3" x14ac:dyDescent="0.3">
      <c r="A47">
        <v>46</v>
      </c>
      <c r="B47" s="40" t="s">
        <v>208</v>
      </c>
      <c r="C47" s="40" t="s">
        <v>204</v>
      </c>
    </row>
    <row r="48" spans="1:3" x14ac:dyDescent="0.3">
      <c r="A48">
        <v>47</v>
      </c>
      <c r="B48" s="40" t="s">
        <v>206</v>
      </c>
      <c r="C48" s="40" t="s">
        <v>207</v>
      </c>
    </row>
    <row r="49" spans="1:3" x14ac:dyDescent="0.3">
      <c r="A49">
        <v>48</v>
      </c>
      <c r="B49" s="40" t="s">
        <v>213</v>
      </c>
      <c r="C49" s="40" t="s">
        <v>214</v>
      </c>
    </row>
    <row r="50" spans="1:3" x14ac:dyDescent="0.3">
      <c r="A50">
        <v>49</v>
      </c>
      <c r="B50" s="40" t="s">
        <v>227</v>
      </c>
      <c r="C50" s="40" t="s">
        <v>228</v>
      </c>
    </row>
    <row r="51" spans="1:3" x14ac:dyDescent="0.3">
      <c r="A51">
        <v>50</v>
      </c>
      <c r="B51" s="40" t="s">
        <v>229</v>
      </c>
      <c r="C51" s="40" t="s">
        <v>230</v>
      </c>
    </row>
    <row r="52" spans="1:3" x14ac:dyDescent="0.3">
      <c r="A52">
        <v>51</v>
      </c>
      <c r="B52" s="40" t="s">
        <v>231</v>
      </c>
      <c r="C52" s="40" t="s">
        <v>232</v>
      </c>
    </row>
    <row r="53" spans="1:3" x14ac:dyDescent="0.3">
      <c r="A53">
        <v>52</v>
      </c>
      <c r="B53" s="40" t="s">
        <v>233</v>
      </c>
      <c r="C53" s="40" t="s">
        <v>234</v>
      </c>
    </row>
    <row r="54" spans="1:3" x14ac:dyDescent="0.3">
      <c r="A54">
        <v>53</v>
      </c>
      <c r="B54" s="40" t="s">
        <v>235</v>
      </c>
      <c r="C54" s="40" t="s">
        <v>236</v>
      </c>
    </row>
    <row r="55" spans="1:3" x14ac:dyDescent="0.3">
      <c r="A55">
        <v>54</v>
      </c>
      <c r="B55" s="40" t="s">
        <v>237</v>
      </c>
      <c r="C55" s="40" t="s">
        <v>238</v>
      </c>
    </row>
    <row r="56" spans="1:3" x14ac:dyDescent="0.3">
      <c r="A56">
        <v>55</v>
      </c>
      <c r="B56" s="40" t="s">
        <v>239</v>
      </c>
      <c r="C56" s="40" t="s">
        <v>240</v>
      </c>
    </row>
    <row r="57" spans="1:3" x14ac:dyDescent="0.3">
      <c r="A57">
        <v>56</v>
      </c>
      <c r="B57" s="40" t="s">
        <v>50</v>
      </c>
      <c r="C57" s="40" t="s">
        <v>241</v>
      </c>
    </row>
    <row r="58" spans="1:3" x14ac:dyDescent="0.3">
      <c r="A58">
        <v>57</v>
      </c>
      <c r="B58" s="40" t="s">
        <v>242</v>
      </c>
      <c r="C58" s="40" t="s">
        <v>243</v>
      </c>
    </row>
    <row r="59" spans="1:3" x14ac:dyDescent="0.3">
      <c r="A59">
        <v>58</v>
      </c>
      <c r="B59" s="40" t="s">
        <v>244</v>
      </c>
      <c r="C59" s="40" t="s">
        <v>245</v>
      </c>
    </row>
    <row r="60" spans="1:3" x14ac:dyDescent="0.3">
      <c r="A60">
        <v>59</v>
      </c>
      <c r="B60" s="40" t="s">
        <v>246</v>
      </c>
      <c r="C60" s="40" t="s">
        <v>247</v>
      </c>
    </row>
    <row r="61" spans="1:3" x14ac:dyDescent="0.3">
      <c r="A61">
        <v>60</v>
      </c>
      <c r="B61" s="40" t="s">
        <v>248</v>
      </c>
      <c r="C61" s="40" t="s">
        <v>249</v>
      </c>
    </row>
    <row r="62" spans="1:3" x14ac:dyDescent="0.3">
      <c r="A62">
        <v>61</v>
      </c>
      <c r="B62" s="40" t="s">
        <v>250</v>
      </c>
      <c r="C62" s="40" t="s">
        <v>251</v>
      </c>
    </row>
    <row r="63" spans="1:3" x14ac:dyDescent="0.3">
      <c r="A63">
        <v>62</v>
      </c>
      <c r="B63" s="40" t="s">
        <v>252</v>
      </c>
      <c r="C63" s="40" t="s">
        <v>253</v>
      </c>
    </row>
    <row r="64" spans="1:3" x14ac:dyDescent="0.3">
      <c r="A64">
        <v>63</v>
      </c>
      <c r="B64" s="40" t="s">
        <v>254</v>
      </c>
      <c r="C64" s="40" t="s">
        <v>255</v>
      </c>
    </row>
    <row r="65" spans="1:3" x14ac:dyDescent="0.3">
      <c r="A65">
        <v>64</v>
      </c>
      <c r="B65" s="40" t="s">
        <v>256</v>
      </c>
      <c r="C65" s="40" t="s">
        <v>257</v>
      </c>
    </row>
    <row r="66" spans="1:3" x14ac:dyDescent="0.3">
      <c r="A66">
        <v>65</v>
      </c>
      <c r="B66" s="40" t="s">
        <v>267</v>
      </c>
      <c r="C66" s="40" t="s">
        <v>268</v>
      </c>
    </row>
    <row r="67" spans="1:3" x14ac:dyDescent="0.3">
      <c r="A67">
        <v>66</v>
      </c>
      <c r="B67" s="40" t="s">
        <v>269</v>
      </c>
      <c r="C67" s="40" t="s">
        <v>306</v>
      </c>
    </row>
    <row r="68" spans="1:3" x14ac:dyDescent="0.3">
      <c r="A68">
        <v>67</v>
      </c>
      <c r="B68" s="40" t="s">
        <v>262</v>
      </c>
      <c r="C68" s="40" t="s">
        <v>263</v>
      </c>
    </row>
    <row r="69" spans="1:3" x14ac:dyDescent="0.3">
      <c r="A69">
        <v>68</v>
      </c>
      <c r="B69" s="40" t="s">
        <v>272</v>
      </c>
      <c r="C69" s="40" t="s">
        <v>273</v>
      </c>
    </row>
    <row r="70" spans="1:3" x14ac:dyDescent="0.3">
      <c r="A70">
        <v>69</v>
      </c>
      <c r="B70" s="40" t="s">
        <v>274</v>
      </c>
      <c r="C70" s="40" t="s">
        <v>275</v>
      </c>
    </row>
    <row r="71" spans="1:3" x14ac:dyDescent="0.3">
      <c r="A71">
        <v>70</v>
      </c>
      <c r="B71" s="40" t="s">
        <v>276</v>
      </c>
      <c r="C71" s="40" t="s">
        <v>277</v>
      </c>
    </row>
    <row r="72" spans="1:3" x14ac:dyDescent="0.3">
      <c r="A72">
        <v>71</v>
      </c>
      <c r="B72" s="40" t="s">
        <v>278</v>
      </c>
      <c r="C72" s="40" t="s">
        <v>279</v>
      </c>
    </row>
    <row r="73" spans="1:3" x14ac:dyDescent="0.3">
      <c r="A73">
        <v>72</v>
      </c>
      <c r="B73" s="40" t="s">
        <v>280</v>
      </c>
      <c r="C73" s="40" t="s">
        <v>161</v>
      </c>
    </row>
    <row r="74" spans="1:3" x14ac:dyDescent="0.3">
      <c r="A74">
        <v>73</v>
      </c>
      <c r="B74" s="40" t="s">
        <v>281</v>
      </c>
      <c r="C74" s="40" t="s">
        <v>282</v>
      </c>
    </row>
    <row r="75" spans="1:3" x14ac:dyDescent="0.3">
      <c r="A75">
        <v>74</v>
      </c>
      <c r="B75" s="40" t="s">
        <v>283</v>
      </c>
      <c r="C75" s="40" t="s">
        <v>284</v>
      </c>
    </row>
    <row r="76" spans="1:3" x14ac:dyDescent="0.3">
      <c r="A76">
        <v>75</v>
      </c>
      <c r="B76" t="s">
        <v>285</v>
      </c>
      <c r="C76" t="s">
        <v>286</v>
      </c>
    </row>
    <row r="77" spans="1:3" x14ac:dyDescent="0.3">
      <c r="A77">
        <v>76</v>
      </c>
      <c r="B77" t="s">
        <v>307</v>
      </c>
      <c r="C77" t="s">
        <v>308</v>
      </c>
    </row>
    <row r="78" spans="1:3" x14ac:dyDescent="0.3">
      <c r="A78">
        <v>77</v>
      </c>
      <c r="B78" t="s">
        <v>309</v>
      </c>
      <c r="C78" t="s">
        <v>310</v>
      </c>
    </row>
    <row r="79" spans="1:3" x14ac:dyDescent="0.3">
      <c r="A79">
        <v>78</v>
      </c>
      <c r="B79" t="s">
        <v>311</v>
      </c>
      <c r="C79" t="s">
        <v>312</v>
      </c>
    </row>
    <row r="80" spans="1:3" x14ac:dyDescent="0.3">
      <c r="A80">
        <v>79</v>
      </c>
      <c r="B80" t="s">
        <v>313</v>
      </c>
      <c r="C80" t="s">
        <v>314</v>
      </c>
    </row>
    <row r="81" spans="1:3" x14ac:dyDescent="0.3">
      <c r="A81">
        <v>80</v>
      </c>
      <c r="B81" t="s">
        <v>315</v>
      </c>
      <c r="C81" t="s">
        <v>316</v>
      </c>
    </row>
    <row r="82" spans="1:3" x14ac:dyDescent="0.3">
      <c r="A82">
        <v>81</v>
      </c>
      <c r="B82" t="s">
        <v>317</v>
      </c>
      <c r="C82" t="s">
        <v>318</v>
      </c>
    </row>
    <row r="83" spans="1:3" x14ac:dyDescent="0.3">
      <c r="A83">
        <v>82</v>
      </c>
      <c r="B83" t="s">
        <v>319</v>
      </c>
      <c r="C83" t="s">
        <v>320</v>
      </c>
    </row>
    <row r="84" spans="1:3" x14ac:dyDescent="0.3">
      <c r="A84">
        <v>83</v>
      </c>
      <c r="B84" t="s">
        <v>321</v>
      </c>
      <c r="C84" t="s">
        <v>322</v>
      </c>
    </row>
    <row r="85" spans="1:3" x14ac:dyDescent="0.3">
      <c r="A85">
        <v>84</v>
      </c>
      <c r="B85" t="s">
        <v>302</v>
      </c>
      <c r="C85" t="s">
        <v>163</v>
      </c>
    </row>
    <row r="86" spans="1:3" x14ac:dyDescent="0.3">
      <c r="A86">
        <v>85</v>
      </c>
      <c r="B86" t="s">
        <v>323</v>
      </c>
      <c r="C86" t="s">
        <v>324</v>
      </c>
    </row>
    <row r="87" spans="1:3" x14ac:dyDescent="0.3">
      <c r="A87">
        <v>86</v>
      </c>
      <c r="B87" t="s">
        <v>325</v>
      </c>
      <c r="C87" t="s">
        <v>326</v>
      </c>
    </row>
    <row r="88" spans="1:3" x14ac:dyDescent="0.3">
      <c r="A88">
        <v>87</v>
      </c>
      <c r="B88" t="s">
        <v>327</v>
      </c>
      <c r="C88" t="s">
        <v>328</v>
      </c>
    </row>
    <row r="89" spans="1:3" x14ac:dyDescent="0.3">
      <c r="A89">
        <v>88</v>
      </c>
      <c r="B89" t="s">
        <v>329</v>
      </c>
      <c r="C89" t="s">
        <v>330</v>
      </c>
    </row>
    <row r="90" spans="1:3" x14ac:dyDescent="0.3">
      <c r="A90">
        <v>89</v>
      </c>
      <c r="B90" t="s">
        <v>331</v>
      </c>
      <c r="C90" t="s">
        <v>153</v>
      </c>
    </row>
    <row r="91" spans="1:3" x14ac:dyDescent="0.3">
      <c r="A91">
        <v>90</v>
      </c>
      <c r="B91" t="s">
        <v>332</v>
      </c>
      <c r="C91" t="s">
        <v>333</v>
      </c>
    </row>
    <row r="92" spans="1:3" x14ac:dyDescent="0.3">
      <c r="A92">
        <v>91</v>
      </c>
      <c r="B92" t="s">
        <v>334</v>
      </c>
      <c r="C92" t="s">
        <v>335</v>
      </c>
    </row>
    <row r="93" spans="1:3" x14ac:dyDescent="0.3">
      <c r="A93">
        <v>92</v>
      </c>
      <c r="B93" t="s">
        <v>336</v>
      </c>
      <c r="C93" t="s">
        <v>337</v>
      </c>
    </row>
    <row r="94" spans="1:3" x14ac:dyDescent="0.3">
      <c r="A94">
        <v>93</v>
      </c>
      <c r="B94" t="s">
        <v>338</v>
      </c>
      <c r="C94" t="s">
        <v>339</v>
      </c>
    </row>
    <row r="95" spans="1:3" x14ac:dyDescent="0.3">
      <c r="A95">
        <v>94</v>
      </c>
      <c r="B95" t="s">
        <v>340</v>
      </c>
      <c r="C95" t="s">
        <v>341</v>
      </c>
    </row>
    <row r="96" spans="1:3" x14ac:dyDescent="0.3">
      <c r="A96">
        <v>95</v>
      </c>
      <c r="B96" t="s">
        <v>342</v>
      </c>
      <c r="C96" t="s">
        <v>343</v>
      </c>
    </row>
    <row r="97" spans="1:3" x14ac:dyDescent="0.3">
      <c r="A97">
        <v>96</v>
      </c>
      <c r="B97" t="s">
        <v>344</v>
      </c>
      <c r="C97" t="s">
        <v>345</v>
      </c>
    </row>
    <row r="98" spans="1:3" x14ac:dyDescent="0.3">
      <c r="A98">
        <v>97</v>
      </c>
      <c r="B98" t="s">
        <v>346</v>
      </c>
      <c r="C98" t="s">
        <v>347</v>
      </c>
    </row>
    <row r="99" spans="1:3" x14ac:dyDescent="0.3">
      <c r="A99">
        <v>98</v>
      </c>
      <c r="B99" t="s">
        <v>348</v>
      </c>
      <c r="C99" t="s">
        <v>349</v>
      </c>
    </row>
    <row r="100" spans="1:3" x14ac:dyDescent="0.3">
      <c r="A100">
        <v>99</v>
      </c>
      <c r="B100" t="s">
        <v>350</v>
      </c>
      <c r="C100" t="s">
        <v>351</v>
      </c>
    </row>
    <row r="101" spans="1:3" x14ac:dyDescent="0.3">
      <c r="A101">
        <v>100</v>
      </c>
      <c r="B101" t="s">
        <v>352</v>
      </c>
      <c r="C101" t="s">
        <v>353</v>
      </c>
    </row>
    <row r="102" spans="1:3" x14ac:dyDescent="0.3">
      <c r="A102">
        <v>101</v>
      </c>
      <c r="B102" t="s">
        <v>354</v>
      </c>
      <c r="C102" t="s">
        <v>355</v>
      </c>
    </row>
    <row r="103" spans="1:3" x14ac:dyDescent="0.3">
      <c r="A103">
        <v>102</v>
      </c>
      <c r="B103" t="s">
        <v>356</v>
      </c>
      <c r="C103" t="s">
        <v>357</v>
      </c>
    </row>
    <row r="104" spans="1:3" x14ac:dyDescent="0.3">
      <c r="A104">
        <v>103</v>
      </c>
      <c r="B104" t="s">
        <v>358</v>
      </c>
      <c r="C104" t="s">
        <v>359</v>
      </c>
    </row>
    <row r="105" spans="1:3" x14ac:dyDescent="0.3">
      <c r="A105">
        <v>104</v>
      </c>
      <c r="B105" t="s">
        <v>360</v>
      </c>
      <c r="C105" t="s">
        <v>361</v>
      </c>
    </row>
    <row r="106" spans="1:3" x14ac:dyDescent="0.3">
      <c r="A106">
        <v>105</v>
      </c>
      <c r="B106" t="s">
        <v>362</v>
      </c>
      <c r="C106" t="s">
        <v>363</v>
      </c>
    </row>
    <row r="107" spans="1:3" x14ac:dyDescent="0.3">
      <c r="A107">
        <v>106</v>
      </c>
      <c r="B107" t="s">
        <v>364</v>
      </c>
      <c r="C107" t="s">
        <v>369</v>
      </c>
    </row>
    <row r="108" spans="1:3" x14ac:dyDescent="0.3">
      <c r="A108">
        <v>107</v>
      </c>
      <c r="B108" t="s">
        <v>377</v>
      </c>
      <c r="C108" t="s">
        <v>378</v>
      </c>
    </row>
    <row r="109" spans="1:3" x14ac:dyDescent="0.3">
      <c r="A109">
        <v>108</v>
      </c>
      <c r="B109" t="s">
        <v>379</v>
      </c>
      <c r="C109" t="s">
        <v>380</v>
      </c>
    </row>
    <row r="110" spans="1:3" x14ac:dyDescent="0.3">
      <c r="A110">
        <v>109</v>
      </c>
      <c r="B110" t="s">
        <v>381</v>
      </c>
      <c r="C110" t="s">
        <v>382</v>
      </c>
    </row>
    <row r="111" spans="1:3" x14ac:dyDescent="0.3">
      <c r="A111">
        <v>110</v>
      </c>
      <c r="B111" t="s">
        <v>383</v>
      </c>
      <c r="C111" t="s">
        <v>385</v>
      </c>
    </row>
    <row r="112" spans="1:3" x14ac:dyDescent="0.3">
      <c r="A112">
        <v>111</v>
      </c>
      <c r="B112" t="s">
        <v>406</v>
      </c>
      <c r="C112" t="s">
        <v>407</v>
      </c>
    </row>
    <row r="113" spans="1:3" x14ac:dyDescent="0.3">
      <c r="A113">
        <v>112</v>
      </c>
      <c r="B113" t="s">
        <v>408</v>
      </c>
      <c r="C113" t="s">
        <v>409</v>
      </c>
    </row>
    <row r="114" spans="1:3" x14ac:dyDescent="0.3">
      <c r="A114">
        <v>113</v>
      </c>
      <c r="B114" t="s">
        <v>384</v>
      </c>
      <c r="C114" t="s">
        <v>385</v>
      </c>
    </row>
  </sheetData>
  <autoFilter ref="C1:C107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2018-01-10T11:20:17Z</dcterms:modified>
</cp:coreProperties>
</file>