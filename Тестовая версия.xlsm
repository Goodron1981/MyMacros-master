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BufferList" sheetId="11" state="hidden" r:id="rId3"/>
    <sheet name="Отложенные" sheetId="10" r:id="rId4"/>
    <sheet name="Исключения" sheetId="8" r:id="rId5"/>
    <sheet name="Ключи" sheetId="9"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<sst xmlns="http://schemas.openxmlformats.org/spreadsheetml/2006/main" count="166" uniqueCount="156">
  <si>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</si>
  <si>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</si>
  <si>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</si>
  <si>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</si>
  <si>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</si>
  <si>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</si>
  <si>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</si>
  <si>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</si>
  <si>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</si>
  <si>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</si>
  <si>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</si>
  <si>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</si>
  <si>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</si>
  <si>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</si>
  <si>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</si>
  <si>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</si>
  <si>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</si>
  <si>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</si>
  <si>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</si>
  <si>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</si>
  <si>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</si>
  <si>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</si>
  <si>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</si>
  <si>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</si>
  <si>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</si>
  <si>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</si>
  <si>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</si>
  <si>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</si>
  <si>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</si>
  <si>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</si>
  <si>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</si>
  <si>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</si>
  <si>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</si>
  <si>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</si>
  <si>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</si>
  <si>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</si>
  <si>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</si>
  <si>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</si>
  <si>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</si>
  <si>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</si>
  <si>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</si>
  <si>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</si>
  <si>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</si>
  <si>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видео под названием</t>
  </si>
  <si>
    <t>Картинка</t>
  </si>
  <si>
    <t>Пользователь</t>
  </si>
  <si>
    <t>Конечный текст</t>
  </si>
  <si>
    <t>Дата соз. Заявки</t>
  </si>
  <si>
    <t>Площадка</t>
  </si>
  <si>
    <t>интеренет-магазин</t>
  </si>
  <si>
    <t>Отбор по сайту</t>
  </si>
  <si>
    <t>компан</t>
  </si>
  <si>
    <t xml:space="preserve">наш </t>
  </si>
  <si>
    <t>Статус</t>
  </si>
  <si>
    <t>Статус заявки</t>
  </si>
  <si>
    <t>реклама</t>
  </si>
  <si>
    <t>спонсор</t>
  </si>
  <si>
    <t>Статус выгружаемых заявок</t>
  </si>
  <si>
    <t>рассказывают</t>
  </si>
  <si>
    <t>что говорит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</si>
  <si>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</si>
  <si>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</si>
  <si>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</si>
  <si>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</si>
  <si>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</si>
  <si>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</si>
  <si>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</si>
  <si>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</si>
  <si>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</si>
  <si>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</si>
  <si>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</si>
  <si>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</si>
  <si>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</si>
  <si>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</si>
  <si>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</si>
  <si>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</si>
  <si>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</si>
  <si>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</si>
  <si>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</si>
  <si>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</si>
  <si>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</si>
  <si>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</si>
  <si>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</si>
  <si>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</si>
  <si>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</si>
  <si>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</si>
  <si>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</si>
  <si>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</si>
  <si>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</si>
  <si>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</si>
  <si>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</si>
  <si>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</si>
  <si>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</si>
  <si>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</si>
  <si>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</si>
  <si>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 жк </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</si>
  <si>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</si>
  <si>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</si>
  <si>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</si>
  <si>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</si>
  <si>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</si>
  <si>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</si>
  <si>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</si>
  <si>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</si>
  <si>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</si>
  <si>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</si>
  <si>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</si>
  <si>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</si>
  <si>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</si>
  <si>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</si>
  <si>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</si>
  <si>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</si>
  <si>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Авторизация: Антон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</si>
  <si>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</si>
  <si>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</si>
  <si>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</si>
  <si>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</si>
  <si>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</si>
  <si>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</si>
  <si>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</si>
  <si>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</si>
  <si>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</si>
  <si>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</si>
  <si>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</si>
  <si>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OK</t>
  </si>
  <si>
    <t>Заявки в работе</t>
  </si>
  <si>
    <t>Максим</t>
  </si>
  <si>
    <t>d5cc2917-2128-4f9d-a58d-b5d761b71b57</t>
  </si>
  <si>
    <t>Postovoi</t>
  </si>
  <si>
    <t>&lt;a href="https://english.com.ua/" title="курсы английского"&gt;курсы английского&lt;/a&gt;</t>
  </si>
  <si>
    <t>Постовой должен быть окружен тематическим текстом
Только один постовой на страницу</t>
  </si>
  <si>
    <t>books.openlib.org.ua</t>
  </si>
  <si>
    <t>2017-11-28T17:21:15</t>
  </si>
  <si>
    <t>2017-11-28T17:24:14</t>
  </si>
  <si>
    <t>2017-12-05T17:24:14</t>
  </si>
  <si>
    <t>https://english.com.ua/</t>
  </si>
  <si>
    <t>В работе</t>
  </si>
  <si>
    <t>курсы английского киев для взрослых и детей image education</t>
  </si>
  <si>
    <t>Keywords с сайта.</t>
  </si>
  <si>
    <t>NoK</t>
  </si>
  <si>
    <t>английск</t>
  </si>
  <si>
    <t>Как быстро выучить английский.</t>
  </si>
  <si>
    <t>жк</t>
  </si>
  <si>
    <t>шин</t>
  </si>
  <si>
    <t>YES</t>
  </si>
  <si>
    <t>https://kp.ua/press/6184-onlain-konferentsyia-kak-bystro-vyuchyt-anhlyiskyi-yazykvydeo</t>
  </si>
  <si>
    <t>http://4damki.ru/interesnoe/kak-vyiuchit-angliyskiy-yazyik-doma-s-nulya/</t>
  </si>
  <si>
    <t>http://esl-success.com/effektivnoe-izuchenie-anglijskogo-yazyka/sekrety-poliglotov-kak-vyuchit-anglijskij-yazyk-bystro</t>
  </si>
  <si>
    <t xml:space="preserve"> _x000D_
Войти _x000D_
_x000D_
_x000D_
  _x000D_
Войти _x000D_
_x000D_
  _x000D_
Reset Password _x000D_
Register _x000D_
 _x000D_
 _x000D_
Главная_x000D_
Наши программы_x000D_
Бесплатные уроки_x000D_
Блог_x000D_
Вебинары_x000D_
Отзывы_x000D_
Магазин_x000D_
Об авторе_x000D_
Контакты_x000D_
ГлавнаяНаши программыБесплатные урокиБлогВебинарыОтзывыМагазинОб автореКонтакты   _x000D_
Полезное_x000D_
Секреты полиглотов: как выучить английский язык быстро?_x000D_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Конечно, добиться успеха можно и за пару месяцев, как это делают полиглоты, но чтобы уверенно общаться на выученном языке до конца жизни, необходимо будет все время практиковаться и совершенствовать свои навыки._x000D_
У меня для вас прекрасные новости: научившись бегло разговаривать на английском однажды, вы сохраните этот навык на всю жизнь. _x000D_
Учите нужные слова и делайте это правильно_x000D_
Чтобы разговаривать на английском, вам не нужно учить все слова. Изучая разговорный английский язык, важно уделять больше внимания популярным темам, то есть тем, которые вы будете потом использовать в диалогах. Выберите для себя 15-20 тем, включающие около 120 слов, и посвятите ровно неделю на изучение каждой темы. Такой ритм обучения вполне приемлем, он совершенно не утомляет, а рывок, который вы совершите в итоге, сыграет огромную роль в дальнейшем освоении английского языка. Мои студенты хорошо знают, что учить английский нужно по темам, и эта методика помогает им самостоятельно осваивать уровень за уровнем, постоянно улучшая свои навыки. Хотите, чтобы уроки английского приносили желаемую пользу? Тогда учите только те слова, которые пригодятся вам в жизни, и учите их по темам, не перепрыгивая к следующему уроку до тех пор, пока не освоите предыдущий. Настоящие полиглоты поступают именно так, а вы?_x000D_
_x000D_
Ставьте перед собой реальные цели _x000D_
_x000D_
Что вы имеете в виду, когда говорите “Я хочу выучить английский?”. Какого уровня вы желаете достичь за ближайшие несколько месяцев? И понимаете ли вы, что заговорить на уровне носителей уже здесь и сейчас вам не у_x000D_
дастся? Всегда нужно ставить перед собой реальную цель, которая будет измерима и ограничена по времени. Например, одна тема – одна неделя, и не более. Каждый урок английского языка будет вас к ней приближать, но лишь при условии, что эти уроки будут регулярными (желательно ежедневными). Обязательно определите свой уровень знаний, и отслеживайте приближение к следующему. Поставьте чёткое временное ограничение на переход от уровня beginner до уровня intermediate. Например, прохождения каждого уровня за 3-4 месяца!_x000D_
_x000D_
Разговорная практика английского_x000D_
Очень важный элемент освоения любого языка – это разговорная практика. Чтобы заговорить на английском уверено, нужно практиковаться каждый день. Полиглоты, изучая языки, уделяют не менее часа каждый день разговорам на иностранном, используя максимальный набор слов. Практикуйтесь в диалогах с друзьями, преподавателем, одногруппниками и носителями языка, знакомясь в социальных сетях. Общайтесь о ваших увлечениях и хобби, обсуждайте профессии, погоду, кулинарные предпочтения, события, новости и любые разговорные темы. Очень важно, что после регулярных тренировок разговорной речи вы начнете интуитивно понимать грамматические правила, и вам не придется зубрить грамматику. Когда вы перейдете на более продвинутый уровень, вы начнете получать настоящий кайф от общения. Однако, чтобы добиться идеального произношения и пополнить свой словарный запас красивыми выражениями, одного общения будет мало. Читайте блоги, зарубежную прессу, полезные статьи на английском и даже британские анекдоты. В таких источниках как раз и можно отыскать редкие, красивые выражения. _x000D_
Главные привычки полиглотов_x000D_
Бэнни Льюис, один из самых известных полиглотов, рассказывает свою историю:_x000D_
Мне никак не удавалось освоить испанский, поскольку я был жутким перфекционистом. Я очень остро реагировал на собственные ошибки, и это мешало мне двигаться дальше. Такой подход очень мешал обучению, и я решил научиться извлекать пользу из ошибок, а не бояться их. Даже если вы знаете только основы языка, вы все равно можете передать основную мысль собеседнику, даже если употребите неточную грамматическую конструкцию. В конце концов, вы будете получать драгоценный опыт, и научитесь говорить без ошибок, постоянно практикуясь. Делайте, по крайней мере, двести ошибок в сутки, главное – не останавливайтесь!_x000D_
Как правильно учить английский с нуля знает Лука Лампариелло, который увлекается изучением иностранных языков уже более 20 лет . Его главный принцип и привычка – это систематичность занятий. Независимо от того, какой метод вы используете, вы просто обязаны уделять английскому немного времени каждый день, только так вы станете успешным в своем деле, – рекомендует Лука._x000D_
Сюзанна Зарайски, которая также является одним из известных полиглотов современности, делится своей привычкой:_x000D_
Изучая испанский, португальский и  хорватский языки, я постоянно окружала себя музыкой, слушая радио или подкасты на этих языках. Я потратила немного времени, чтобы отыскать в Интернете подходящие источники, и с тех пор музыка – один из ключевых моментов моего обучения. Я на собственном опыте убедилась, что музыка активизирует больше участков мозга, чем простая речь. Просто найдите подходящие композиции, где исполнители максимально отчетливо произносят слова, и наслаждайтесь прослушиванием, параллельно изучая английский с нуля._x000D_
Желая выучить несколько языков, полиглоты как следует осваивают один язык, чтобы уверенно говорить на нем, и лишь потом переходят к следующему. Используйте это правило, осваивая английский язык, переходя от темы к теме. Старайтесь максимально использовать любой шанс попрактиковать язык, и уделяйте урокам английского языка хотя бы по часу в день. Обязательно наблюдайте за иностранцами, пытаясь копировать их интонации, жестикуляцию и ритм речи. Это очень важно, и здорово помогает адаптироваться, сводя на нет национальные отличия._x000D_
_x000D_
 in Полезное_x000D_
английский языксекреты полиглотовуроки английского_x000D_
Комментарии_x000D_
Отменить ответ_x000D_
_x000D_
_x000D_
_x000D_
   _x000D_
_x000D_
Мы в соц.сетях_x000D_
Популярные товары_x000D_
 Курс «50 лучших тем английского языка» (онлайн курс) грн.299 _x000D_
 Онлайн Курс ‘Разговорный Английский за 7 недель’ (Уровень Pre-Intermediate -Пакет ‘Стандарт’ грн.699 _x000D_
Свежие Уроки_x000D_
Как сказать на английском ‘в конце’? Обороты ‘In the end’ vs ‘At the end’_x000D_
Как вы скажете на английском языке «в конце» , например, в таком предложении: «Я […]_x000D_
Как сказать на английском время? Обороты ‘In time’ vs ‘On time’_x000D_
url=»https://app.getresponse.com/view_webform_v2.js?u=7OxD&amp;webforms_id=8091003″ […]_x000D_
Защищено: Экзотические фрукты / Exotic fruits_x000D_
Цитаты нет, потому что запись защищена._x000D_
Защищено: Инструкция «Как работать с уроками?»_x000D_
Цитаты нет, потому что запись защищена._x000D_
Защищено: Ягоды на английском языке / Berries_x000D_
Цитаты нет, потому что запись защищена._x000D_
Интеллектуальные права и зоны ответственности_x000D_
Главная_x000D_
Home_x000D_
Об авторе_x000D_
Отзывы_x000D_
Контакты_x000D_
 _x000D_
error: Content is protected !!</t>
  </si>
  <si>
    <t xml:space="preserve">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Конечно, добиться успеха можно и за пару месяцев, как это делают полиглоты, но чтобы уверенно общаться на выученном языке до конца жизни, необходимо будет все время практиковаться и совершенствовать свои навыки._x000D_ Как правильно учить английский с нуля знает Лука Лампариелло, который увлекается изучением иностранных языков уже более 20 лет . Его главный принцип и привычка – это систематичность занятий. Независимо от того, какой метод вы используете, вы просто обязаны уделять английскому немного времени каждый день, только так вы станете успешным в своем деле, – рекомендует Лука._x000D_ Изучая испанский, португальский и  хорватский языки, я постоянно окружала себя музыкой, слушая радио или подкасты на этих языках. Я потратила немного времени, чтобы отыскать в Интернете подходящие источники, и с тех пор музыка – один из ключевых моментов моего обучения. Я на собственном опыте убедилась, что музыка активизирует больше участков мозга, чем простая речь. Просто найдите подходящие композиции, где исполнители максимально отчетливо произносят слова, и наслаждайтесь прослушиванием, параллельно изучая английский с нуля._x000D_ Желая выучить несколько языков, полиглоты как следует осваивают один язык, чтобы уверенно говорить на нем, и лишь потом переходят к следующему. Используйте это правило, осваивая английский язык, переходя от темы к теме. Старайтесь максимально использовать любой шанс попрактиковать язык, и уделяйте урокам английского языка хотя бы по часу в день. Обязательно наблюдайте за иностранцами, пытаясь копировать их интонации, жестикуляцию и ритм речи. Это очень важно, и здорово помогает адаптироваться, сводя на нет национальные отличия._x000D_</t>
  </si>
  <si>
    <t xml:space="preserve">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Его главный принцип и привычка – это систематичность занятий. </t>
  </si>
  <si>
    <t xml:space="preserve">Запитуючи себе в черговий раз "Чому я не можу вивчити англійську мову?", багато людей шукають в Інтернеті інформацію про те, як вчать англійську мову поліглоти і ті, кому вдалося вивчити більше 5 мов. У сучасному світі знання кількох мов вже не вважають чимось на зразок феномена, тому секрети поліглотів часто використовуються, щоб ефективно вивчати англійську та інші мови, досягаючи бажаних результатів значно швидше. Використовуючи секрети поліглотів, вивчити будь-яку іноземну мову цілком реально, причому зовсім не обов'язково витрачати на це роки життя. Як поліглоти рекомендують вчити англійську мову? Я багато спілкувалася з людьми, які знають більше 7 мов, і завжди намагалася дізнатися як можна більше їх секретів. Потім я вибирала найважливіше, і, поєднуючи ці знання з власним досвідом, виводила унікальні схеми і стратегії, що дозволяють дійсно швидко вчити англійську. Давайте я розповім вам кілька правил, дотримуючись яких, ви зможете вже за 2-3 місяці домогтися гарних результатів і заговорити англійською впевненіше. Його головний принцип і звичка – це систематичність занять. </t>
  </si>
  <si>
    <t>Як швидко вивчити англійську.</t>
  </si>
  <si>
    <t>[caption id="" align="aligncenter" width="350"]&lt;img src="http://s.vtambove.ru/photos/0/9/9/558cf1636677c_normal.jpg" alt="" width="350" height="300" /&gt; Як швидко вивчити англійську.[/caption]    Запитуючи себе в черговий раз "Чому я не можу вивчити англійську мову?", багато людей шукають в Інтернеті інформацію про те, як вчать англійську мову поліглоти і ті, кому вдалося вивчити більше 5 мов. У сучасному світі знання кількох мов вже не вважають чимось на зразок феномена, тому секрети поліглотів часто використовуються, щоб ефективно вивчати англійську та інші мови, досягаючи бажаних результатів значно швидше. Також ви можете знайти все необхідне на ресурсі &lt;a href="https://english.com.ua/" title="курсы английского"&gt;курсы английского&lt;/a&gt;._x000D_
    Використовуючи секрети поліглотів, вивчити будь-яку іноземну мову цілком реально, причому зовсім не обов'язково витрачати на це роки життя. Як поліглоти рекомендують вчити англійську мову? Я багато спілкувалася з людьми, які знають більше 7 мов, і завжди намагалася дізнатися як можна більше їх секретів. Потім я вибирала найважливіше, і, поєднуючи ці знання з власним досвідом, виводила унікальні схеми і стратегії, що дозволяють дійсно швидко вчити англійську. _x000D_
     Давайте я розповім вам кілька правил, дотримуючись яких, ви зможете вже за 2-3 місяці домогтися гарних результатів і заговорити англійською впевненіше. Його головний принцип і звичка – це систематичність занять.</t>
  </si>
  <si>
    <t>http://books.openlib.org.ua/yak-shvidko-vivchiti-anglijsku-2/</t>
  </si>
  <si>
    <t>https://img1.labirint.ru/books/493851/scrn_big_1.jpg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</si>
</sst>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57">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0" xfId="0" applyAlignment="1">
      <alignment wrapText="1"/>
    </xf>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L34"/>
  <sheetViews>
    <sheetView tabSelected="1" zoomScale="80" zoomScaleNormal="80" workbookViewId="0">
      <selection activeCell="D8" sqref="D8"/>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2" ht="16.5" customHeight="1" thickBot="1" x14ac:dyDescent="0.35">
      <c r="A1" s="53" t="s">
        <v>112</v>
      </c>
      <c r="B1" s="54"/>
      <c r="C1" s="41"/>
      <c r="D1" s="41"/>
      <c r="E1" s="44" t="s">
        <v>57</v>
      </c>
      <c r="F1" s="44" t="s">
        <v>45</v>
      </c>
    </row>
    <row r="2" spans="1:12" ht="15.6" x14ac:dyDescent="0.3">
      <c r="A2" s="46" t="s">
        <v>4</v>
      </c>
      <c r="B2" s="48" t="b">
        <v>1</v>
      </c>
      <c r="C2" s="41"/>
      <c r="D2" s="41"/>
      <c r="E2" s="51" t="s">
        <v>125</v>
      </c>
      <c r="F2" s="45" t="s">
        <v>126</v>
      </c>
    </row>
    <row r="3" spans="1:12" x14ac:dyDescent="0.3">
      <c r="A3" s="46" t="s">
        <v>5</v>
      </c>
      <c r="B3" s="49" t="s">
        <v>127</v>
      </c>
      <c r="C3" s="41"/>
      <c r="D3" s="41"/>
      <c r="E3" s="41"/>
      <c r="F3" s="41"/>
    </row>
    <row r="4" spans="1:12" ht="15" thickBot="1" x14ac:dyDescent="0.35">
      <c r="A4" s="47" t="s">
        <v>113</v>
      </c>
      <c r="B4" s="50">
        <v>43075.647222222222</v>
      </c>
      <c r="C4" s="42"/>
      <c r="D4" s="41"/>
      <c r="E4" s="41"/>
      <c r="F4" s="41"/>
    </row>
    <row r="5" spans="1:12" x14ac:dyDescent="0.3">
      <c r="A5" s="41"/>
      <c r="B5" s="41"/>
      <c r="C5" s="43"/>
      <c r="D5" s="41"/>
      <c r="E5" s="41"/>
      <c r="F5" s="41"/>
    </row>
    <row r="6" spans="1:12" x14ac:dyDescent="0.3">
      <c r="E6" s="41"/>
    </row>
    <row r="7" spans="1:12" x14ac:dyDescent="0.3">
      <c r="A7" s="2" t="s">
        <v>6</v>
      </c>
      <c r="B7" s="1">
        <v>28533550</v>
      </c>
      <c r="C7"/>
      <c r="D7"/>
      <c r="E7"/>
      <c r="F7" s="1"/>
      <c r="G7" s="1"/>
      <c r="H7" s="1"/>
      <c r="I7"/>
      <c r="J7"/>
      <c r="K7"/>
      <c r="L7"/>
    </row>
    <row r="8" spans="1:12" x14ac:dyDescent="0.3">
      <c r="A8" s="2" t="s">
        <v>7</v>
      </c>
      <c r="B8" s="1" t="s">
        <v>128</v>
      </c>
      <c r="C8"/>
      <c r="D8"/>
      <c r="E8"/>
      <c r="F8" s="1"/>
      <c r="G8" s="1"/>
      <c r="H8" s="1"/>
      <c r="I8"/>
      <c r="J8"/>
      <c r="K8"/>
      <c r="L8"/>
    </row>
    <row r="9" spans="1:12" x14ac:dyDescent="0.3">
      <c r="A9" s="2" t="s">
        <v>8</v>
      </c>
      <c r="B9" s="1" t="s">
        <v>129</v>
      </c>
      <c r="C9"/>
      <c r="D9"/>
      <c r="E9"/>
      <c r="F9" s="1"/>
      <c r="G9" s="1"/>
      <c r="H9" s="1"/>
      <c r="I9"/>
      <c r="J9"/>
      <c r="K9"/>
      <c r="L9"/>
    </row>
    <row r="10" spans="1:12" x14ac:dyDescent="0.3">
      <c r="A10" s="2" t="s">
        <v>9</v>
      </c>
      <c r="B10" s="1" t="s">
        <v>130</v>
      </c>
      <c r="C10"/>
      <c r="D10"/>
      <c r="E10"/>
      <c r="F10" s="1"/>
      <c r="G10" s="1"/>
      <c r="H10" s="1"/>
      <c r="I10"/>
      <c r="J10"/>
      <c r="K10"/>
      <c r="L10"/>
    </row>
    <row r="11" spans="1:12" x14ac:dyDescent="0.3">
      <c r="A11" s="2" t="s">
        <v>10</v>
      </c>
      <c r="B11" s="1" t="s">
        <v>131</v>
      </c>
      <c r="C11"/>
      <c r="D11"/>
      <c r="E11"/>
      <c r="F11" s="1"/>
      <c r="G11" s="1"/>
      <c r="H11" s="1"/>
      <c r="I11"/>
      <c r="J11"/>
      <c r="K11"/>
      <c r="L11"/>
    </row>
    <row r="12" spans="1:12" x14ac:dyDescent="0.3">
      <c r="A12" s="2" t="s">
        <v>11</v>
      </c>
      <c r="B12" s="1"/>
      <c r="C12"/>
      <c r="D12"/>
      <c r="E12"/>
      <c r="F12" s="1"/>
      <c r="G12" s="1"/>
      <c r="H12" s="1"/>
      <c r="I12"/>
      <c r="J12"/>
      <c r="K12"/>
      <c r="L12"/>
    </row>
    <row r="13" spans="1:12" x14ac:dyDescent="0.3">
      <c r="A13" s="2" t="s">
        <v>12</v>
      </c>
      <c r="B13" s="1">
        <v>79</v>
      </c>
      <c r="C13"/>
      <c r="D13"/>
      <c r="E13"/>
      <c r="F13" s="1"/>
      <c r="G13" s="1"/>
      <c r="H13" s="1"/>
      <c r="I13"/>
      <c r="J13"/>
      <c r="K13"/>
      <c r="L13"/>
    </row>
    <row r="14" spans="1:12" x14ac:dyDescent="0.3">
      <c r="A14" s="2" t="s">
        <v>13</v>
      </c>
      <c r="B14" s="1" t="s">
        <v>132</v>
      </c>
      <c r="C14"/>
      <c r="D14"/>
      <c r="E14"/>
      <c r="F14" s="1"/>
      <c r="G14" s="1"/>
      <c r="H14" s="1"/>
      <c r="I14"/>
      <c r="J14"/>
      <c r="K14"/>
      <c r="L14"/>
    </row>
    <row r="15" spans="1:12" x14ac:dyDescent="0.3">
      <c r="A15" s="2" t="s">
        <v>14</v>
      </c>
      <c r="B15" s="1" t="s">
        <v>133</v>
      </c>
      <c r="C15"/>
      <c r="D15"/>
      <c r="E15"/>
      <c r="F15" s="1"/>
      <c r="G15" s="1"/>
      <c r="H15" s="1"/>
      <c r="I15"/>
      <c r="J15"/>
      <c r="K15"/>
      <c r="L15"/>
    </row>
    <row r="16" spans="1:12" x14ac:dyDescent="0.3">
      <c r="A16" s="2" t="s">
        <v>15</v>
      </c>
      <c r="B16" s="1"/>
      <c r="C16"/>
      <c r="D16"/>
      <c r="E16"/>
      <c r="F16" s="1"/>
      <c r="G16" s="1"/>
      <c r="H16" s="1"/>
      <c r="I16"/>
      <c r="J16"/>
      <c r="K16"/>
      <c r="L16"/>
    </row>
    <row r="17" spans="1:12" x14ac:dyDescent="0.3">
      <c r="A17" s="2" t="s">
        <v>16</v>
      </c>
      <c r="B17" s="1"/>
      <c r="C17"/>
      <c r="D17"/>
      <c r="E17"/>
      <c r="F17" s="1"/>
      <c r="G17" s="1"/>
      <c r="H17" s="1"/>
      <c r="I17"/>
      <c r="J17"/>
      <c r="K17"/>
      <c r="L17"/>
    </row>
    <row r="18" spans="1:12" x14ac:dyDescent="0.3">
      <c r="A18" s="2" t="s">
        <v>17</v>
      </c>
      <c r="B18" s="1"/>
      <c r="C18"/>
      <c r="D18"/>
      <c r="E18"/>
      <c r="F18" s="1"/>
      <c r="G18" s="1"/>
      <c r="H18" s="1"/>
      <c r="I18"/>
      <c r="J18"/>
      <c r="K18"/>
      <c r="L18"/>
    </row>
    <row r="19" spans="1:12" x14ac:dyDescent="0.3">
      <c r="A19" s="2" t="s">
        <v>18</v>
      </c>
      <c r="B19" s="1">
        <v>0</v>
      </c>
      <c r="C19"/>
      <c r="D19"/>
      <c r="E19"/>
      <c r="F19" s="1"/>
      <c r="G19" s="1"/>
      <c r="H19" s="1"/>
      <c r="I19"/>
      <c r="J19"/>
      <c r="K19"/>
      <c r="L19"/>
    </row>
    <row r="20" spans="1:12" x14ac:dyDescent="0.3">
      <c r="A20" s="2" t="s">
        <v>19</v>
      </c>
      <c r="B20" s="1">
        <v>0</v>
      </c>
      <c r="C20"/>
      <c r="D20"/>
      <c r="E20"/>
      <c r="F20" s="1"/>
      <c r="G20" s="1"/>
      <c r="H20" s="1"/>
      <c r="I20"/>
      <c r="J20"/>
      <c r="K20"/>
      <c r="L20"/>
    </row>
    <row r="21" spans="1:12" x14ac:dyDescent="0.3">
      <c r="A21" s="2" t="s">
        <v>20</v>
      </c>
      <c r="B21" s="1" t="s">
        <v>134</v>
      </c>
      <c r="C21"/>
      <c r="D21"/>
      <c r="E21"/>
      <c r="F21" s="1"/>
      <c r="G21" s="1"/>
      <c r="H21" s="1"/>
      <c r="I21"/>
      <c r="J21"/>
      <c r="K21"/>
      <c r="L21"/>
    </row>
    <row r="22" spans="1:12" x14ac:dyDescent="0.3">
      <c r="A22" s="2" t="s">
        <v>21</v>
      </c>
      <c r="B22" s="1" t="b">
        <v>0</v>
      </c>
      <c r="C22"/>
      <c r="D22"/>
      <c r="E22"/>
      <c r="F22" s="1"/>
      <c r="G22" s="1"/>
      <c r="H22" s="1"/>
      <c r="I22"/>
      <c r="J22"/>
      <c r="K22"/>
      <c r="L22"/>
    </row>
    <row r="23" spans="1:12" x14ac:dyDescent="0.3">
      <c r="A23" s="2" t="s">
        <v>22</v>
      </c>
      <c r="B23" s="1"/>
      <c r="C23"/>
      <c r="D23"/>
      <c r="E23"/>
      <c r="F23" s="1"/>
      <c r="G23" s="1"/>
      <c r="H23" s="1"/>
      <c r="I23"/>
      <c r="J23"/>
      <c r="K23"/>
      <c r="L23"/>
    </row>
    <row r="24" spans="1:12" x14ac:dyDescent="0.3">
      <c r="A24" s="2" t="s">
        <v>0</v>
      </c>
      <c r="B24" s="1" t="s">
        <v>135</v>
      </c>
      <c r="C24"/>
      <c r="D24"/>
      <c r="E24"/>
      <c r="F24" s="1"/>
      <c r="G24" s="1"/>
      <c r="H24" s="1"/>
      <c r="I24"/>
      <c r="J24"/>
      <c r="K24"/>
      <c r="L24"/>
    </row>
    <row r="25" spans="1:12" x14ac:dyDescent="0.3">
      <c r="A25" s="33" t="s">
        <v>1</v>
      </c>
      <c r="B25" t="s">
        <v>141</v>
      </c>
      <c r="C25"/>
      <c r="D25"/>
      <c r="E25"/>
      <c r="F25"/>
      <c r="G25"/>
      <c r="H25"/>
      <c r="I25"/>
      <c r="J25"/>
      <c r="K25"/>
      <c r="L25"/>
    </row>
    <row r="26" spans="1:12" x14ac:dyDescent="0.3">
      <c r="A26" s="3" t="s">
        <v>31</v>
      </c>
      <c r="B26" t="s">
        <v>129</v>
      </c>
      <c r="C26"/>
      <c r="D26"/>
      <c r="E26"/>
      <c r="F26"/>
      <c r="G26"/>
      <c r="H26"/>
      <c r="I26"/>
      <c r="J26"/>
      <c r="K26"/>
      <c r="L26"/>
    </row>
    <row r="27" spans="1:12" x14ac:dyDescent="0.3">
      <c r="A27" s="3" t="s">
        <v>44</v>
      </c>
      <c r="B27" s="1" t="s">
        <v>155</v>
      </c>
      <c r="C27"/>
      <c r="D27"/>
      <c r="E27"/>
      <c r="F27" s="1"/>
      <c r="G27" s="1"/>
      <c r="H27" s="1"/>
      <c r="I27"/>
      <c r="J27"/>
      <c r="K27"/>
      <c r="L27"/>
    </row>
    <row r="28" spans="1:12" x14ac:dyDescent="0.3">
      <c r="A28" s="3" t="s">
        <v>53</v>
      </c>
      <c r="B28" t="s">
        <v>136</v>
      </c>
      <c r="C28"/>
      <c r="D28"/>
      <c r="E28"/>
      <c r="F28"/>
      <c r="G28"/>
      <c r="H28"/>
      <c r="I28"/>
      <c r="J28"/>
      <c r="K28"/>
      <c r="L28"/>
    </row>
    <row r="29" spans="1:12" x14ac:dyDescent="0.3">
      <c r="A29" s="34" t="s">
        <v>72</v>
      </c>
      <c r="B29" t="s">
        <v>137</v>
      </c>
      <c r="C29"/>
      <c r="D29"/>
      <c r="E29"/>
      <c r="F29"/>
      <c r="G29" s="52"/>
      <c r="H29"/>
      <c r="I29"/>
      <c r="J29"/>
      <c r="K29"/>
      <c r="L29" s="29"/>
    </row>
    <row r="30" spans="1:12" x14ac:dyDescent="0.3">
      <c r="A30" s="34" t="s">
        <v>138</v>
      </c>
      <c r="B30" s="2" t="s">
        <v>139</v>
      </c>
      <c r="E30" s="29"/>
    </row>
    <row r="31" spans="1:12" x14ac:dyDescent="0.3">
      <c r="B31" s="29"/>
      <c r="E31" s="29"/>
    </row>
    <row r="34" spans="2:2" x14ac:dyDescent="0.3">
      <c r="B34" s="3"/>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N16" sqref="N16"/>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6" t="s">
        <v>34</v>
      </c>
      <c r="B1" s="56"/>
      <c r="C1" s="22" t="s">
        <v>40</v>
      </c>
      <c r="D1" s="23"/>
      <c r="L1" s="8" t="s">
        <v>46</v>
      </c>
    </row>
    <row r="2" spans="1:23" s="17" customFormat="1" ht="31.5" customHeight="1" thickBot="1" x14ac:dyDescent="0.35">
      <c r="A2" s="55" t="s">
        <v>144</v>
      </c>
      <c r="B2" s="55"/>
      <c r="C2" s="24">
        <f>COUNTA(A:A)-2</f>
        <v>4</v>
      </c>
      <c r="D2" s="25"/>
      <c r="E2" s="12" t="s">
        <v>48</v>
      </c>
      <c r="F2" s="13" t="s">
        <v>24</v>
      </c>
      <c r="G2" s="14" t="s">
        <v>47</v>
      </c>
      <c r="H2" s="15" t="s">
        <v>25</v>
      </c>
      <c r="I2" s="21" t="s">
        <v>54</v>
      </c>
      <c r="J2" s="16" t="s">
        <v>23</v>
      </c>
      <c r="L2" s="20" t="s">
        <v>2</v>
      </c>
      <c r="N2" s="18" t="s">
        <v>26</v>
      </c>
      <c r="P2" s="19" t="s">
        <v>3</v>
      </c>
      <c r="R2" s="26" t="s">
        <v>32</v>
      </c>
      <c r="T2" s="12" t="s">
        <v>33</v>
      </c>
      <c r="U2" s="35" t="s">
        <v>75</v>
      </c>
      <c r="V2" s="27" t="s">
        <v>39</v>
      </c>
    </row>
    <row r="3" spans="1:23" x14ac:dyDescent="0.3">
      <c r="A3">
        <v>28533550</v>
      </c>
      <c r="E3" t="s">
        <v>131</v>
      </c>
      <c r="G3" s="28">
        <v>43067.722916666666</v>
      </c>
      <c r="I3" t="s">
        <v>136</v>
      </c>
      <c r="L3" s="1" t="s">
        <v>153</v>
      </c>
      <c r="R3" t="s">
        <v>152</v>
      </c>
      <c r="T3" t="s">
        <v>154</v>
      </c>
      <c r="U3" t="s">
        <v>124</v>
      </c>
      <c r="W3" s="5"/>
    </row>
    <row r="4" spans="1:23" x14ac:dyDescent="0.3">
      <c r="A4" t="s">
        <v>145</v>
      </c>
      <c r="F4" s="1" t="s">
        <v>90</v>
      </c>
      <c r="W4" s="5"/>
    </row>
    <row r="5" spans="1:23" x14ac:dyDescent="0.3">
      <c r="A5" t="s">
        <v>146</v>
      </c>
      <c r="F5" s="1" t="s">
        <v>90</v>
      </c>
      <c r="W5" s="5"/>
    </row>
    <row r="6" spans="1:23" x14ac:dyDescent="0.3">
      <c r="A6" t="s">
        <v>147</v>
      </c>
      <c r="F6" s="1" t="s">
        <v>148</v>
      </c>
      <c r="H6" s="1" t="s">
        <v>149</v>
      </c>
      <c r="J6" s="1" t="s">
        <v>150</v>
      </c>
      <c r="L6" s="1" t="s">
        <v>152</v>
      </c>
      <c r="N6" s="1" t="s">
        <v>151</v>
      </c>
      <c r="P6" s="1">
        <v>100</v>
      </c>
      <c r="W6" s="5"/>
    </row>
    <row r="7" spans="1:23" x14ac:dyDescent="0.3">
      <c r="W7" s="5"/>
    </row>
    <row r="8" spans="1:23" x14ac:dyDescent="0.3">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1:23" x14ac:dyDescent="0.3">
      <c r="W17" s="5"/>
    </row>
    <row r="18" spans="1:23" x14ac:dyDescent="0.3">
      <c r="W18" s="5"/>
    </row>
    <row r="19" spans="1:23" x14ac:dyDescent="0.3">
      <c r="W19" s="5"/>
    </row>
    <row r="20" spans="1:23" x14ac:dyDescent="0.3">
      <c r="W20" s="5"/>
    </row>
    <row r="21" spans="1:23" x14ac:dyDescent="0.3">
      <c r="W21" s="5"/>
    </row>
    <row r="22" spans="1:23" x14ac:dyDescent="0.3">
      <c r="W22" s="5"/>
    </row>
    <row r="23" spans="1:23" x14ac:dyDescent="0.3">
      <c r="W23" s="5"/>
    </row>
    <row r="24" spans="1:23" x14ac:dyDescent="0.3">
      <c r="W24" s="5"/>
    </row>
    <row r="25" spans="1:23" x14ac:dyDescent="0.3">
      <c r="W25" s="5"/>
    </row>
    <row r="26" spans="1:23" x14ac:dyDescent="0.3">
      <c r="W26" s="5"/>
    </row>
    <row r="27" spans="1:23" x14ac:dyDescent="0.3">
      <c r="W27" s="5"/>
    </row>
    <row r="28" spans="1:23" x14ac:dyDescent="0.3">
      <c r="A28" s="5"/>
      <c r="B28" s="5"/>
      <c r="C28" s="5"/>
      <c r="D28" s="5"/>
      <c r="E28" s="5"/>
      <c r="F28" s="5"/>
      <c r="G28" s="5"/>
      <c r="H28" s="5"/>
      <c r="I28" s="5"/>
      <c r="J28" s="5"/>
      <c r="K28" s="5"/>
      <c r="L28" s="5"/>
      <c r="M28" s="5"/>
      <c r="N28" s="5"/>
      <c r="O28" s="5"/>
      <c r="P28" s="5"/>
      <c r="Q28" s="5"/>
      <c r="R28" s="5"/>
      <c r="S28" s="5"/>
      <c r="T28" s="5"/>
      <c r="U28" s="5"/>
      <c r="V28" s="5"/>
      <c r="W28" s="5"/>
    </row>
    <row r="29" spans="1:23" x14ac:dyDescent="0.3">
      <c r="A29" s="5"/>
      <c r="B29" s="5"/>
      <c r="C29" s="5"/>
      <c r="D29" s="5"/>
      <c r="E29" s="5"/>
      <c r="F29" s="5"/>
      <c r="G29" s="5"/>
      <c r="H29" s="5"/>
      <c r="I29" s="5"/>
      <c r="J29" s="5"/>
      <c r="K29" s="5"/>
      <c r="L29" s="5"/>
      <c r="M29" s="5"/>
      <c r="N29" s="5"/>
      <c r="O29" s="5"/>
      <c r="P29" s="5"/>
      <c r="Q29" s="5"/>
      <c r="R29" s="5"/>
      <c r="S29" s="5"/>
      <c r="T29" s="5"/>
      <c r="U29" s="5"/>
      <c r="V29" s="5"/>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D8" sqref="D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98</v>
      </c>
      <c r="B1" s="38" t="s">
        <v>99</v>
      </c>
      <c r="C1" s="38" t="s">
        <v>100</v>
      </c>
      <c r="D1" s="38" t="s">
        <v>5</v>
      </c>
      <c r="E1" s="38" t="s">
        <v>101</v>
      </c>
      <c r="F1" s="38" t="s">
        <v>53</v>
      </c>
      <c r="G1" s="38" t="s">
        <v>102</v>
      </c>
      <c r="H1" s="40">
        <f>COUNTA(B:B)-1</f>
        <v>0</v>
      </c>
      <c r="L1" s="39">
        <f ca="1">TODAY()</f>
        <v>43068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27"/>
  <sheetViews>
    <sheetView workbookViewId="0">
      <selection activeCell="K9" sqref="K9"/>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50</v>
      </c>
      <c r="C1" s="11">
        <f>COUNTA(C2:C96)</f>
        <v>26</v>
      </c>
      <c r="D1" s="10" t="s">
        <v>35</v>
      </c>
    </row>
    <row r="2" spans="1:4" x14ac:dyDescent="0.3">
      <c r="A2" s="5" t="s">
        <v>27</v>
      </c>
      <c r="B2" s="4"/>
      <c r="C2" t="s">
        <v>51</v>
      </c>
    </row>
    <row r="3" spans="1:4" x14ac:dyDescent="0.3">
      <c r="A3" s="5" t="s">
        <v>28</v>
      </c>
      <c r="B3" s="4"/>
      <c r="C3" t="s">
        <v>52</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104</v>
      </c>
      <c r="B7" s="4"/>
      <c r="C7" t="s">
        <v>43</v>
      </c>
    </row>
    <row r="8" spans="1:4" x14ac:dyDescent="0.3">
      <c r="A8" t="s">
        <v>105</v>
      </c>
      <c r="B8" s="4"/>
      <c r="C8" t="s">
        <v>49</v>
      </c>
    </row>
    <row r="9" spans="1:4" x14ac:dyDescent="0.3">
      <c r="A9" t="s">
        <v>106</v>
      </c>
      <c r="B9" s="4"/>
      <c r="C9" s="5" t="s">
        <v>29</v>
      </c>
    </row>
    <row r="10" spans="1:4" x14ac:dyDescent="0.3">
      <c r="A10" t="s">
        <v>116</v>
      </c>
      <c r="B10" s="4"/>
      <c r="C10" t="s">
        <v>55</v>
      </c>
    </row>
    <row r="11" spans="1:4" x14ac:dyDescent="0.3">
      <c r="B11" s="4"/>
      <c r="C11" t="s">
        <v>56</v>
      </c>
    </row>
    <row r="12" spans="1:4" x14ac:dyDescent="0.3">
      <c r="B12" s="4"/>
      <c r="C12" t="s">
        <v>58</v>
      </c>
    </row>
    <row r="13" spans="1:4" x14ac:dyDescent="0.3">
      <c r="B13" s="4"/>
      <c r="C13" t="s">
        <v>59</v>
      </c>
    </row>
    <row r="14" spans="1:4" x14ac:dyDescent="0.3">
      <c r="B14" s="4"/>
      <c r="C14" t="s">
        <v>60</v>
      </c>
    </row>
    <row r="15" spans="1:4" x14ac:dyDescent="0.3">
      <c r="B15" s="4"/>
      <c r="C15" t="s">
        <v>91</v>
      </c>
    </row>
    <row r="16" spans="1:4" x14ac:dyDescent="0.3">
      <c r="B16" s="4"/>
      <c r="C16" t="s">
        <v>92</v>
      </c>
    </row>
    <row r="17" spans="2:3" x14ac:dyDescent="0.3">
      <c r="B17" s="4"/>
      <c r="C17" t="s">
        <v>93</v>
      </c>
    </row>
    <row r="18" spans="2:3" x14ac:dyDescent="0.3">
      <c r="C18" t="s">
        <v>95</v>
      </c>
    </row>
    <row r="19" spans="2:3" x14ac:dyDescent="0.3">
      <c r="C19" t="s">
        <v>107</v>
      </c>
    </row>
    <row r="20" spans="2:3" x14ac:dyDescent="0.3">
      <c r="C20" t="s">
        <v>104</v>
      </c>
    </row>
    <row r="21" spans="2:3" x14ac:dyDescent="0.3">
      <c r="C21" t="s">
        <v>108</v>
      </c>
    </row>
    <row r="22" spans="2:3" x14ac:dyDescent="0.3">
      <c r="C22" t="s">
        <v>109</v>
      </c>
    </row>
    <row r="23" spans="2:3" x14ac:dyDescent="0.3">
      <c r="C23" t="s">
        <v>110</v>
      </c>
    </row>
    <row r="24" spans="2:3" x14ac:dyDescent="0.3">
      <c r="C24" t="s">
        <v>111</v>
      </c>
    </row>
    <row r="25" spans="2:3" x14ac:dyDescent="0.3">
      <c r="C25" t="s">
        <v>38</v>
      </c>
    </row>
    <row r="26" spans="2:3" x14ac:dyDescent="0.3">
      <c r="C26" t="s">
        <v>117</v>
      </c>
    </row>
    <row r="27" spans="2:3" x14ac:dyDescent="0.3">
      <c r="C27" t="s">
        <v>118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1"/>
  <sheetViews>
    <sheetView workbookViewId="0">
      <selection activeCell="C21" sqref="C21"/>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20</v>
      </c>
      <c r="B1" s="32" t="s">
        <v>61</v>
      </c>
      <c r="C1" s="31" t="s">
        <v>62</v>
      </c>
    </row>
    <row r="2" spans="1:3" x14ac:dyDescent="0.3">
      <c r="A2">
        <v>1</v>
      </c>
      <c r="B2" t="s">
        <v>142</v>
      </c>
      <c r="C2" t="s">
        <v>63</v>
      </c>
    </row>
    <row r="3" spans="1:3" x14ac:dyDescent="0.3">
      <c r="A3">
        <v>2</v>
      </c>
      <c r="B3" t="s">
        <v>64</v>
      </c>
      <c r="C3" t="s">
        <v>65</v>
      </c>
    </row>
    <row r="4" spans="1:3" x14ac:dyDescent="0.3">
      <c r="A4">
        <v>3</v>
      </c>
      <c r="B4" t="s">
        <v>66</v>
      </c>
      <c r="C4" t="s">
        <v>67</v>
      </c>
    </row>
    <row r="5" spans="1:3" x14ac:dyDescent="0.3">
      <c r="A5">
        <v>4</v>
      </c>
      <c r="B5" t="s">
        <v>68</v>
      </c>
      <c r="C5" t="s">
        <v>94</v>
      </c>
    </row>
    <row r="6" spans="1:3" x14ac:dyDescent="0.3">
      <c r="A6">
        <v>5</v>
      </c>
      <c r="B6" t="s">
        <v>119</v>
      </c>
      <c r="C6" t="s">
        <v>69</v>
      </c>
    </row>
    <row r="7" spans="1:3" x14ac:dyDescent="0.3">
      <c r="A7">
        <v>6</v>
      </c>
      <c r="B7" t="s">
        <v>70</v>
      </c>
      <c r="C7" t="s">
        <v>71</v>
      </c>
    </row>
    <row r="8" spans="1:3" x14ac:dyDescent="0.3">
      <c r="A8">
        <v>7</v>
      </c>
      <c r="B8" t="s">
        <v>73</v>
      </c>
      <c r="C8" t="s">
        <v>74</v>
      </c>
    </row>
    <row r="9" spans="1:3" x14ac:dyDescent="0.3">
      <c r="A9">
        <v>8</v>
      </c>
      <c r="B9" t="s">
        <v>76</v>
      </c>
      <c r="C9" t="s">
        <v>77</v>
      </c>
    </row>
    <row r="10" spans="1:3" x14ac:dyDescent="0.3">
      <c r="A10">
        <v>9</v>
      </c>
      <c r="B10" t="s">
        <v>78</v>
      </c>
      <c r="C10" t="s">
        <v>79</v>
      </c>
    </row>
    <row r="11" spans="1:3" x14ac:dyDescent="0.3">
      <c r="A11">
        <v>10</v>
      </c>
      <c r="B11" t="s">
        <v>80</v>
      </c>
      <c r="C11" t="s">
        <v>83</v>
      </c>
    </row>
    <row r="12" spans="1:3" x14ac:dyDescent="0.3">
      <c r="A12">
        <v>11</v>
      </c>
      <c r="B12" t="s">
        <v>81</v>
      </c>
      <c r="C12" t="s">
        <v>82</v>
      </c>
    </row>
    <row r="13" spans="1:3" x14ac:dyDescent="0.3">
      <c r="A13">
        <v>12</v>
      </c>
      <c r="B13" t="s">
        <v>84</v>
      </c>
      <c r="C13" t="s">
        <v>85</v>
      </c>
    </row>
    <row r="14" spans="1:3" x14ac:dyDescent="0.3">
      <c r="A14">
        <v>13</v>
      </c>
      <c r="B14" t="s">
        <v>86</v>
      </c>
      <c r="C14" t="s">
        <v>87</v>
      </c>
    </row>
    <row r="15" spans="1:3" x14ac:dyDescent="0.3">
      <c r="A15">
        <v>14</v>
      </c>
      <c r="B15" t="s">
        <v>88</v>
      </c>
      <c r="C15" t="s">
        <v>89</v>
      </c>
    </row>
    <row r="16" spans="1:3" x14ac:dyDescent="0.3">
      <c r="A16">
        <v>15</v>
      </c>
      <c r="B16" t="s">
        <v>96</v>
      </c>
      <c r="C16" t="s">
        <v>97</v>
      </c>
    </row>
    <row r="17" spans="1:3" x14ac:dyDescent="0.3">
      <c r="A17">
        <v>16</v>
      </c>
      <c r="B17" t="s">
        <v>143</v>
      </c>
      <c r="C17" t="s">
        <v>103</v>
      </c>
    </row>
    <row r="18" spans="1:3" x14ac:dyDescent="0.3">
      <c r="A18">
        <v>17</v>
      </c>
      <c r="B18" t="s">
        <v>115</v>
      </c>
      <c r="C18" t="s">
        <v>114</v>
      </c>
    </row>
    <row r="19" spans="1:3" x14ac:dyDescent="0.3">
      <c r="A19">
        <v>18</v>
      </c>
      <c r="B19" t="s">
        <v>120</v>
      </c>
      <c r="C19" t="s">
        <v>121</v>
      </c>
    </row>
    <row r="20" spans="1:3" x14ac:dyDescent="0.3">
      <c r="A20">
        <v>19</v>
      </c>
      <c r="B20" t="s">
        <v>123</v>
      </c>
      <c r="C20" t="s">
        <v>122</v>
      </c>
    </row>
    <row r="21" spans="1:3" x14ac:dyDescent="0.3">
      <c r="A21">
        <v>20</v>
      </c>
      <c r="B21" t="s">
        <v>140</v>
      </c>
      <c r="C21" t="s">
        <v>141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6</vt:i4>
      </vt:variant>
    </vt:vector>
  </HeadingPairs>
  <TitlesOfParts>
    <vt:vector size="6" baseType="lpstr">
      <vt:lpstr>Ротапост</vt:lpstr>
      <vt:lpstr>Прод</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2017-11-29T12:33:04Z</dcterms:modified>
</cp:coreProperties>
</file>