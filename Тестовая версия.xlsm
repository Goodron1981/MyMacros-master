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64011"/>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0380" windowHeight="5796"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Ключи!$A$1:$C$147</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G1" i="13"/>
  <c r="H1" i="13" s="1"/>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<sst xmlns="http://schemas.openxmlformats.org/spreadsheetml/2006/main" count="3053" uniqueCount="1430">
  <si>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</si>
  <si>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</si>
  <si>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</si>
  <si>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</si>
  <si>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</si>
  <si>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</si>
  <si>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</si>
  <si>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</si>
  <si>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</si>
  <si>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</si>
  <si>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</si>
  <si>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</si>
  <si>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</si>
  <si>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</si>
  <si>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</si>
  <si>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</si>
  <si>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</si>
  <si>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</si>
  <si>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</si>
  <si>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</si>
  <si>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</si>
  <si>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</si>
  <si>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</si>
  <si>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</si>
  <si>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</si>
  <si>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</si>
  <si>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</si>
  <si>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</si>
  <si>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</si>
  <si>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</si>
  <si>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</si>
  <si>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</si>
  <si>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</si>
  <si>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</si>
  <si>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</si>
  <si>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</si>
  <si>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</si>
  <si>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</si>
  <si>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</si>
  <si>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</si>
  <si>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</si>
  <si>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</si>
  <si>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</si>
  <si>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</si>
  <si>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</si>
  <si>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</si>
  <si>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</si>
  <si>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</si>
  <si>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</si>
  <si>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</si>
  <si>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</si>
  <si>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</si>
  <si>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</si>
  <si>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</si>
  <si>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</si>
  <si>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</si>
  <si>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</si>
  <si>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</si>
  <si>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</si>
  <si>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</si>
  <si>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</si>
  <si>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</si>
  <si>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</si>
  <si>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</si>
  <si>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</si>
  <si>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</si>
  <si>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</si>
  <si>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</si>
  <si>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</si>
  <si>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</si>
  <si>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</si>
  <si>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</si>
  <si>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</si>
  <si>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</si>
  <si>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</si>
  <si>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</si>
  <si>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</si>
  <si>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</si>
  <si>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</si>
  <si>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</si>
  <si>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</si>
  <si>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</si>
  <si>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</si>
  <si>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</si>
  <si>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</si>
  <si>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</si>
  <si>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</si>
  <si>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</si>
  <si>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</si>
  <si>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</si>
  <si>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</si>
  <si>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</si>
  <si>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</si>
  <si>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</si>
  <si>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</si>
  <si>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</si>
  <si>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</si>
  <si>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</si>
  <si>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</si>
  <si>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</si>
  <si>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</si>
  <si>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</si>
  <si>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</si>
  <si>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</si>
  <si>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</si>
  <si>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</si>
  <si>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</si>
  <si>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</si>
  <si>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</si>
  <si>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</si>
  <si>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</si>
  <si>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</si>
  <si>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</si>
  <si>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</si>
  <si>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</si>
  <si>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</si>
  <si>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</si>
  <si>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</si>
  <si>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</si>
  <si>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</si>
  <si>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</si>
  <si>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</si>
  <si>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</si>
  <si>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</si>
  <si>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</si>
  <si>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</si>
  <si>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</si>
  <si>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</si>
  <si>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</si>
  <si>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</si>
  <si>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</si>
  <si>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</si>
  <si>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</si>
  <si>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</si>
  <si>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</si>
  <si>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</si>
  <si>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</si>
  <si>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</si>
  <si>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</si>
  <si>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</si>
  <si>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</si>
  <si>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</si>
  <si>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</si>
  <si>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</si>
  <si>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</si>
  <si>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</si>
  <si>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</si>
  <si>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</si>
  <si>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</si>
  <si>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</si>
  <si>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</si>
  <si>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</si>
  <si>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</si>
  <si>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</si>
  <si>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</si>
  <si>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</si>
  <si>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</si>
  <si>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</si>
  <si>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</si>
  <si>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</si>
  <si>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</si>
  <si>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</si>
  <si>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</si>
  <si>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</si>
  <si>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</si>
  <si>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</si>
  <si>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</si>
  <si>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</si>
  <si>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</si>
  <si>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</si>
  <si>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</si>
  <si>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</si>
  <si>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</si>
  <si>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</si>
  <si>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</si>
  <si>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</si>
  <si>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</si>
  <si>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</si>
  <si>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</si>
  <si>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</si>
  <si>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</si>
  <si>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</si>
  <si>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</si>
  <si>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</si>
  <si>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</si>
  <si>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</si>
  <si>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</si>
  <si>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</si>
  <si>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</si>
  <si>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</si>
  <si>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</si>
  <si>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</si>
  <si>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</si>
  <si>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</si>
  <si>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</si>
  <si>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</si>
  <si>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</si>
  <si>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</si>
  <si>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</si>
  <si>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</si>
  <si>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</si>
  <si>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</si>
  <si>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</si>
  <si>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</si>
  <si>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</si>
  <si>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</si>
  <si>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</si>
  <si>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</si>
  <si>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</si>
  <si>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</si>
  <si>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</si>
  <si>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</si>
  <si>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</si>
  <si>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</si>
  <si>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</si>
  <si>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</si>
  <si>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</si>
  <si>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</si>
  <si>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</si>
  <si>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</si>
  <si>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</si>
  <si>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</si>
  <si>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</si>
  <si>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</si>
  <si>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</si>
  <si>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</si>
  <si>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</si>
  <si>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</si>
  <si>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</si>
  <si>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</si>
  <si>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</si>
  <si>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</si>
  <si>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</si>
  <si>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</si>
  <si>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</si>
  <si>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</si>
  <si>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</si>
  <si>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</si>
  <si>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</si>
  <si>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</si>
  <si>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</si>
  <si>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</si>
  <si>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</si>
  <si>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</si>
  <si>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</si>
  <si>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</si>
  <si>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</si>
  <si>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</si>
  <si>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</si>
  <si>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</si>
  <si>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</si>
  <si>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</si>
  <si>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</si>
  <si>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</si>
  <si>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</si>
  <si>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</si>
  <si>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</si>
  <si>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</si>
  <si>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</si>
  <si>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</si>
  <si>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</si>
  <si>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</si>
  <si>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</si>
  <si>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</si>
  <si>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</si>
  <si>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</si>
  <si>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</si>
  <si>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</si>
  <si>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</si>
  <si>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</si>
  <si>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</si>
  <si>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</si>
  <si>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</si>
  <si>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</si>
  <si>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</si>
  <si>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</si>
  <si>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</si>
  <si>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</si>
  <si>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</si>
  <si>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</si>
  <si>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</si>
  <si>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</si>
  <si>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</si>
  <si>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</si>
  <si>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</si>
  <si>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</si>
  <si>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</si>
  <si>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</si>
  <si>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</si>
  <si>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</si>
  <si>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</si>
  <si>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</si>
  <si>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</si>
  <si>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</si>
  <si>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</si>
  <si>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</si>
  <si>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</si>
  <si>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</si>
  <si>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</si>
  <si>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</si>
  <si>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</si>
  <si>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</si>
  <si>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</si>
  <si>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</si>
  <si>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</si>
  <si>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</si>
  <si>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</si>
  <si>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</si>
  <si>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</si>
  <si>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</si>
  <si>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</si>
  <si>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</si>
  <si>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</si>
  <si>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</si>
  <si>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</si>
  <si>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</si>
  <si>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</si>
  <si>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</si>
  <si>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</si>
  <si>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</si>
  <si>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</si>
  <si>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</si>
  <si>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</si>
  <si>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</si>
  <si>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</si>
  <si>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</si>
  <si>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</si>
  <si>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</si>
  <si>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</si>
  <si>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</si>
  <si>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</si>
  <si>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</si>
  <si>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</si>
  <si>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</si>
  <si>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</si>
  <si>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</si>
  <si>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</si>
  <si>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</si>
  <si>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</si>
  <si>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</si>
  <si>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</si>
  <si>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</si>
  <si>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</si>
  <si>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</si>
  <si>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</si>
  <si>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</si>
  <si>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</si>
  <si>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</si>
  <si>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</si>
  <si>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</si>
  <si>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</si>
  <si>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</si>
  <si>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</si>
  <si>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</si>
  <si>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</si>
  <si>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</si>
  <si>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</si>
  <si>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</si>
  <si>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</si>
  <si>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</si>
  <si>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</si>
  <si>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</si>
  <si>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</si>
  <si>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</si>
  <si>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</si>
  <si>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</si>
  <si>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</si>
  <si>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</si>
  <si>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</si>
  <si>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</si>
  <si>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</si>
  <si>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</si>
  <si>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</si>
  <si>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</si>
  <si>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</si>
  <si>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</si>
  <si>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</si>
  <si>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</si>
  <si>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</si>
  <si>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</si>
  <si>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</si>
  <si>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</si>
  <si>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</si>
  <si>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</si>
  <si>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</si>
  <si>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</si>
  <si>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</si>
  <si>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</si>
  <si>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</si>
  <si>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</si>
  <si>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</si>
  <si>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</si>
  <si>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</si>
  <si>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</si>
  <si>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</si>
  <si>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</si>
  <si>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</si>
  <si>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</si>
  <si>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</si>
  <si>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</si>
  <si>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</si>
  <si>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</si>
  <si>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</si>
  <si>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</si>
  <si>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</si>
  <si>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</si>
  <si>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</si>
  <si>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</si>
  <si>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</si>
  <si>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</si>
  <si>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</si>
  <si>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</si>
  <si>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</si>
  <si>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</si>
  <si>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</si>
  <si>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</si>
  <si>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</si>
  <si>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</si>
  <si>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</si>
  <si>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</si>
  <si>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</si>
  <si>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</si>
  <si>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</si>
  <si>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</si>
  <si>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</si>
  <si>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</si>
  <si>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</si>
  <si>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</si>
  <si>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</si>
  <si>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</si>
  <si>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</si>
  <si>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</si>
  <si>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</si>
  <si>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</si>
  <si>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</si>
  <si>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</si>
  <si>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</si>
  <si>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</si>
  <si>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</si>
  <si>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</si>
  <si>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</si>
  <si>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</si>
  <si>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</si>
  <si>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</si>
  <si>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</si>
  <si>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</si>
  <si>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</si>
  <si>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</si>
  <si>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</si>
  <si>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</si>
  <si>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</si>
  <si>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</si>
  <si>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</si>
  <si>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</si>
  <si>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</si>
  <si>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</si>
  <si>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</si>
  <si>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</si>
  <si>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</si>
  <si>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</si>
  <si>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</si>
  <si>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</si>
  <si>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</si>
  <si>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</si>
  <si>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</si>
  <si>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</si>
  <si>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</si>
  <si>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</si>
  <si>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</si>
  <si>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</si>
  <si>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</si>
  <si>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</si>
  <si>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</si>
  <si>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</si>
  <si>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</si>
  <si>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</si>
  <si>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</si>
  <si>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</si>
  <si>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</si>
  <si>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</si>
  <si>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</si>
  <si>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</si>
  <si>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</si>
  <si>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</si>
  <si>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</si>
  <si>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</si>
  <si>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</si>
  <si>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</si>
  <si>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</si>
  <si>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</si>
  <si>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</si>
  <si>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</si>
  <si>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</si>
  <si>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</si>
  <si>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</si>
  <si>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</si>
  <si>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</si>
  <si>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</si>
  <si>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</si>
  <si>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</si>
  <si>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</si>
  <si>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</si>
  <si>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</si>
  <si>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</si>
  <si>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</si>
  <si>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</si>
  <si>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</si>
  <si>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</si>
  <si>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</si>
  <si>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</si>
  <si>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</si>
  <si>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</si>
  <si>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</si>
  <si>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</si>
  <si>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</si>
  <si>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</si>
  <si>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</si>
  <si>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</si>
  <si>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</si>
  <si>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</si>
  <si>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</si>
  <si>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</si>
  <si>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</si>
  <si>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</si>
  <si>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</si>
  <si>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</si>
  <si>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</si>
  <si>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</si>
  <si>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</si>
  <si>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</si>
  <si>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</si>
  <si>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</si>
  <si>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</si>
  <si>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</si>
  <si>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</si>
  <si>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</si>
  <si>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</si>
  <si>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</si>
  <si>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</si>
  <si>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</si>
  <si>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</si>
  <si>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</si>
  <si>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</si>
  <si>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</si>
  <si>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</si>
  <si>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</si>
  <si>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</si>
  <si>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</si>
  <si>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</si>
  <si>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</si>
  <si>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</si>
  <si>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</si>
  <si>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</si>
  <si>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</si>
  <si>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</si>
  <si>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</si>
  <si>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</si>
  <si>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</si>
  <si>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</si>
  <si>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</si>
  <si>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</si>
  <si>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</si>
  <si>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</si>
  <si>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</si>
  <si>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</si>
  <si>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</si>
  <si>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</si>
  <si>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</si>
  <si>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</si>
  <si>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</si>
  <si>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</si>
  <si>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</si>
  <si>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</si>
  <si>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</si>
  <si>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</si>
  <si>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</si>
  <si>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</si>
  <si>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</si>
  <si>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</si>
  <si>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</si>
  <si>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</si>
  <si>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</si>
  <si>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</si>
  <si>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</si>
  <si>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</si>
  <si>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</si>
  <si>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</si>
  <si>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</si>
  <si>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</si>
  <si>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</si>
  <si>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</si>
  <si>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</si>
  <si>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</si>
  <si>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</si>
  <si>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</si>
  <si>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</si>
  <si>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</si>
  <si>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</si>
  <si>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</si>
  <si>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</si>
  <si>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</si>
  <si>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</si>
  <si>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</si>
  <si>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</si>
  <si>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</si>
  <si>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</si>
  <si>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</si>
  <si>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</si>
  <si>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</si>
  <si>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</si>
  <si>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</si>
  <si>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</si>
  <si>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</si>
  <si>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</si>
  <si>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</si>
  <si>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</si>
  <si>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</si>
  <si>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</si>
  <si>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</si>
  <si>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</si>
  <si>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</si>
  <si>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</si>
  <si>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</si>
  <si>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</si>
  <si>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</si>
  <si>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</si>
  <si>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</si>
  <si>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</si>
  <si>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</si>
  <si>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</si>
  <si>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</si>
  <si>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</si>
  <si>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</si>
  <si>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</si>
  <si>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</si>
  <si>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</si>
  <si>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</si>
  <si>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</si>
  <si>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</si>
  <si>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</si>
  <si>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</si>
  <si>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</si>
  <si>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</si>
  <si>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</si>
  <si>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</si>
  <si>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</si>
  <si>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</si>
  <si>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</si>
  <si>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</si>
  <si>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</si>
  <si>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</si>
  <si>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</si>
  <si>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</si>
  <si>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</si>
  <si>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</si>
  <si>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</si>
  <si>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</si>
  <si>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</si>
  <si>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</si>
  <si>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</si>
  <si>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</si>
  <si>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</si>
  <si>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</si>
  <si>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</si>
  <si>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</si>
  <si>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</si>
  <si>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</si>
  <si>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</si>
  <si>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</si>
  <si>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</si>
  <si>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</si>
  <si>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</si>
  <si>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</si>
  <si>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</si>
  <si>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</si>
  <si>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</si>
  <si>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</si>
  <si>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</si>
  <si>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</si>
  <si>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</si>
  <si>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</si>
  <si>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</si>
  <si>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</si>
  <si>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</si>
  <si>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</si>
  <si>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</si>
  <si>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</si>
  <si>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</si>
  <si>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</si>
  <si>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</si>
  <si>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</si>
  <si>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</si>
  <si>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</si>
  <si>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</si>
  <si>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</si>
  <si>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</si>
  <si>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</si>
  <si>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</si>
  <si>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</si>
  <si>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</si>
  <si>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</si>
  <si>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</si>
  <si>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</si>
  <si>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</si>
  <si>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</si>
  <si>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</si>
  <si>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</si>
  <si>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</si>
  <si>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</si>
  <si>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</si>
  <si>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</si>
  <si>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</si>
  <si>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</si>
  <si>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</si>
  <si>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</si>
  <si>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</si>
  <si>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</si>
  <si>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</si>
  <si>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</si>
  <si>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</si>
  <si>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</si>
  <si>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</si>
  <si>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</si>
  <si>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</si>
  <si>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</si>
  <si>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</si>
  <si>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</si>
  <si>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</si>
  <si>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</si>
  <si>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</si>
  <si>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</si>
  <si>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</si>
  <si>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</si>
  <si>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</si>
  <si>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</si>
  <si>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</si>
  <si>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</si>
  <si>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</si>
  <si>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</si>
  <si>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</si>
  <si>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</si>
  <si>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</si>
  <si>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</si>
  <si>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</si>
  <si>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</si>
  <si>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</si>
  <si>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</si>
  <si>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</si>
  <si>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</si>
  <si>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</si>
  <si>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</si>
  <si>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</si>
  <si>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</si>
  <si>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</si>
  <si>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</si>
  <si>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</si>
  <si>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</si>
  <si>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</si>
  <si>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</si>
  <si>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</si>
  <si>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</si>
  <si>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</si>
  <si>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</si>
  <si>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</si>
  <si>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</si>
  <si>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</si>
  <si>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</si>
  <si>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</si>
  <si>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</si>
  <si>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</si>
  <si>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</si>
  <si>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</si>
  <si>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</si>
  <si>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</si>
  <si>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</si>
  <si>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</si>
  <si>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</si>
  <si>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</si>
  <si>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</si>
  <si>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</si>
  <si>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</si>
  <si>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</si>
  <si>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</si>
  <si>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</si>
  <si>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</si>
  <si>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</si>
  <si>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</si>
  <si>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</si>
  <si>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</si>
  <si>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</si>
  <si>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</si>
  <si>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</si>
  <si>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</si>
  <si>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</si>
  <si>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</si>
  <si>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</si>
  <si>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</si>
  <si>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</si>
  <si>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</si>
  <si>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</si>
  <si>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</si>
  <si>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</si>
  <si>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</si>
  <si>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</si>
  <si>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</si>
  <si>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</si>
  <si>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</si>
  <si>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</si>
  <si>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</si>
  <si>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</si>
  <si>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</si>
  <si>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</si>
  <si>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</si>
  <si>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</si>
  <si>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</si>
  <si>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</si>
  <si>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</si>
  <si>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</si>
  <si>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</si>
  <si>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</si>
  <si>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</si>
  <si>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</si>
  <si>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</si>
  <si>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</si>
  <si>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</si>
  <si>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</si>
  <si>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</si>
  <si>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</si>
  <si>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</si>
  <si>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</si>
  <si>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</si>
  <si>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</si>
  <si>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</si>
  <si>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</si>
  <si>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</si>
  <si>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</si>
  <si>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</si>
  <si>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</si>
  <si>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</si>
  <si>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</si>
  <si>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</si>
  <si>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</si>
  <si>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</si>
  <si>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</si>
  <si>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</si>
  <si>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</si>
  <si>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</si>
  <si>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</si>
  <si>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</si>
  <si>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</si>
  <si>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</si>
  <si>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</si>
  <si>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</si>
  <si>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</si>
  <si>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</si>
  <si>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</si>
  <si>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</si>
  <si>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</si>
  <si>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</si>
  <si>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</si>
  <si>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</si>
  <si>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</si>
  <si>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</si>
  <si>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</si>
  <si>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</si>
  <si>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</si>
  <si>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</si>
  <si>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</si>
  <si>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</si>
  <si>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</si>
  <si>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</si>
  <si>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</si>
  <si>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</si>
  <si>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</si>
  <si>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</si>
  <si>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</si>
  <si>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</si>
  <si>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</si>
  <si>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</si>
  <si>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</si>
  <si>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</si>
  <si>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</si>
  <si>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</si>
  <si>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</si>
  <si>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</si>
  <si>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</si>
  <si>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</si>
  <si>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</si>
  <si>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</si>
  <si>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</si>
  <si>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</si>
  <si>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</si>
  <si>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</si>
  <si>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</si>
  <si>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</si>
  <si>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</si>
  <si>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</si>
  <si>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</si>
  <si>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</si>
  <si>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</si>
  <si>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</si>
  <si>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</si>
  <si>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</si>
  <si>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</si>
  <si>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</si>
  <si>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</si>
  <si>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</si>
  <si>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</si>
  <si>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</si>
  <si>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</si>
  <si>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</si>
  <si>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</si>
  <si>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</si>
  <si>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</si>
  <si>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</si>
  <si>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</si>
  <si>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</si>
  <si>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</si>
  <si>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</si>
  <si>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</si>
  <si>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</si>
  <si>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</si>
  <si>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</si>
  <si>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</si>
  <si>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</si>
  <si>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</si>
  <si>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</si>
  <si>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</si>
  <si>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</si>
  <si>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</si>
  <si>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</si>
  <si>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</si>
  <si>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</si>
  <si>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</si>
  <si>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</si>
  <si>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</si>
  <si>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</si>
  <si>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</si>
  <si>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</si>
  <si>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</si>
  <si>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</si>
  <si>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</si>
  <si>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</si>
  <si>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</si>
  <si>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</si>
  <si>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</si>
  <si>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</si>
  <si>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</si>
  <si>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</si>
  <si>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</si>
  <si>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</si>
  <si>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</si>
  <si>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</si>
  <si>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</si>
  <si>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</si>
  <si>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</si>
  <si>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</si>
  <si>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</si>
  <si>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</si>
  <si>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</si>
  <si>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</si>
  <si>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</si>
  <si>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</si>
  <si>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</si>
  <si>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</si>
  <si>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</si>
  <si>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</si>
  <si>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</si>
  <si>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</si>
  <si>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</si>
  <si>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</si>
  <si>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</si>
  <si>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</si>
  <si>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</si>
  <si>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</si>
  <si>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</si>
  <si>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</si>
  <si>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</si>
  <si>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</si>
  <si>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</si>
  <si>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</si>
  <si>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</si>
  <si>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</si>
  <si>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</si>
  <si>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</si>
  <si>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</si>
  <si>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</si>
  <si>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</si>
  <si>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</si>
  <si>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</si>
  <si>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</si>
  <si>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</si>
  <si>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</si>
  <si>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</si>
  <si>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</si>
  <si>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</si>
  <si>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</si>
  <si>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</si>
  <si>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</si>
  <si>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</si>
  <si>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</si>
  <si>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</si>
  <si>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</si>
  <si>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</si>
  <si>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</si>
  <si>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</si>
  <si>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</si>
  <si>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</si>
  <si>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</si>
  <si>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</si>
  <si>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</si>
  <si>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</si>
  <si>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</si>
  <si>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</si>
  <si>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</si>
  <si>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</si>
  <si>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</si>
  <si>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</si>
  <si>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</si>
  <si>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</si>
  <si>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</si>
  <si>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</si>
  <si>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</si>
  <si>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</si>
  <si>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</si>
  <si>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</si>
  <si>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</si>
  <si>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</si>
  <si>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</si>
  <si>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</si>
  <si>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</si>
  <si>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</si>
  <si>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</si>
  <si>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</si>
  <si>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</si>
  <si>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</si>
  <si>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</si>
  <si>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</si>
  <si>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</si>
  <si>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</si>
  <si>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</si>
  <si>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</si>
  <si>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</si>
  <si>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</si>
  <si>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</si>
  <si>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</si>
  <si>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</si>
  <si>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</si>
  <si>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</si>
  <si>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</si>
  <si>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</si>
  <si>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</si>
  <si>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</si>
  <si>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</si>
  <si>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</si>
  <si>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</si>
  <si>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</si>
  <si>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</si>
  <si>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</si>
  <si>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</si>
  <si>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</si>
  <si>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</si>
  <si>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</si>
  <si>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</si>
  <si>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</si>
  <si>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</si>
  <si>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</si>
  <si>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</si>
  <si>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</si>
  <si>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</si>
  <si>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</si>
  <si>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</si>
  <si>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</si>
  <si>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</si>
  <si>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</si>
  <si>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</si>
  <si>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</si>
  <si>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</si>
  <si>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</si>
  <si>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</si>
  <si>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</si>
  <si>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</si>
  <si>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</si>
  <si>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</si>
  <si>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</si>
  <si>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</si>
  <si>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</si>
  <si>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</si>
  <si>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</si>
  <si>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</si>
  <si>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</si>
  <si>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</si>
  <si>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</si>
  <si>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</si>
  <si>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</si>
  <si>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</si>
  <si>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</si>
  <si>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</si>
  <si>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</si>
  <si>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</si>
  <si>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</si>
  <si>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</si>
  <si>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</si>
  <si>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</si>
  <si>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</si>
  <si>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</si>
  <si>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</si>
  <si>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</si>
  <si>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</si>
  <si>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</si>
  <si>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</si>
  <si>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</si>
  <si>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</si>
  <si>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</si>
  <si>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</si>
  <si>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</si>
  <si>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</si>
  <si>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</si>
  <si>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</si>
  <si>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</si>
  <si>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</si>
  <si>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</si>
  <si>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</si>
  <si>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</si>
  <si>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</si>
  <si>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</si>
  <si>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</si>
  <si>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</si>
  <si>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</si>
  <si>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</si>
  <si>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</si>
  <si>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</si>
  <si>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</si>
  <si>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</si>
  <si>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</si>
  <si>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</si>
  <si>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</si>
  <si>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</si>
  <si>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</si>
  <si>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</si>
  <si>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</si>
  <si>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</si>
  <si>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</si>
  <si>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</si>
  <si>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</si>
  <si>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</si>
  <si>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</si>
  <si>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</si>
  <si>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</si>
  <si>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</si>
  <si>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</si>
  <si>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</si>
  <si>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</si>
  <si>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</si>
  <si>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</si>
  <si>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</si>
  <si>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</si>
  <si>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</si>
  <si>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</si>
  <si>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</si>
  <si>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</si>
  <si>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</si>
  <si>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</si>
  <si>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</si>
  <si>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</si>
  <si>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</si>
  <si>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</si>
  <si>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</si>
  <si>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</si>
  <si>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</si>
  <si>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</si>
  <si>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</si>
  <si>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</si>
  <si>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</si>
  <si>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</si>
  <si>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</si>
  <si>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</si>
  <si>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</si>
  <si>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</si>
  <si>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</si>
  <si>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</si>
  <si>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</si>
  <si>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</si>
  <si>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</si>
  <si>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</si>
  <si>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</si>
  <si>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</si>
  <si>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</si>
  <si>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</si>
  <si>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</si>
  <si>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</si>
  <si>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</si>
  <si>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</si>
  <si>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</si>
  <si>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</si>
  <si>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</si>
  <si>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</si>
  <si>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</si>
  <si>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</si>
  <si>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</si>
  <si>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</si>
  <si>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</si>
  <si>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</si>
  <si>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</si>
  <si>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</si>
  <si>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</si>
  <si>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</si>
  <si>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</si>
  <si>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</si>
  <si>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</si>
  <si>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</si>
  <si>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</si>
  <si>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</si>
  <si>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</si>
  <si>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</si>
  <si>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</si>
  <si>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</si>
  <si>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</si>
  <si>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</si>
  <si>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</si>
  <si>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</si>
  <si>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</si>
  <si>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</si>
  <si>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</si>
  <si>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</si>
  <si>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</si>
  <si>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</si>
  <si>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</si>
  <si>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</si>
  <si>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</si>
  <si>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</si>
  <si>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</si>
  <si>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</si>
  <si>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</si>
  <si>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</si>
  <si>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</si>
  <si>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</si>
  <si>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</si>
  <si>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</si>
  <si>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</si>
  <si>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</si>
  <si>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</si>
  <si>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</si>
  <si>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</si>
  <si>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</si>
  <si>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</si>
  <si>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</si>
  <si>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</si>
  <si>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</si>
  <si>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</si>
  <si>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</si>
  <si>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</si>
  <si>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</si>
  <si>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</si>
  <si>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</si>
  <si>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</si>
  <si>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</si>
  <si>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</si>
  <si>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</si>
  <si>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</si>
  <si>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</si>
  <si>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</si>
  <si>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</si>
  <si>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</si>
  <si>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</si>
  <si>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</si>
  <si>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</si>
  <si>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</si>
  <si>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</si>
  <si>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</si>
  <si>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</si>
  <si>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</si>
  <si>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</si>
  <si>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</si>
  <si>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</si>
  <si>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</si>
  <si>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</si>
  <si>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</si>
  <si>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ad1d5fd2-3a43-4703-98fc-6bd22ff6fbaf</t>
  </si>
  <si>
    <t>58756ddd-bcc6-4319-b6f0-189504191dcf</t>
  </si>
  <si>
    <t>8cebab0d-dd00-456f-bdd4-5b9c7f1521b4</t>
  </si>
  <si>
    <t>fa06a1cb-e980-481c-8959-fff135820597</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</si>
  <si>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</si>
  <si>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</si>
  <si>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</si>
  <si>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</si>
  <si>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</si>
  <si>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</si>
  <si>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</si>
  <si>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</si>
  <si>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</si>
  <si>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</si>
  <si>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</si>
  <si>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</si>
  <si>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</si>
  <si>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</si>
  <si>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</si>
  <si>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</si>
  <si>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</si>
  <si>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</si>
  <si>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</si>
  <si>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</si>
  <si>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</si>
  <si>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</si>
  <si>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Error keyword!</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</si>
  <si>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</si>
  <si>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</si>
  <si>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</si>
  <si>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</si>
  <si>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</si>
  <si>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</si>
  <si>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</si>
  <si>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</si>
  <si>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</si>
  <si>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YES</t>
  </si>
  <si>
    <t>No href!</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</si>
  <si>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h1 и околоанкорном тексте должен быть запрос &amp;quot;Домашние штанги&amp;quot;.
В тексте 1-2 раза указать бренд Plenergy
Анкор - &amp;quot;https://plenergy.ua/shtangi/naznachenie/domashnyaya&amp;quot;
Посадочная - https://plenergy.ua/shtangi/naznachenie/domashnyaya</t>
  </si>
  <si>
    <t>2018-03-06T17:22:50</t>
  </si>
  <si>
    <t>2018-03-06T17:35:58</t>
  </si>
  <si>
    <t>2018-03-13T17:35:58</t>
  </si>
  <si>
    <t>slaidik.com.ua</t>
  </si>
  <si>
    <t>thetech.com.ua</t>
  </si>
  <si>
    <t>gyrus.org.ua</t>
  </si>
  <si>
    <t>NoK</t>
  </si>
  <si>
    <t>Not found</t>
  </si>
  <si>
    <t>No img!</t>
  </si>
  <si>
    <t>No keyword!</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</si>
  <si>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</si>
  <si>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</si>
  <si>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</si>
  <si>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</si>
  <si>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</si>
  <si>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</si>
  <si>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</si>
  <si>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</si>
  <si>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</si>
  <si>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</si>
  <si>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</si>
  <si>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</si>
  <si>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Постовой должен быть окружен тематическим текстом
Только один постовой на страницу
Постовой должен быть в новой статье</t>
  </si>
  <si>
    <t>PressRelease</t>
  </si>
  <si>
    <t>Пресс-релиз должен быть опубликован через главную страницу и RSS</t>
  </si>
  <si>
    <t>smolianoy.com.ua</t>
  </si>
  <si>
    <t>Интересные товары, которые можно купить - Money Amulet ประเทศไทย
&amp;lt;p&amp;gt;В Таиланде и Малайзии сегодня продается огромное количество различных товаров, которые едва ли можно назвать обычными. Каждый из них имеет определенное предназначение и цели, поэтому вы должны понимать, для чего именно заказываете его. Мы подготовили интересный мини обзор на самые востребованные новинки тайского и малайзийского рынков.&amp;lt;/p&amp;gt;
&amp;lt;p&amp;gt;&amp;lt;strong&amp;gt;Money Amulet ประเทศไทย&amp;lt;/strong&amp;gt; - это один из самых популярных талисманов и оберегов, которые сегодня продаются в интернете. Ходят слухи, что такие кулоны на шее действительно имеют свойство притягивать к себе удачи, а также повышать уровень материального достатка своего владельца. Безусловно, нужно верить в это, чтобы получить возможный результат. Насколько эффективен амулет мы не знаем, но однозначно он выглядит довольно стильно и оригинально, поэтому даже в виде украшения будет смотреться весьма неплохо.&amp;lt;/p&amp;gt;
&amp;lt;p&amp;gt;&amp;lt;img title=&amp;quot;Money Amulet ประเทศไทย&amp;quot; src=&amp;quot;http://www.goods-eu.com/wp-content/uploads/2018/03/MoneyAmulet-231x300.png&amp;quot; alt=&amp;quot;Money Amulet ประเทศไทย&amp;quot; width=&amp;quot;150&amp;quot; height=&amp;quot;195&amp;quot; /&amp;gt;&amp;lt;/p&amp;gt;
&amp;lt;h2&amp;gt;Мужчинам полезен Titan Gel Malaysia&amp;lt;/h2&amp;gt;
&amp;lt;p&amp;gt;А теперь важная информация для мужчин. Если у вас проблемы в интимной жизни или вы не хотите их допустить, попробуйте малайзийскую новинку под названием &amp;lt;strong&amp;gt;Titan Gel Malaysia&amp;lt;/strong&amp;gt;. Как пишет &amp;lt;a href=&amp;quot;http://www.goods-eu.com/&amp;quot;&amp;gt;Goods-EU&amp;lt;/a&amp;gt;, этот продукт имеет потрясающую эффективность и способен буквально за несколько минут вернуть силу там, где это больше всего необходимо любому мужчине. Крем-гель не имеет запаха и оставляет следов на одежде, но самое главное, что но действительно способен сотворить чудеса.&amp;lt;/p&amp;gt;
&amp;lt;p&amp;gt;&amp;lt;img title=&amp;quot;Titan Gel Malaysia&amp;quot; src=&amp;quot;http://www.goods-eu.com/wp-content/uploads/2017/04/titan-gel.png&amp;quot; alt=&amp;quot;Titan Gel Malaysia&amp;quot; width=&amp;quot;150&amp;quot; height=&amp;quot;134&amp;quot; /&amp;gt;&amp;lt;/p&amp;gt;
&amp;lt;h2&amp;gt;Средство против кариеса Denta Seal ประเทศไทย&amp;lt;/h2&amp;gt;
&amp;lt;p&amp;gt;Если у вас проблемы с кариесом и вы хотите как это быстро избавиться от них без походов к своему любимому стоматологу, тогда попробуйте уникальную тайскую зубную пасту &amp;lt;strong&amp;gt;Denta Seal ประเทศไทย &amp;lt;/strong&amp;gt;. Она создана на основе панциря морских улиток, имеет натуральный состав ингредиентов и помогает восстановить зубную эмаль без специальных процедур в стоматологическом кресле.&amp;lt;/p&amp;gt;
&amp;lt;p&amp;gt;&amp;lt;img title=&amp;quot;Denta Seal ประเทศไทย&amp;quot; src=&amp;quot;http://www.goods-eu.com/wp-content/uploads/2018/03/DentaSeal-132x300.png&amp;quot; alt=&amp;quot;Denta Seal ประเทศไทย&amp;quot; width=&amp;quot;132&amp;quot; height=&amp;quot;300&amp;quot; /&amp;gt;&amp;lt;/p&amp;gt;
&amp;lt;p&amp;gt;Вы можете использовать пасту в домашних условиях и получать хороший результат без дополнительных ограничений. Паста полностью безопасная в использовании и в течение 28 дней может изменить состояние ваших зубов, осветлить их и вернуть целостность эмали. Обязательно попробуйте этот продукт, чтобы избавиться от желтого налета и неприятного запаха изо рта.&amp;lt;/p&amp;gt;</t>
  </si>
  <si>
    <t>2018-03-09T17:43:09</t>
  </si>
  <si>
    <t>2018-03-09T18:31:14</t>
  </si>
  <si>
    <t>2018-03-16T18:31:14</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</si>
  <si>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</si>
  <si>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</si>
  <si>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</si>
  <si>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</si>
  <si>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</si>
  <si>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</si>
  <si>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</si>
  <si>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</si>
  <si>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</si>
  <si>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</si>
  <si>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</si>
  <si>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</si>
  <si>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</si>
  <si>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</si>
  <si>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</si>
  <si>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</si>
  <si>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</si>
  <si>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</si>
  <si>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</si>
  <si>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Mit&amp;#228; se tarkoittaa pikavippi op?
&amp;lt;p&amp;gt;T&amp;#228;h&amp;#228;n menness&amp;#228; suuri m&amp;#228;&amp;#228;r&amp;#228; ihmisi&amp;#228; k&amp;#228;ytt&amp;#228;&amp;#228; online-lainatoimintoja. Maamme asukkaat auttavat heit&amp;#228; maksamaan erilaisia ​​ostoksia, matkustamaan ja avaamaan oman yrityksen. T&amp;#228;m&amp;#228; tapa hankkia tavaroita ja maksaa palveluja on yh&amp;#228; suosittu joka p&amp;#228;iv&amp;#228;. &amp;lt;a href=&amp;quot;http://fin-ov.com/pikavippi-247-laina&amp;quot;&amp;gt;Pikavippi op&amp;lt;/a&amp;gt; antaa sinulle erinomaisen mahdollisuuden toteuttaa ajatuksiasi ja unelmasi. Ja lyhyess&amp;#228; ajassa. T&amp;#228;m&amp;#228; johtuu siit&amp;#228;, ett&amp;#228; koko online-lainan my&amp;#246;nt&amp;#228;misen ja vastaanottamisen prosessi on mahdollisimman yksinkertaista ja ymm&amp;#228;rrett&amp;#228;v&amp;#228;&amp;#228;. Aikaisemmin luottotietojen rekister&amp;#246;inti piti viett&amp;#228;&amp;#228; paljon aikaa ja vaivaa. Ker&amp;#228;nnyt asiakirjojen ja todistusten paketin, kun he ovat k&amp;#228;yneet useita haastatteluja, monet ihmiset kielt&amp;#228;ytyiv&amp;#228;t saamasta lainaa. Kaikki eiv&amp;#228;t pystyneet kest&amp;#228;m&amp;#228;&amp;#228;n t&amp;#228;llaista heikent&amp;#228;v&amp;#228;&amp;#228; prosessia. Verkkolainauksen my&amp;#246;t&amp;#228; kaikki on muuttunut radikaalisti. Nyt ei ole tarvetta osallistua pankin haastatteluihin. Nyt, jotta saat lainan, sinun tarvitsee vain olla mukavassa suosikki tuolissa kotona ja k&amp;#228;ytt&amp;#228;&amp;#228; Interneti&amp;#228; siirty&amp;#228; &amp;lt;a href=&amp;quot;http://fin-ov.com&amp;quot;&amp;gt;Fin-ov&amp;lt;/a&amp;gt;: n verkkosivuille. Kun olet vieraillut t&amp;#228;ll&amp;#228; Internet-resurssilla, ymm&amp;#228;rr&amp;#228;t kuinka helppoa ja nopeaa on mahdollista saada laina. Kaikki kannattavimmat lainatarjoukset ker&amp;#228;t&amp;#228;&amp;#228;n t&amp;#228;&amp;#228;lt&amp;#228;. Sinun tarvitsee vain tutustua heihin ja valita sopivin. Jotta voit olla varma valitsemassasi, sivusto ker&amp;#228;&amp;#228; kaikki luottolaitoksia luonnehtivat tiedot: luokitukset, asiakkaiden arvostelut, talousasiantuntijoiden artikkelit.&amp;lt;/p&amp;gt;&amp;lt;p&amp;gt;
Kun valinta on tehty, voit alkaa t&amp;#228;ytt&amp;#228;&amp;#228; verkkohakemuksen rahoille. Siin&amp;#228; teet itsellesi totuudenmukaista tietoa. Sinun ei tarvitse ker&amp;#228;t&amp;#228; mit&amp;#228;&amp;#228;n asiakirjoja tai muita asiakirjoja. Sin&amp;#228; vain t&amp;#228;yt&amp;#228;t s&amp;#228;hk&amp;#246;isen lomakkeen. M&amp;#228;&amp;#228;rit&amp;#228;t siin&amp;#228; tiedot ja raham&amp;#228;&amp;#228;r&amp;#228;, jonka haluat saada luottokortilla. T&amp;#228;m&amp;#228;n j&amp;#228;lkeen l&amp;#228;het&amp;#228; hakemus klikkaamalla tarkistusta varten. Vastaus pyynt&amp;#246;&amp;#246;si l&amp;#228;hetet&amp;#228;&amp;#228;n sinulle mahdollisimman pian, s&amp;#228;hk&amp;#246;postilla. Online-luotonanto avaa uusia n&amp;#228;k&amp;#246;kulmia jokaiselle henkil&amp;#246;lle, jonka avulla voit ostaa aiemmin saavuttamattomia asioita, auttaa toteuttamaan projekteja ja suunnitelmia.&amp;lt;/p&amp;gt;
Проверяется наличие ссылки: http://fin-ov.com/pikavippi-247-laina
с текстом (анкором): Pikavippi op</t>
  </si>
  <si>
    <t>2018-03-12T19:08:05</t>
  </si>
  <si>
    <t>2018-03-13T02:27:35</t>
  </si>
  <si>
    <t>2018-03-20T02:27:35</t>
  </si>
  <si>
    <t>% плотности ключа под который точится статья не должен превышать 2,5% (не более 3-х повторений выбранного ключа: &amp;quot;страховая компания; страховая компания в Алматы; СК в Казахстане&amp;quot;) + в тексте также должна присутствовать его словоформа не более 1-го повторения.
АНКОР (один из): &amp;quot;стахование алматы
https://kommesk.kz/
страховка авто
автострахование алматы цены&amp;quot;
Адрес сайта: &amp;quot;https://kommesk.kz/&amp;quot;
Ссылка должна быть в начале статьи или в середине
Ссылка должна быть одна на странице
Статья должна быть уникальной и иметь смысловую нагрузку, а не ворованной и проспиненой
Длинна статьи не меньше 300 слов или 1000-1500 символов
Проверяется наличие ссылки: https://kommesk.kz/
Длина поста: до 1 500</t>
  </si>
  <si>
    <t>2018-03-12T17:41:32</t>
  </si>
  <si>
    <t>2018-03-13T02:27:36</t>
  </si>
  <si>
    <t>2018-03-20T02:27:36</t>
  </si>
  <si>
    <t>&lt;a href="http://gcs.com.ua/" title="элеваторы"&gt;элеваторы&lt;/a&gt;</t>
  </si>
  <si>
    <t>1. Перейти на сайт http://gcs.com.ua/, ознакомиться с контентом. 
2. Подобрать блог, где можно будет опубликовать пост со ссылкой на сайт заказчика. 
3. Опубликовать комментарий со ссылкой; 
4. В карточке работы указать текст комментария, ссылку на комментарий или страницу, где он размещен.
5. Постовой должен быть окружен тематическим текстом
6. Только один постовой на страницу
7. Постовой должен быть в новой статье</t>
  </si>
  <si>
    <t>2018-03-12T17:45:14</t>
  </si>
  <si>
    <t>2018-03-13T02:27:37</t>
  </si>
  <si>
    <t>2018-03-20T02:27:37</t>
  </si>
  <si>
    <t>http://gcs.com.ua/</t>
  </si>
  <si>
    <t>Статья должна быть новой и тематической с уникальностью не меньше 90 % по сервису text.ru
Объемом не менее 1500 символов.
Не должно быть ссылок на сторонние ресурсы.
В title и h1 должен быть запрос &amp;quot;Конфорки для электроплит&amp;quot;.
Так же в тексте использовать бренд Паток или Patok. 
Анкор &amp;quot;https://patok.com.ua/catalog/konforki/&amp;quot;
Посадочная - https://patok.com.ua/catalog/konforki/</t>
  </si>
  <si>
    <t>2018-03-12T14:59:28</t>
  </si>
  <si>
    <t>2018-03-12T16:17:39</t>
  </si>
  <si>
    <t>2018-03-19T16:17:39</t>
  </si>
  <si>
    <t>&lt;a href="https://servis24.com.ua/ru/" title="Кондиционеры в Киеве"&gt;Кондиционеры в Киеве&lt;/a&gt;</t>
  </si>
  <si>
    <t>2018-03-12T16:28:04</t>
  </si>
  <si>
    <t>2018-03-12T18:37:58</t>
  </si>
  <si>
    <t>2018-03-19T18:37:58</t>
  </si>
  <si>
    <t>https://servis24.com.ua/ru/</t>
  </si>
  <si>
    <t>Элеваторы под ключ цена. Строительство и продажа элеваторов - GCS</t>
  </si>
  <si>
    <t>GCS, Элеватор, элеваторы, купить, элеваторы под ключ, элеватор цена, продажа элеваторов, зерновые элеваторы, строительство элеваторов в украине</t>
  </si>
  <si>
    <t>http://propozitsiya.com/sites/default/files/styles/580x/public/field/image/img_7494.jpg?itok\u003d9Wqdv7x2</t>
  </si>
  <si>
    <t>Кондиционеры, Установка, Обслуживание,  Ремонт.  Купить и установить кондиционер в Киеве</t>
  </si>
  <si>
    <t>http://zhara.kiev.ua/images/vibor_konditionera.jpg</t>
  </si>
  <si>
    <t>http://zoovet.info/vet-knigi/111-kormlenie-zhivotnykh/khranenie-kormov/9195-khranenie-zerna</t>
  </si>
  <si>
    <t xml:space="preserve">ЗооВет _x000D_
Животные_x000D_
Собаки_x000D_
Анатомия собак_x000D_
Кормление собак_x000D_
Болезни собак_x000D_
Незаразные_x000D_
Паразитарные_x000D_
Инфекционные_x000D_
Помощь собаке_x000D_
Кошки_x000D_
Птицы_x000D_
Рыбы_x000D_
Разное о животных_x000D_
Статьи_x000D_
Акушерство животных_x000D_
Анатомия животных_x000D_
Вет-сан эксп_x000D_
Незаразные болезни_x000D_
Инфекционные болезни_x000D_
Кормление животных_x000D_
Паразитарные болезни_x000D_
Хирургия_x000D_
Разное_x000D_
Болезни животных_x000D_
Акушерские болезни_x000D_
Незаразные болезни_x000D_
Органов дыхания_x000D_
Нервной системы_x000D_
Кровообращения_x000D_
Печени и брюшины_x000D_
Мочевыделения_x000D_
Органов пищеварения_x000D_
Метаболизма_x000D_
Обмена мин. веществ_x000D_
Отравления животных_x000D_
Инфекционные болезни_x000D_
Паразитарные болезни_x000D_
Хирургические болезни_x000D_
Словарь_x000D_
А_x000D_
Б_x000D_
В_x000D_
Г_x000D_
Д_x000D_
Е_x000D_
Ж_x000D_
З_x000D_
И_x000D_
К_x000D_
Л_x000D_
М_x000D_
Н_x000D_
О_x000D_
П_x000D_
Р_x000D_
С_x000D_
Т_x000D_
У_x000D_
Ф_x000D_
Х_x000D_
Ц_x000D_
Ч_x000D_
Ш_x000D_
Щ_x000D_
Э_x000D_
Ю_x000D_
Я_x000D_
Фото_x000D_
Животные_x000D_
Ветеринария_x000D_
Анатомия овцы_x000D_
Анатомия козы_x000D_
Анатомия м. свинки_x000D_
Анатомия собаки_x000D_
Анатомия лошади_x000D_
Анатомия коровы_x000D_
Анатомия кошки_x000D_
Анатомия свиньи_x000D_
Анатомия К. Р. С._x000D_
Анатомия собаки (2)_x000D_
Анатомия лошади (2)_x000D_
Анатомия кролика_x000D_
Библиотека_x000D_
Акушерство_x000D_
Ветеринарное _x000D_
Репродукция_x000D_
Бесплодие скота_x000D_
Актуальные проблемы_x000D_
Анатомия животных_x000D_
Домашние животные_x000D_
Органы движения_x000D_
Анестезиология_x000D_
Вет. менеджмент_x000D_
Вет-сан эксп._x000D_
Генетика животных_x000D_
Животноводство_x000D_
Обмен веществ ж-х_x000D_
Резистентность ж-х_x000D_
Антиоксиданты_x000D_
Обмен веществ ж-х 2_x000D_
Проблемы(часть 2)_x000D_
Болезни ж-х_x000D_
Болезни поросят_x000D_
Сельхоз наука севера_x000D_
Проблемы(часть1)_x000D_
Биотехнологии_x000D_
Разведение ж-ных_x000D_
Вентиляция_x000D_
Психология животных_x000D_
Микотоксикозы_x000D_
Болезни свиней_x000D_
Осеменение_x000D_
Зоогигиена_x000D_
Практикум зоогигиены_x000D_
Клиническая биохимия_x000D_
Имунный статус_x000D_
Защита организма_x000D_
Клин. диагностика_x000D_
Электро микроскопия_x000D_
Кормление животных._x000D_
Гигиена кормления _x000D_
Кормление с/х жив-х_x000D_
Физиология_x000D_
Хранение кормов_x000D_
Кормление животных_x000D_
Кормление жив-ных 2_x000D_
Витаминное питание_x000D_
Кормовые отравления_x000D_
Лаб. дело_x000D_
Вскрытие_x000D_
Планирование_x000D_
Микробиология_x000D_
Незаразные болезни._x000D_
Практикум болезней _x000D_
Болезни молодняка_x000D_
Болезни молодняка 2_x000D_
Сельхоз животных_x000D_
Приборы и инструм._x000D_
Онкология животных_x000D_
Опухоли костей_x000D_
Лейкемия кошек_x000D_
Офтальмология_x000D_
Паразитология_x000D_
Вибриоз животных_x000D_
Возбудители инвазий 1_x000D_
Возбудители инвазий 2_x000D_
Возбудители инвазий_x000D_
Очаги болезней_x000D_
Инф. плотоядных_x000D_
Пат. анатомия_x000D_
Патогенез болезней_x000D_
Фармакология_x000D_
Фармакокоррекция_x000D_
Ветеринарная фарм._x000D_
Побочные эффекты_x000D_
Физиология_x000D_
Частная физиология_x000D_
Хирургия_x000D_
Хирургия, офт., ортоп._x000D_
Эпизоотология_x000D_
Разное_x000D_
Патология, терапия_x000D_
Нервные болезни_x000D_
Справочник вет-ра_x000D_
Гематология_x000D_
Общая зоотехния_x000D_
Периодические издания_x000D_
Ветеринарні науки_x000D_
О лошадях_x000D_
Болезни лошадей_x000D_
Лечение лошади 1_x000D_
Лечение лошади 2_x000D_
Справочник болезней_x000D_
Ламинит_x000D_
Колики лошади_x000D_
Язвенный кератит_x000D_
Хромота лошади_x000D_
Болезни лошадей_x000D_
ДНК анализ_x000D_
Генетический м-г_x000D_
Распираторные б-ни_x000D_
Кормление, болезни_x000D_
Колики_x000D_
Диагностика гриппа_x000D_
Вирусные болезни_x000D_
Иппотерапия_x000D_
Иппотерапия_x000D_
Игры в иппотерапии_x000D_
Судейство_x000D_
Судейство выездки_x000D_
Анатомия_x000D_
Мышечная работа_x000D_
Сходство лошадей_x000D_
Мышцы лошади_x000D_
Конечности лошадей_x000D_
Скелет лошади_x000D_
Амуниция_x000D_
Мундштук_x000D_
Всё о попонах_x000D_
Коневодство_x000D_
Коневодство_x000D_
Породы лошадей_x000D_
Русская верховая_x000D_
Племенное дело_x000D_
Наследие лошади_x000D_
Отбор жеребцов_x000D_
Воспроизводство_x000D_
Бонитировка лошадей_x000D_
Инбридинг трекенена_x000D_
Всё о мезенке_x000D_
Кормление лошадей _x000D_
Генетическая экс-за_x000D_
Снижение бактерий_x000D_
Орловский рысак_x000D_
Орловский рысак 1_x000D_
Русские рысаки_x000D_
Русские рысаки 1_x000D_
Продуктивные пути_x000D_
Оценка лошадей_x000D_
Лазерное излучение_x000D_
Воспитание лошади_x000D_
Экспорт-импорт_x000D_
Размножение_x000D_
Осеменение кобыл_x000D_
Размножение лошадей_x000D_
Жеребность кобыл_x000D_
Воспроизводство_x000D_
Рысистые породы_x000D_
Хранение спермы_x000D_
Верховая езда_x000D_
Верховая езда 1_x000D_
Верховая езда 2_x000D_
Секреты езды_x000D_
ГлавнаяБиблиотекаКормление животных.Хранение кормовХРАНЕНИЕ ЗЕРНА_x000D_
ХРАНЕНИЕ ЗЕРНА _x000D_
Вернуться к содержанию &gt;_x000D_
ХРАНЕНИЕ ЗЕРНА_x000D_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Чем больше сыпучесть зерна, тем меньше его скважистость. Скважистость выражается в том, что уложенное на хранение зерно не лежит плотной массой, а между зернами имеются межзерновые пространства, что позволяет вентилировать зерно, а это имеет очень большое значение для его хранения. Проницаемость воздуха в толщу зерна для слоев разной высоты различна. При отсутствии специальных вентиляционных установок доступ воздуха ко всей массе зерна легко достигается путем уменьшения толщины слоя. Для длительного хранения поступает только сухое зерно, содержащее до 14% воды._x000D_
Отрицательную роль при хранении зерна играет его самосортирование (зависит от сыпучести). Вследствие различного удельного веса зерна и примесей при падении с высоты они неравномерно распределяются в насыпи. Тяжелое зерно и тяжелые примеси располагаются около центра падения, а легкое зерно и легкие примеси скатываются к основанию конуса. В результате получается неоднородная масса в различных местах и создаются очаги гнездового самосогревания в связи, например, с тем, что в некоторых местах воздух не может проникать в межзерновые пространства, так как они забиты легкими примесями. В зерне, как живом организме, при хранении не прекращается дыхание. В сухом зерне дыхание замедляется, но с увеличением влажности интенсивность дыхания усиливается. При температурах, ниже 0° дыхание почти прекращается._x000D_
Только что убранное зерно в течение 3—4 недель дозревает. Этот процесс характеризуется выделением воды и поглощением тепла. В это время зерно надо хорошо проветривать, иначе оно портится от скопления влаги. Наконец, при повышенной влажности и температуре зерно может начать прорастать, что связано с расходом углеводов, белков, жиров._x000D_
Влажность и температура — эти два фактора очень связаны между </t>
  </si>
  <si>
    <t xml:space="preserve">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Чем больше сыпучесть зерна, тем меньше его скважистость. Скважистость выражается в том, что уложенное на хранение зерно не лежит плотной массой, а между зернами имеются межзерновые пространства, что позволяет вентилировать зерно, а это имеет очень большое значение для его хранения. Проницаемость воздуха в толщу зерна для слоев разной высоты различна. При отсутствии специальных вентиляционных установок доступ воздуха ко всей массе зерна легко достигается путем уменьшения толщины слоя. Для длительного хранения поступает только сухое зерно, содержащее до 14% воды._x000D_ Отрицательную роль при хранении зерна играет его самосортирование (зависит от сыпучести). Вследствие различного удельного веса зерна и примесей при падении с высоты они неравномерно распределяются в насыпи. Тяжелое зерно и тяжелые примеси располагаются около центра падения, а легкое зерно и легкие примеси скатываются к основанию конуса. В результате получается неоднородная масса в различных местах и создаются очаги гнездового самосогревания в связи, например, с тем, что в некоторых местах воздух не может проникать в межзерновые пространства, так как они забиты легкими примесями. В зерне, как живом организме, при хранении не прекращается дыхание. В сухом зерне дыхание замедляется, но с увеличением влажности интенсивность дыхания усиливается. При температурах, ниже 0° дыхание почти прекращается._x000D_ Только что убранное зерно в течение 3—4 недель дозревает. Этот процесс характеризуется выделением воды и поглощением тепла. В это время зерно надо хорошо проветривать, иначе оно портится от скопления влаги. Наконец, при повышенной влажности и температуре зерно может начать прорастать, что связано с расходом углеводов, белков, жиров._x000D_ Влажность и температура — эти два фактора очень связаны между собой. Так, при повышении влажности усиливается дыхание, а это, в свою очередь, вызывает повышение температуры зерна. Иногда весной верхний слой зерна начинает согреваться, и в месте соприкосновения более теплого слоя с холодным на зерне выделяется влага, оно «отпотевает». Если такой слой увлажненного, «отпотевшего» зерна не просушить, то он может вызвать порчу всей насыпи._x000D_ С увеличением влажности и температуры зерна усиливается деятельность микроорганизмов — бактерий и плесневых грибков. Питаясь готовыми органическими веществами зерна, они своей жизнедеятельностью также повышают его температуру._x000D_ Первое и главное условие — это сохранение зерна в сухом виде. Влажное зерно нужно предварительно высушить, а затем уже засыпать на хранение._x000D_ Нельзя смешивать нормальное зерно с зерном, охлажденным после самосогревания, так как в этом случае могут возникнуть процессы, приводящие к самосогреванию._x000D_ Нельзя здоровое зерно не только ссыпать вместе с зерном, зараженным амбарными вредителями, но и размещать его в одном помещении._x000D_ Зерно затхлое, зараженное, самосогревшееся надо складывать отдельно и после подработки скормить скоту._x000D_ Зерно злаковых, гречихи и бобовых, если оно сухое, засыпают независимо от температуры воздуха в пределах технической возможности; если оно средней сухости, то в холодное время надо засыпать его слоем не более 4 м, влажное — до 3 м и сырое — до 2 м. В теплое время толщину слоя насыпи уменьшают, а именно: для зерна средней сухости до 2 м, влажного — 1 м и сырого — 0,5 м._x000D_ Необходимо систематически контролировать условия хранения зерна, в первую очередь температуру и влажность как самого зерна, так и окружающего воздуха._x000D_ Временные зернохранилища устраивают только на время уборки урожая. Строят их на расчищенной площадке из разнообразных имеющихся в хозяйстве материалов._x000D_ Транспорт с зерном въезжает в проход хранилища. Зерно засыпают сплошным слоем по всей площади хранилища высотой 2—3 м. Стены закромов должны быть выше уровня допустимой загрузки зерна примерно на 0,5 м. Для отвода от стен зернохранилища дождевой воды устраивают отмостки шириной 40 см._x000D_ Особое внимание надо обращать на вентиляцию. Вентиляционные каналы в поперечном сечении имеют** форму треугольника и прокладываются на высоте 0,5 и 2,0 м от пола. В нижней части эти каналы открыты. При заполнении хранилища зерном они находятся в толще зерна, причем одно отверстие выходит наружу, а другое — в проход хранилища. В трубах для регулирования воздуха делают задвижки. В помещении имеется обычная вытяжная труба, выступающая над коньком крыши на 25 см._x000D_ Нужно учитывать, что вентиляция полезна только тогда, когда она способствует правильному обмену воздуха между хранящимися продуктами и окружающей средой. Поэтому надо тщательно следить за ней и регулировать поступление воздуха надлежащей температуры и относительной влажности. В частности, в сырую погоду следует закрыть задвижки труб, чтобы не допустить проникновения к зерну влажного воздуха._x000D_ Лучшими амбарами считаются бревенчатые с дощатыми полами. Склады для зерна бывают закройного и напольного типа. Закромные склады-амбары внутри разделены на отделения — закрома. Закрома большей частью делают четырехугольной формы. Три стены у них постоянные, а четвертая — разборная из досок, которые закладывают в пазы опорных стоек. Расположение закромов и проходов может быть различным. При длительном хранении зерна обычно делают сквозной средний проход вдоль амбара, а закрома располагают по сторонам его. Можно закрома устраивать в середине хранилища, а проходы располагать вдоль стен амбара. Можно также устроить ряд поперечных проходов, а закрома расположить по обе стороны от них. Такие амбары наиболее удобны, когда быстро сменяются партии зерна._x000D_ В некоторых крупных хранилищах для механизации загрузки зерна подвешивают рельсы вдоль прохода к стропилам. По этим рельсам на блоках передвигают ковши, которыми ссыпают зерно из автомашин в закром._x000D_ В каждом амбаре должна быть вентиляция. Система вентиляции в различных проектах зернохранилищ разрешается неодинаково. В некоторых амбарах, например, укладывают вентиляционные горизонтальные трубы в два ряда, а по линии конька крыши устанавливают вытяжные трубы._x000D_ В других амбарах вентиляционные трубы проходят через толщу зерна не только в горизонтальном, по и в вертикальном направлении. Наружные концы труб нужно снабдить задвижками, чтобы регулировать поступление воздуха и плотно закрывать трубы в сырую погоду._x000D_ Вертикальные вентиляционные трубы обязательно соединяют с горизонтальными (чтобы иметь единую вентиляционную систему) и выводят выше уровня зерновой массы на 15—20 см._x000D_ Довольно большие потери зерна при хранении вызываются деятельностью различных амбарных вредителей. Легче предупредить заражение зерновых продуктов вредителями, чем вести с ними борьбу._x000D_ Здесь предупредительные меры складываются из целой системы мероприятий, среди них следует отметить следующие._x000D_ Проконопатить и забить все щели, трещины, очистить помещение от пыли и побелить известью или обработать известково-керосиновой смесью._x000D_ При наличии вредителей зерно обеззараживают окуриванием сероуглеродом; от хлорпикрина кормовое качество фуражного зерна ухудшается._x000D_ При нормальных условиях хранения убыль в весе зерна за год не должна превышать 3—5%. Зерно поступает в зернохранилища взвешенным._x000D_ Если есть необходимость в приближенном определении веса, то измеряют объем зерна и умножают на вес 1 м3. Этот вес в среднем равен для ржи 6,9 ц; овса —4,5; ячменя —6,2; кукурузы в початках — 4,5—5,0; сорго—5,0 ц._x000D_ Силосование влажного зерна. Один из способов хранения зерна с повышенной влажностью — его силосование._x000D_ В период максимального нарастания урожая зерна кукурузы и других злаковых растений содержание воды в нем колеблется в пределах 25—30%- При такой влажности зерно еще интенсивно дышит и в нем происходят физиологические процессы. На все это затрачивается не-которая часть питательных веществ самого зерна._x000D_ Сократить потери питательных вешеств в зерне, если оно используется для фуражных целей, можно путем силосования его в сооружениях при хорошей изоляции от воздуха._x000D_ Хранение зерна (кукурузы, ячменя) с повышенной влажностью в анаэробных условиях практикуется в США, Англии. При влажности 20—25% зерно успешно сохраняется в герметических стальных цилиндрах._x000D_ Силосовать зерно в восковой спелости целесообразно еще и потому, что при этом можно использовать па силос достаточно сочные стебли и листья, а также стержни и обертки початков. Силосованное зерно кукурузы очень хорошо поедается сельскохозяйственными животными и может быть использовано для их откорма с таким же успехом, как и обычное сухое зерно. Это подтверждено в опытах на свиньях, проведенных в совхозе «Хуторок» Ново-Кубанского района Краснодарского края, где были получены следующие результаты. В среднем за 49 дней откорма группа животных, получавших около 60% сухого вещества в рационе за счет спелого зерна кукурузы, дала по 821 г среднесуточного привеса. На таком же рационе, но с заменой спелого зерна равным количеством (по сухому веществу) силосованным в восковой спелости суточные привесы равнялись 792 г на голову. Третья группа, в рационе которой 70% сухого вещества составляло силосованное зерно, дала по 819 г привеса в сутки._x000D_ Технология силосования зерна следующая. Необходимо загрузить полностью силосное сооружение за один, самое большее за два дня, хорошо уплотнить и тщательно изолировать от воздуха. Для этого цементированные стены силосного сооружения покрывают битумной эмульсией (1 часть битума, 2—3 части бензина), чтобы сделать их непроницаемыми для воздуха. Поверхность закрывают полимерной пленкой, толем, измельченной зеленой массой, после чего поверхность надо промазать глиной и засыпать землей._x000D_ Особенности хранения кукурузы. Особенность хранения кукурузного зерна обусловливается повышенной влажностью початков при уборке, медленной отдачей этой влаги и высоким содержанием жира в зерне. Отсюда вытекают и главные правила хранения кукурузы._x000D_ Початки и зерно кукурузы хранят в обычных амбарах и складах. Лучше всего хранить початки при влажности 15—16%, зерно при 13—14%. При хранении кукурузы с более высокой влажностью при температурах выше 15е наблюдаются быстрое развитие плесневых грибков, особенно на зародыше, и самосогревание, приводящие к потере органического вещества. При длительном хранении початков кукурузы с влажностью выше 25% развиваются плесневые грибки. Кукурузу с влажностью выше 14% хранят в початках. Наиболее распространено хранение кукурузы в бунтах на обычных площадках. Початки с влажностью 16—20% в районах недостаточного увлажнения можно временно хранить в сапетках, рассчитанных на вентилирование насыпи ветром._x000D_ Высота насыпи початков кукурузы при" хранении в бунтах составляет 2,5—3 м, а по бокам около 1 м. В насыпях через каждые 10 м по длине устанавливают вертикальные деревянные решетчатые вытяжные трубы треугольного сечения для усиления естественного воздухо-обмена._x000D_ Сапетки представляют собой кукурузохранилища легкого каркасного типа с плетневыми или дощатыми стенами, устроенными в виде жалюзи с промежутками между досками 20—25 мм. Пол сапеток двойной — верхний решетчатый, а нижний сплошной с промежутками между ними 40—50 см. Длина сапетки может быть любой: длинной стороной сапетка располагается поперек движения господствующих ветров. Ширина* сапетки имеет важное значение для сохранности кукурузы, так как от нее зависит продуваемость касыпи початков. Наиболее рациональная ширина сапетки от 1,5 до 3 м, в зависимости от климатических условий местности. Часто их делают спаренными с проездом шириной 2,5 м._x000D_ Початки с влажностью свыше 20% целесообразно хранить в складах или под навесами, оборудованными установками для активного вентилирования насыпей. При необходимости быстро подсушивать початки непосредственно в насыпи при их хранении используют для подачи подогретого воздуха вентиляционные установки._x000D_ Зерно кукурузы после обмолота хранят в складах, зернохранилищах насыпью. Высота насыпи зерна в складах зависит от влажности кукурузы и периода года._x000D_ Зерно с более высокой влажностью засыпать в склады на хранение не следует. Оно должно быть просушено. В складах с активным вентилированием высоту насыпи среднесухого и влажного зерна можно увеличить на 0,5—1,0 м._x000D_</t>
  </si>
  <si>
    <t xml:space="preserve"> Зерновые корма (овес, ячмень, пшеница, рожь, кукуруза, бобы, горох, просо и др.) во время храпения под влиянием внешних условий, например повышения температуры, влажности, а также в связи с процессами, происходящими в самом зерне, могут сильно изменяться. В результате таких изменений понижается их кормовое качество. Кратко остановимся на некоторых свойствах зерна, имеющих большое значение при его хранении._x000D_ Наибольшее значение при хранении зерна имеют гигроскопичность, теплопроводность, сыпучесть, скважистость, самосортирование._x000D_ Гигроскопичность — это способность зерна поглощать влагу. Зерна злаковых и бобовых кормовых культур отличаются большой гигроскопичностью. Как показали опыты Всесоюзного научно-исследовательского института зерна, повышенная влажность зерна способствует размножению микроорганизмов и порче зерна. В зерне с влажностью 13,4%, хранящемся с доступом воздуха при температуре 8 и 20°, микроорганизмы не размножались. В зерне же с влажностью 18,2%, хранящемся при 20°, интенсивно развивались микроорганизмы._x000D_ Зерно обладает плохой теплопроводностью. Плохая теплопроводность зерна — фактор положительный, но если из-за каких-либо причин начнется самосогревание, то это свойство действует отрицательно: зерно медленно охлаждается, и самосогревание остановить трудно._x000D_ Сыпучесть зерна также важное физическое свойство, имеющее значение при использовании в складах и элеваторах транспортных механизмов, при разгрузке закромов самотеком._x000D_ Большое значение при хранении зерна имеет такое физическое свойство, как скважистость, которое зависит от сыпучести зерна. </t>
  </si>
  <si>
    <t xml:space="preserve">Зернові корми (овес, ячмінь, пшениця, жито, кукурудза, боби, горох, просо та ін) під час зберігання під впливом зовнішніх умов, наприклад підвищення температури, вологості, а також у зв'язку з процесами, що відбуваються в самому зерні, можуть сильно змінюватися. В результаті таких змін знижується їх кормову якість. Коротко зупинимося на деяких властивостях зерна, які мають велике значення при його зберіганні. Найбільше значення при зберіганні зерна мають гігроскопічність, теплопровідність, сипучість, скважистость, самосортирование. Гігроскопічність — це здатність зерна поглинати вологу. Зерна злакових і бобових кормових культур відрізняються великою гігроскопічністю. Як показали досліди Всесоюзного науково-дослідного інституту зерна, підвищена вологість зерна сприяє розмноженню мікроорганізмів і псування зерна. В зерні з вологістю 13,4%, що зберігається з доступом повітря при температурі 8 і 20°, мікроорганізми не розмножувалися. У зерні ж з вологістю 18,2%, що зберігається при 20°, інтенсивно розвивалися мікроорганізми. Зерно має погану теплопровідність. Погана теплопровідність зерна — фактор позитивний, але якщо з яких-небудь причин почнеться самозігрівання, то це властивість діє негативно: зерно повільно охолоджується, і самозігрівання зупинити важко. </t>
  </si>
  <si>
    <t>Правильне зберігання зернових культур.</t>
  </si>
  <si>
    <t>[caption id="" align="aligncenter" width="350"]&lt;img src="http://propozitsiya.com/sites/default/files/styles/580x/public/field/image/img_7494.jpg?itok\u003d9Wqdv7x2" alt="" width="350" height="300" /&gt; Правильне зберігання зернових культур.[/caption]    Зернові корми (овес, ячмінь, пшениця, жито, кукурудза, боби, горох, просо та ін) під час зберігання під впливом зовнішніх умов, наприклад підвищення температури, вологості, а також у зв'язку з процесами, що відбуваються в самому зерні, можуть сильно змінюватися. В результаті таких змін знижується їх кормову якість. Коротко зупинимося на деяких властивостях зерна, які мають велике значення при його зберіганні. Найбільше значення при зберіганні зерна мають гігроскопічність, теплопровідність, сипучість, скважистость, самосортирование. Також ви можете знайти все необхідне на ресурсі &lt;a href="http://gcs.com.ua/" title="элеваторы"&gt;элеваторы&lt;/a&gt;.\n    Гігроскопічність — це здатність зерна поглинати вологу. Зерна злакових і бобових кормових культур відрізняються великою гігроскопічністю. Як показали досліди Всесоюзного науково-дослідного інституту зерна, підвищена вологість зерна сприяє розмноженню мікроорганізмів і псування зерна. В зерні з вологістю 13,4%, що зберігається з доступом повітря при температурі 8 і 20°, мікроорганізми не розмножувалися. У зерні ж з вологістю 18,2%, що зберігається при 20°, інтенсивно розвивалися мікроорганізми. Зерно має погану теплопровідність. \n     Погана теплопровідність зерна — фактор позитивний, але якщо з яких-небудь причин почнеться самозігрівання, то це властивість діє негативно: зерно повільно охолоджується, і самозігрівання зупинити важко. Сипучість зерна також важливе фізична властивість, що має значення при використанні в складах і елеваторах транспортних механізмів, при розвантаженні засіків самопливом. Велике значення при зберіганні зерна має така фізична властивість, як скважистость, яке залежить від сипучості зерна.</t>
  </si>
  <si>
    <t>http://fledur.org.ua/%d0%bf%d1%80%d0%b0%d0%b2%d0%b8%d0%bb%d1%8c%d0%bd%d0%b5-%d0%b7%d0%b1%d0%b5%d1%80%d1%96%d0%b3%d0%b0%d0%bd%d0%bd%d1%8f-%d0%b7%d0%b5%d1%80%d0%bd%d0%be%d0%b2%d0%b8%d1%85-%d0%ba%d1%83%d0%bb%d1%8c%d1%82/</t>
  </si>
  <si>
    <t>https://climateservice.com.ua/podobrat-konditsioner/</t>
  </si>
  <si>
    <t>https://www.kievkomfort.com.ua/calculation_powers.php</t>
  </si>
  <si>
    <t>http://www.fj-climate.com/selection/</t>
  </si>
  <si>
    <t xml:space="preserve"> _x000D_
Войти или Зарегистрироваться _x000D_
8 800 550 00 85_x000D_
Связаться с нами _x000D_
О Fujitsu_x000D_
_x000D_
Каталог продукции_x000D_
_x000D_
Где купить_x000D_
_x000D_
Поддержка_x000D_
_x000D_
Стать партнером_x000D_
_x000D_
Акции_x000D_
_x000D_
Контакты_x000D_
Подбор кондиционера_x000D_
Калькулятор подбора кондиционера_x000D_
Fujitsu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_x000D_
_x000D_
Подбор кондиционера по параметрам_x000D_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_x000D_
_x000D_
_x000D_
 _x000D_
Площадь помещения (м²)_x000D_
 _x000D_
Высота потолков (м)_x000D_
 _x000D_
Количество людей в помещении _x000D_
 _x000D_
Суммарная мощность включенных электроприборов в помещении (кВт) _x000D_
 _x000D_
Количество окон в помещении:_x000D_
Север _x000D_
 _x000D_
Юг _x000D_
 _x000D_
Восток _x000D_
 _x000D_
Запад _x000D_
 _x000D_
_x000D_
_x000D_
_x000D_
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 САЙТ ОФИЦИАЛЬНОГО ПОСТАВЩИКА КОНДИЦИОНЕРОВ FUJITSU НА ТЕРРИТОРИИ РОССИИ _x000D_
Политика конфиденциальности _x000D_
_x000D_
Разработка сайта _x000D_
     _x000D_
_x000D_
     _x000D_
  Мобильная версия _x000D_
_x000D_
_x000D_
_x000D_
_x000D_
Все права защищены. Частичное или полное копирование информации сайта возможно только с разрешения правообладателя.</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</si>
  <si>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Исходя из параметров площади помещения, высоты потолков, количества людей, окон и суммарной нагрузки от работающих электроприборов программа подбора кондиционера производит расчет приблизительной требуемой производительности сплит-системы и на основе результата предлагает подходящее решение._x000D_ Более точно подобрать кондиционер по площади помещения, определить необходимую мощность кондиционера, выбрать его тип, основные функции и схему монтажа  поможет специалист официального дилера Fujitsu в вашем регионе, рассчитав дополнительные теплопритоки, теплопотери и воздухообмен._x000D_ Наша программа по подбору сплит-системы поможет вам в выборе кондиционера для помещений различного назначения._x000D_ Для спальни.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t>
  </si>
  <si>
    <t xml:space="preserve"> поддерживает ваше стремление к комфорту и совершенствованию климата вокруг себя. Для того чтобы помочь вам при выборе современной и энергоэффективной системы кондиционирования подходящей под ваши индивидуальные условия эксплуатации, Fujitsu предлагает воспользоваться легким и простым калькулятором подбора кондиционера онлайн._x000D_ Выбор мощности сплит-системы Fujitsu напрямую зависит от характеристик помещения, в котором планируется установка кондиционера. Бесшумные сплит-системы настенного типа с функцией «режим сна», плавно меняющей температуру в помещении на время сна, обладающие фильтрами тонкой очистки воздуха._x000D_ Для квартиры. Настенные кондиционеры, имеющие режим повышенной производительности и экономичный режим расхода электроэнергии за счёт ограничения максимальной мощности._x000D_ Для загородного дома. Кассетные, подпотолочные и канальные высоконапорные кондиционеры, способные эффективно работать как на охлаждение, так и на обогрев при низких температурах без потери мощности._x000D_. </t>
  </si>
  <si>
    <t>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 .</t>
  </si>
  <si>
    <t xml:space="preserve">Підтримує ваше прагнення до комфорту і вдосконалення клімату навколо себе. Для того, щоб допомогти вам при виборі сучасної і енергоефективної системи кондиціонування підходить під ваші індивідуальні умови експлуатації, Fujitsu пропонує скористатися легким і простим калькулятором підбору кондиціонера онлайн. Вибір потужності спліт-системи Fujitsu безпосередньо залежить від характеристик приміщення, в якому планується установка кондиціонера. Безшумні спліт-системи настінного типу з функцією «режим сну», плавно змінює температуру в приміщенні на час сну, що володіють фільтрами тонкого очищення повітря. Для квартири. Настінні кондиціонери, які мають режим підвищеної продуктивності і економічний режим витрати електроенергії за рахунок обмеження максимальної потужності. Для заміського будинку. Касетні, підстелеві і канальні високонапірні кондиціонери, здатні ефективно працювати як на охолодження, так і на обігрів при низьких температурах без втрати потужності. </t>
  </si>
  <si>
    <t>http://www.mhi-russia.ru/service/sovety/kak-vybrat/</t>
  </si>
  <si>
    <t xml:space="preserve"> _x000D_
СПЕЦИАЛИЗИРОВАННЫЙ ИНФОРМАЦИОННЫЙ ПОРТАЛ _x000D_
ПО СИСТЕМАМ КОНДИЦИОНИРОВАНИЯ ВОЗДУХАGLOBAL (MHITS) EUROPE (MHIAE) БИОКОНД НА FB TWITTER  Авторизованный дистрибьютор в РФ. +7 (495) 937-72-20_x000D_
Адрес: Москва, Рязанский проспект, д. 8а, стр.1, оф. 612 Акции_x000D_
О компании_x000D_
Биоконд_x000D_
История Mitsubishi Heavy Industries_x000D_
Исследования и разработки_x000D_
Новости MHI_x000D_
Сертификаты_x000D_
Учебный центр_x000D_
_x000D_
HotStudy-BASIC_x000D_
HotStudy-INTERMEDIATE_x000D_
Расписание семинаров_x000D_
Объекты_x000D_
_x000D_
Скачать альбом объектов_x000D_
Каталог _x000D_
Бытовые кондиционеры_x000D_
Мульти - сплит - системы_x000D_
Мультизональные системы кондиционирования (VRF-системы)_x000D_
Полупромышленные системы_x000D_
Тепловые насосы_x000D_
пульт HotRodS_x000D_
Услуги серии HOT_x000D_
Дилерам_x000D_
Стать дилером_x000D_
Cтоимость доставки_x000D_
Тех.Библиотека_x000D_
Менеджерам по продажам_x000D_
Акции_x000D_
Корпоративным клиентам_x000D_
Для коммерческих помещений_x000D_
Для офиса_x000D_
Для торговых центров_x000D_
Для бизнес-центров_x000D_
Для предприятий_x000D_
Для гостиниц_x000D_
Для складов_x000D_
Оставить заявку_x000D_
Покупателям_x000D_
Гарантийные обязательства_x000D_
Авторизованные сервисные центры - Биоконд_x000D_
Оставить отзыв или претензию_x000D_
Советы по выбору кондиционера_x000D_
Где купить_x000D_
Оптом_x000D_
_x000D_
Москва_x000D_
Регионы_x000D_
СНГ_x000D_
В розницу_x000D_
_x000D_
Москва_x000D_
Мос. Область_x000D_
Регионы_x000D_
Черный список_x000D_
Контакты_x000D_
Обратная связь_x000D_
Главная   Покупателям   Советы по выбору кондиционера   Как правильно выбрать бытовой кондиционер_x000D_
Как правильно выбрать бытовой кондиционер  _x000D_
Как правильно выбрать кондиционер_x000D_
Климатическое оборудование покупается на длительный срок. Например, кондиционеры марки Mitsubishi Heavy Industries служат более 10 лет. Поэтому важно подобрать оптимальную модель. Разберемся, как выбрать правильный кондиционер для конкретного помещения._x000D_
Шаг 1. Определите подходящую разновидность техники_x000D_
Перед тем как правильно выбрать кондиционер, необходимо определиться с типом внутреннего модуля и возможностями его монтажа в помещении._x000D_
Настенные. Такие блоки устанавливаются на стенах в ремонтируемых комнатах и помещениях, где работы завершены._x000D_
Кассетные. Это кондиционеры скрытой установки. Их основной блок монтируется за подвесным потолком, на поверхности которого остается только декоративная панель._x000D_
Напольные. Перед тем как выбрать правильный кондиционер данного типа, необходимо определить место его установки. Напольные сплит - системы размещаются под окном, на стене на уровне пола. Такие приборы можно устанавливать в помещение, где уже провели ремонт._x000D_
Канальные. Они также устанавливаются за натяжными потолками. Воздуховоды находятся там же либо монтируются в стену._x000D_
Мульти - сплит - системы. Такое оборудование рекомендуется выбрать для обеспечения эффектного кондиционирования нескольких (от 2 до 6) помещений посредством одного наружного агрегата._x000D_
Шаг 2. Определите необходимую мощность_x000D_
Мощность современных бытовых кондиционеров варьируется от 2 до 5 кВт. Более высокомощные устройства относятся к полупромышленному оборудованию. Для охлаждения комнаты площадью 9 ± 1 м2 достаточно 1 кВт (если высота потолков составляет 2,8–3 м). Чем больше электроприборов имеется в комнате, тем выше должна быть мощность кондиционера (в среднем, 1,5 кВт на 10 м2). Если Вы решили выбрать мульти - сплит - систему, обратите внимание на мощность каждого блока. Для целей обогрева на 3–4 кВт тепла требуется примерно 1 кВт. Чтобы сделать правильный выбор мощности, необходимо обладать профессиональными знаниями, поскольку здесь нужно учитывать не только площадь помещения, но и его геометрию (архитектурные нюансы, ориентацию окон, материал стен и др.), особенности эксплуатации (посещаемость, требования к микроклимату). Рекомендуется доверить расчет этой характеристики инженерам компании, у которой Вы планируете покупать кондиционер._x000D_
Шаг 3. Не переплачивайте за электроэнергию. Выбирайте экономичные кондиционеры_x000D_
Если Вы интересуетесь, как правильно выбрать кондиционер, обязательно обратите внимание на энергоэффективность оборудования и величину пусковых токов. Это необходимо не только для снижения затрат на электричество, но и для обеспечения долговечности устройства. Чем ниже нагрузка, возникающая при включении кондиционера в сеть (т. е. ниже пусковые токи), тем меньше проблем возникнет с его эксплуатацией. К распространенным проблемам относятся срабатывание защитного автомата (так называемое «выбивание пробок») и быстрый износ рабочих элементов оборудования. Коэффициент энергоэффективности кондиционеров MHI SRK-ZX-S составляет порядка 5,56, а пусковой ток в охлаждающем режиме – всего 1,9 А, что является очень хорошим показателем._x000D_
Шаг 4. Определите набор необходимых для Вас функций_x000D_
Современные кондиционеры поддерживают несколько режимов:_x000D_
охлаждение;_x000D_
вентиляция;_x000D_
нагрев;_x000D_
автоматический выбор программы в зависимости от комнатной температуры._x000D_
Многие модели техники комплектуются различными дополнительными опциями. Очевидно, что чем больше функциональность кондиционера, тем выше его стоимость. Целесообразно выбрать модель, обладающую такими возможностями, которые нужны именно Вам. Это избавит Вас от необходимости переплачивать за лишние функции. Самыми востребованными являются следующие опции:_x000D_
индивидуальное управление жалюзи посредством пульта. Управлять направлением жалюзи с пульта ДУ значительно проще, нежели это делать вручную. В свою очередь, настройки положения воздушного потока позволяют избежать сквозняков;_x000D_
наличие встроенной системы фильтрации. Она очищает воздух от пыли, вредоносных микроорганизмов и др.;_x000D_
оснащение ионизатором. Такой кондиционер насыщает воздух отрицательными ионами, делая его более полезным для здоровья._x000D_
Шаг 5. Закажите профессиональный монтаж_x000D_
После выбора кондиционера необходимо обеспечить надлежащий его монтаж, чтобы:_x000D_
обеспечить правильное функционирование. Климатическое оборудование является достаточно сложным, и неправильная установка может привести к нарушениям в работе или быстрой поломке агрегата;_x000D_
рассчитывать на бесплатное гарантийное обслуживание, которое предоставляется только при условии профессионального монтажа._x000D_
Получить дополнительную информацию о выборе и возможностях кондиционеров Вы можете у официальных дилеров Mitsubishi Heavy Industries  или по номеру +7 (495) 937-72-20._x000D_
 _x000D_
_x000D_
_x000D_
Каталог_x000D_
Бытовые кондиционеры_x000D_
Инверторные _x000D_
Настенные_x000D_
Серия SRK-ZSX-S_x000D_
Серия SRK-ZS-S_x000D_
Серия SRK-ZSPR-S_x000D_
Серия SRK-ZMX-S_x000D_
Серия SRK-ZM-S_x000D_
Серия SRK-ZXA-S_x000D_
Серия SRK-ZR-S_x000D_
Напольные_x000D_
Серия SRF-ZMX-S_x000D_
Канальные _x000D_
Серия SRR-ZMX-S_x000D_
Кассетные_x000D_
Серия FDTC-VF_x000D_
Неинверторные (ON/OFF) _x000D_
Настенные_x000D_
Серия SRK-HG-S _x000D_
Серия SRK-HE-S1_x000D_
Мульти-сплит-системы_x000D_
Внутренние блоки _x000D_
Настенные _x000D_
Серия SRK-ZR-S_x000D_
Серия SRK-ZSX-S_x000D_
Серия SRK-ZS-S_x000D_
Серия SRK-ZSP-S_x000D_
Напольные _x000D_
Серия SRF-ZMX-S _x000D_
Канальные_x000D_
Серия SRR-ZM-S_x000D_
Серия FDUM-VF_x000D_
Кассетные _x000D_
Серия FDTC-VF_x000D_
Потолочные _x000D_
Серия FDE-VG_x000D_
Наружные блоки _x000D_
Серия SCM-ZM-S_x000D_
Серия SCM-ZS-S_x000D_
Полупромышленные системы_x000D_
Наружные блоки_x000D_
Серия Hyper Inverter_x000D_
Серия Micro Inverter_x000D_
Серия Standard Inverter_x000D_
Серия V-multi (мульти-сплит-система)_x000D_
Внутренние блоки _x000D_
Кассетные_x000D_
Серия FDT-VG_x000D_
Компактные, серия FDTC-VF_x000D_
Канальные_x000D_
Высоконапорные, серия FDU-VF_x000D_
Низко/средненапорные, серия FDUM-VF_x000D_
</t>
  </si>
  <si>
    <t xml:space="preserve"> Климатическое оборудование покупается на длительный срок. Например, кондиционеры марки Mitsubishi Heavy Industries служат более 10 лет. Поэтому важно подобрать оптимальную модель. Разберемся, как выбрать правильный кондиционер для конкретного помещения._x000D_ Перед тем как правильно выбрать кондиционер, необходимо определиться с типом внутреннего модуля и возможностями его монтажа в помещении._x000D_ Настенные. Такие блоки устанавливаются на стенах в ремонтируемых комнатах и помещениях, где работы завершены._x000D_ Кассетные. Это кондиционеры скрытой установки. Их основной блок монтируется за подвесным потолком, на поверхности которого остается только декоративная панель._x000D_ Напольные. Перед тем как выбрать правильный кондиционер данного типа, необходимо определить место его установки. Напольные сплит - системы размещаются под окном, на стене на уровне пола. Такие приборы можно устанавливать в помещение, где уже провели ремонт._x000D_ Канальные. Они также устанавливаются за натяжными потолками. Воздуховоды находятся там же либо монтируются в стену._x000D_ Мульти - сплит - системы. Такое оборудование рекомендуется выбрать для обеспечения эффектного кондиционирования нескольких (от 2 до 6) помещений посредством одного наружного агрегата._x000D_ Мощность современных бытовых кондиционеров варьируется от 2 до 5 кВт. Более высокомощные устройства относятся к полупромышленному оборудованию. Для охлаждения комнаты площадью 9 ± 1 м2 достаточно 1 кВт (если высота потолков составляет 2,8–3 м). Чем больше электроприборов имеется в комнате, тем выше должна быть мощность кондиционера (в среднем, 1,5 кВт на 10 м2). Если Вы решили выбрать мульти - сплит - систему, обратите внимание на мощность каждого блока. Для целей обогрева на 3–4 кВт тепла требуется примерно 1 кВт. Чтобы сделать правильный выбор мощности, необходимо обладать профессиональными знаниями, поскольку здесь нужно учитывать не только площадь помещения, но и его геометрию (архитектурные нюансы, ориентацию окон, материал стен и др.), особенности эксплуатации (посещаемость, требования к микроклимату). Рекомендуется доверить расчет этой характеристики инженерам компании, у которой Вы планируете покупать кондиционер._x000D_ Если Вы интересуетесь, как правильно выбрать кондиционер, обязательно обратите внимание на энергоэффективность оборудования и величину пусковых токов. Это необходимо не только для снижения затрат на электричество, но и для обеспечения долговечности устройства. Чем ниже нагрузка, возникающая при включении кондиционера в сеть (т. е. ниже пусковые токи), тем меньше проблем возникнет с его эксплуатацией. К распространенным проблемам относятся срабатывание защитного автомата (так называемое «выбивание пробок») и быстрый износ рабочих элементов оборудования. Коэффициент энергоэффективности кондиционеров MHI SRK-ZX-S составляет порядка 5,56, а пусковой ток в охлаждающем режиме – всего 1,9 А, что является очень хорошим показателем._x000D_ оснащение ионизатором. Такой кондиционер насыщает воздух отрицательными ионами, делая его более полезным для здоровья._x000D_ рассчитывать на бесплатное гарантийное обслуживание, которое предоставляется только при условии профессионального монтажа._x000D_</t>
  </si>
  <si>
    <t xml:space="preserve"> Климатическое оборудование покупается на длительный срок. Например, кондиционеры марки Mitsubishi Heavy Industries служат более 10 лет. Поэтому важно подобрать оптимальную модель. Разберемся, как выбрать правильный кондиционер для конкретного помещения._x000D_ Перед тем как правильно выбрать кондиционер, необходимо определиться с типом внутреннего модуля и возможностями его монтажа в помещении._x000D_ Настенные. Такие блоки устанавливаются на стенах в ремонтируемых комнатах и помещениях, где работы завершены._x000D_ Кассетные. Это кондиционеры скрытой установки. Их основной блок монтируется за подвесным потолком, на поверхности которого остается только декоративная панель._x000D_ Напольные. Перед тем как выбрать правильный кондиционер данного типа, необходимо определить место его установки. Напольные сплит - системы размещаются под окном, на стене на уровне пола. Такие приборы можно устанавливать в помещение, где уже провели ремонт._x000D_ Канальные. Они также устанавливаются за натяжными потолками. Воздуховоды находятся там же либо монтируются в стену._x000D_ Мульти - сплит - системы. Более высокомощные устройства относятся к полупромышленному оборудованию. Для охлаждения комнаты площадью 9 ± 1 м2 достаточно 1 кВт (если высота потолков составляет 2,8–3 м). Чем больше электроприборов имеется в комнате, тем выше должна быть мощность кондиционера (в среднем, 1,5 кВт на 10 м2). Если Вы решили выбрать мульти - сплит - систему, обратите внимание на мощность каждого блока. Для целей обогрева на 3–4 кВт тепла требуется примерно 1 кВт. Чем ниже нагрузка, возникающая при включении кондиционера в сеть (т. е. </t>
  </si>
  <si>
    <t>Кліматичне обладнання купується на тривалий термін. Наприклад, кондиціонери марки Mitsubishi Heavy Industries служать більше 10 років. Тому важливо підібрати оптимальну модель. Розберемося, як вибрати правильний кондиціонер для конкретного приміщення. Перед тим як правильно вибрати кондиціонер, необхідно визначитися з типом внутрішнього модуля і можливостями його монтажу в приміщенні. Настінні. Такі блоки встановлюються на стінах в ремонтованих кімнатах і приміщеннях, де роботи завершені. Касетні. Це кондиціонери прихованої установки. Їх основний блок монтується за підвісною стелею, на поверхні якого залишається тільки декоративна панель. Підлогові. Перед тим як вибрати правильний кондиціонер даного типу, необхідно визначити місце його встановлення. Підлогові спліт - системи розміщуються під вікном, на стіні на рівні підлоги. Такі прилади можна встановлювати в приміщення, де вже провели ремонт. Канальні. Вони також встановлюються за натяжними стелями. Повітроводи знаходяться там же або монтуються в стіну. Мульти - спліт - системи. Більш високопотужні пристрої відносяться до полупромышленному обладнання. Для охолодження кімнати площею 9 ± 1 м2 достатньо 1 кВт (якщо висота стелі становить 2,8–3 м). Чим більше електроприладів є в кімнаті, тим вище повинна бути потужність кондиціонера (в середньому, 1,5 кВт на 10 м2). Якщо Ви вирішили вибрати мульти - спліт - систему, зверніть увагу на потужність кожного блоку. Для цілей обігріву на 3-4 кВт тепла потрібно приблизно 1 кВт. Чим нижче навантаження, що виникає при включенні кондиціонера в мережу (тобто</t>
  </si>
  <si>
    <t xml:space="preserve">Кліматичне обладнання купується на тривалий термін. Наприклад, кондиціонери марки Mitsubishi Heavy Industries служать більше 10 років. Тому важливо підібрати оптимальну модель. Розберемося, як вибрати правильний кондиціонер для конкретного приміщення. Перед тим як правильно вибрати кондиціонер, необхідно визначитися з типом внутрішнього модуля і можливостями його монтажу в приміщенні. Настінні. Такі блоки встановлюються на стінах в ремонтованих кімнатах і приміщеннях, де роботи завершені. Касетні. Це кондиціонери прихованої установки. Їх основний блок монтується за підвісною стелею, на поверхні якого залишається тільки декоративна панель. Підлогові. Перед тим як вибрати правильний кондиціонер даного типу, необхідно визначити місце його встановлення. Підлогові спліт - системи розміщуються під вікном, на стіні на рівні підлоги. Такі прилади можна встановлювати в приміщення, де вже провели ремонт. Канальні. Вони також встановлюються за натяжними стелями. Повітроводи знаходяться там же або монтуються в стіну. Мульти - спліт - системи. Більш високопотужні пристрої відносяться до полупромышленному обладнання. Для охолодження кімнати площею 9 ± 1 м2 достатньо 1 кВт (якщо висота стелі становить 2,8–3 м). Чим більше електроприладів є в кімнаті, тим вище повинна бути потужність кондиціонера (в середньому, 1,5 кВт на 10 м2). </t>
  </si>
  <si>
    <t>Вызов специалиста_x000D_
Скачать Прайс-лист_x000D_
_x000D_
(044) 227-89-85 (095) 598-07-98_x000D_
(050) 833-09-01 (067) 312-30-56_x000D_
О компании_x000D_
Новости_x000D_
Статьи и Обзоры_x000D_
Каталоги сплит-систем_x000D_
Контакты_x000D_
Магазин_x000D_
Как подобрать кондиционер_x000D_
Как выбрать кондиционер_x000D_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Если помещение, в котором планируется установка кондиционера, изобилует сложными теплопритоками:_x000D_
имеется электрическая или газовая плита,_x000D_
недостаточно изолирована крыша,_x000D_
значительная площадь остекления,_x000D_
оборудована приточная вентиляция,_x000D_
комната украшена арками,_x000D_
в помещении постоянно находится много людей,_x000D_
имеется несколько компьютеров и т.д._x000D_
то, правильный расчет и выбор кондиционера помогут сделать специалисты. Для консультации обращайтесь в компанию Climate Service по телефону в Киеве:_x000D_
(044) 227-89-85_x000D_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Монтаж кондиционеров: особенности 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Идеальный вариант — удалять воду в канализацию, но если это не представляется возможным, трубопровод выводится на улицу таким образом, чтобы вода не попадала на прохожих._x000D_
Выбор кондиционера: на чем не рекомендуется экономить_x000D_
Следует помнить, что у качественного кондиционера ресурс эксплуатации в полтора-два раза больше, следовательно, ваш выбор кондиционера не должен основываться только на дешевой цене. Качественный монтаж сплит-системы также очень сильно влияет на длительность и эффективность работы оборудования. Мощность кондиционера должна соответствовать размеру помещения, в противном случае постоянный форсированный режим работы значительно сократит время эксплуатации сплит-системы. И наконец, после установки кондиционера не стоит экономить на регулярном техническом обслуживании. Лучше раз в год потратить 200-300 гривен, чем купить новый кондиционер._x000D_
 _x000D_
Поиск товара_x000D_
Полезные ссылки_x000D_
Как подобрать кондиционер_x000D_
Рейтинг кондиционеров_x000D_
Стоимоcть монтажа_x000D_
Сервис сплит систем_x000D_
Порядок установки кондиционера_x000D_
Тепловые насосы с компенсацией 35%_x000D_
Купить кондиционер_x000D_
Категории магазина_x000D_
© 2003 - 2018 Climate Service. _x000D_
Все права защищены._x000D_
#0 (без названия)_x000D_
Магазин_x000D_
Наши объекты_x000D_
(044) 227-89-85 (095) 598-07-98_x000D_
(050) 833-09-01 (067) 312-30-56</t>
  </si>
  <si>
    <t xml:space="preserve">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Специалист учитывает такие важные моменты как: прочность основания, отсутствие препятствий для свободной циркуляции воздуха, наличие беспрепятственного доступа для проведения сервисного обслуживания кондиционера в будущем._x000D_ Из воздушного пространства помещения кондиционер в среднем извлекает 1- 2 литра влаги в час, поэтому необходимо заранее предусмотреть вывод дренажной трубки. Идеальный вариант — удалять воду в канализацию, но если это не представляется возможным, трубопровод выводится на улицу таким образом, чтобы вода не попадала на прохожих._x000D_ Следует помнить, что у качественного кондиционера ресурс эксплуатации в полтора-два раза больше, следовательно, ваш выбор кондиционера не должен основываться только на дешевой цене. Качественный монтаж сплит-системы также очень сильно влияет на длительность и эффективность работы оборудования. Мощность кондиционера должна соответствовать размеру помещения, в противном случае постоянный форсированный режим работы значительно сократит время эксплуатации сплит-системы. И наконец, после установки кондиционера не стоит экономить на регулярном техническом обслуживании. Лучше раз в год потратить 200-300 гривен, чем купить новый кондиционер._x000D_</t>
  </si>
  <si>
    <t xml:space="preserve"> Выбор кондиционера начинается еще перед его покупкой. Главное – учет охлаждающей мощности кондиционера для погашения избыточного тепла в помещении. Расчет кажется не очень сложным. Каждые 10 м? площади помещения требуют приблизительно 1 кВт мощности охлаждения. Но подобный расчет может дать лишь приблизительное представление о мощности подходящего кондиционера._x000D_ После того как будет согласовано место и время встречи, для уточнения всех нюансов выезжает квалифицированный сервис-инженер, который разработает рациональную схему монтажа и порекомендует, как выбрать кондиционер в большом каталоге предлагаемых моделей. После этого определяется точная дата установки оборудования._x000D_ Тщательный выбор кондиционера для квартиры предполагает наличие у покупателя дополнительной полезной информации, которая поможет учесть многие нюансы установки и дальнейшей эксплуатации оборудования._x000D_ Если в квартире ведется ремонт, то установка кондиционера осуществляется  в два этапа. Сначала все коммуникации, связывающие блоки между собой, прячутся  в стену. А после того, как будут закончены отделочные работы, устанавливается кондиционер._x000D_ Особое внимание уделяется расположению внешнего блока. Он монтируется на ровном основании,  либо вывешивается на стене в строго горизонтальном положении.  Разумеется, место крепления должно обеспечить легкий доступ для сервисного обслуживания и свободное пространство для теплообмена. Кроме того, работа внешнего блока не должна беспокоить соседей._x000D_ Внутренний блок размещается с учетом геометрии помещения. </t>
  </si>
  <si>
    <t>Вибір кондиціонера починається ще перед його покупкою. Головне – облік охолоджуючої потужності кондиціонера для погашення надлишкового тепла в приміщенні. Розрахунок видається не дуже складним. Кожні 10 м? площі приміщення вимагають приблизно 1 кВт потужності охолодження. Але такий розрахунок може дати лише приблизне уявлення про потужності відповідного кондиціонера. Після того, як буде узгоджено місце і час зустрічі, для уточнення всіх нюансів виїжджає кваліфікований сервіс-інженер, який розробить раціональну схему монтажу і порекомендує, як вибрати кондиціонер у великому каталозі пропонованих моделей. Після цього визначається точна дата встановлення обладнання. Ретельний вибір кондиціонера для квартири припускає наявність у покупця додаткової корисної інформації, яка допоможе врахувати багато нюансів встановлення та подальшої експлуатації обладнання. Якщо в квартирі ведеться ремонт, то установка кондиціонера здійснюється в два етапи. Спочатку всі комунікації, що зв'язують блоки між собою, ховаються в стіну. А після того, як будуть закінчені опоряджувальні роботи, встановлюється кондиціонер. Особлива увага приділяється розташуванню зовнішнього блоку. Він монтується на рівній основі, або вивішується на стіні в строго горизонтальному положенні. Зрозуміло, місце кріплення повинно забезпечити легкий доступ для сервісного обслуговування та вільний простір для теплообміну. Крім того, робота зовнішнього блоку не повинна турбувати сусідів. Внутрішній блок розміщується з урахуванням геометрії приміщення.</t>
  </si>
  <si>
    <t xml:space="preserve">Вибір кондиціонера починається ще перед його покупкою. Головне – облік охолоджуючої потужності кондиціонера для погашення надлишкового тепла в приміщенні. Розрахунок видається не дуже складним. Кожні 10 м? площі приміщення вимагають приблизно 1 кВт потужності охолодження. Але такий розрахунок може дати лише приблизне уявлення про потужності відповідного кондиціонера. Після того, як буде узгоджено місце і час зустрічі, для уточнення всіх нюансів виїжджає кваліфікований сервіс-інженер, який розробить раціональну схему монтажу і порекомендує, як вибрати кондиціонер у великому каталозі пропонованих моделей. Після цього визначається точна дата встановлення обладнання. Ретельний вибір кондиціонера для квартири припускає наявність у покупця додаткової корисної інформації, яка допоможе врахувати багато нюансів встановлення та подальшої експлуатації обладнання. Якщо в квартирі ведеться ремонт, то установка кондиціонера здійснюється в два етапи. Спочатку всі комунікації, що зв'язують блоки між собою, ховаються в стіну. А після того, як будуть закінчені опоряджувальні роботи, встановлюється кондиціонер. Особлива увага приділяється розташуванню зовнішнього блоку. Він монтується на рівній основі, або вивішується на стіні в строго горизонтальному положенні. Крім того, робота зовнішнього блоку не повинна турбувати сусідів. </t>
  </si>
  <si>
    <t>_x000D_
Расчет мощности бытовых кондиционеров_x000D_
* Площадь помещения(м2)_x000D_
* Высота помещения(м)_x000D_
РасположениеЮг, Юго-восток, Юго-запад_x000D_
Север, Северо-восток, Северо-запад_x000D_
Запад, Восток _x000D_
Освещение(Вт)_x000D_
Количество компьютеров_x000D_
Суммарная мощность(Вт)_x000D_
других электроприборов_x000D_
(телевизоры, холодильники...)_x000D_
* Количество человек в_x000D_
помещении_x000D_
   _x000D_
!!! Поля помеченные * обязательны для заполнения._x000D_
Расчет мощности охлаждения является приблизительным. _x000D_
_x000D_
Мощность (точнее, мощность охлаждения) является основной характеристикой любого кондиционера. От этой величины зависит площадь, на которую он рассчитан. Для ориентировочных расчетов берется 1 кВт охлаждающей мощности на каждые 10 квадратных метров при высоте потолков 2,8 — 3,0 м. То есть, для приблизительного расчета достаточно площадь комнаты разделить на десять: для 20 кв. м требуется 2,0 кВт, для 45 кв. м — 4,5 кВт и т. д. По этой упрощенной методике определяется требуемая мощность для компенсации теплопритоков от стен, пола, потолка и окон. Если в помещении большая площадь остекления или окна выходят на южную сторону, то теплопритоки будут больше и мощность кондиционера необходимо увеличить на 15 — 20%. _x000D_
Более точный расчет производится по общепринятой методике: _x000D_
Вы можете легко определить ориентировочную мощность бытового кондиционера — на каждые 10 кв. м. охлаждаемого помещения требуется 1 кВт мощности. _x000D_
Q = S * h * q, где _x000D_
Q — теплопритоки (Вт); _x000D_
S — площадь помещения (кв. м); _x000D_
h — высота помещения (м); _x000D_
q — коэффициент, равный 30 — 40 Вт/кб.м. Для помещения, в которое попадает много солнечного света q = 40 Вт/кб.м; для затененного помещения q = 30 Вт/кб.м; при средней освещенности q = 35 Вт/кб.м. _x000D_
Заметим, что расчет кондиционера по этой методике применим только для капитальных зданий, поскольку кондиционировать железный ларек или магазин с прозрачной крышей практически невозможно — в солнечный день теплопритоки от стен и потолка будут слишком большими. _x000D_
В своих расчетах мы еще не учли тепло, выделяемое людьми и электроприборами. Считается, что в спокойном состоянии человек выделяет 0,1 кВт тепла; компьютер или копировальный аппарат — 0,3 кВт; для остальных приборов можно считать, что они выделяют в виде тепла 1/3 паспортной мощности. Просуммировав все тепловыделения и теплопритоки, мы получим требуемую мощность охлаждения. _x000D_
Теперь осталось только выбрать близкую по мощности модель кондиционера из стандартного ряда (большинство производителей выпускает кондиционеры с мощностями, близкими к стандартному ряду: 2,0; 2,5; 3,5; 5,0; 7,0 кВт). Кстати, модели из этого ряда обычно называют «7» (семерка), «9» (девятка), «12», «18» «24». Маркировка кондиционеров большинства производителей выполняется с использованием этих номеров, которые показывают мощность кондиционера не в привычных киловаттах, а в БТЕ/час, где БТЕ — это Британская Тепловая Единица (British Thermal Unit — BTU). 1 БТЕ/час равен 0,3 Вт (точнее 0,2931 Вт). Соответственно, кондиционер мощностью 7000 БТЕ/час или 7000 ? 0,3 = 2,1 кВт, будет иметь в названии цифру 7 и т. д. В тоже время некоторые производители, например Daikin, название моделей привязывают к типовой мощности в ваттах (кондиционер Daikin FTY35 имеет мощность 3,5 кВт). _x000D_
Хотя приведенный выше расчет кондиционера является ориентировочным, для бытовых помещений его погрешность невелика. Однако прежде, чем выбрать кондиционер, обязательно пригласите представителя какой-либо климатической фирмы, который поможет точно рассчитать мощность и подобрать оборудование, а так же согласует с вами места установки блоков и межблочных коммуникаций (как правило, это услуга бесплатна). Вам же умение самостоятельно рассчитывать мощность необходимо для того, что бы недобросовестный продавец не попытался предложить под видом скидки маломощный кондиционер, или наоборот, побольше заработать, порекомендовав слишком мощный сплит. Если ваши расчеты не совпадают с расчетами консультанта, не стесняйтесь попросить объяснения — может быть, вы просто чего-то не учли. Можно также пригласить нескольких представителей из разных фирм (разумеется, не всех сразу) и сравнить результаты их и своих расчетов. _x000D_
Точный расчет мощности кондиционера очень важен. Недостаточная мощность может проявиться только в жаркую погоду, а если кондиционер установлен в конце лета, вы можете почувствовать это только через год, когда предъявлять претензии будет поздно. Избыточная мощность тоже ни к чему хорошему не приводит. Во-первых, мощный кондиционер создает сильный поток холодного воздуха — если вы будете находиться в непосредственной близости от кондиционера, то можете простудиться. Во-вторых, кондиционер будет чаще включаться и выключаться, что приведет к повышенному износу компрессора. В третьих, он будет дороже. _x000D_
Заметим, что без выезда на объект невозможно точно рассчитать требуемую мощность и, самое главное, определить особенности и стоимость установки кондиционера. Поэтому не доверяйте фирмам, которые готовы сделать расчет кондиционера «по телефону» и сразу же прислать бригаду монтажников. Выезд представителя фирмы до начала монтажных работ необходим еще и для согласования точного расположение блоков и коммуникаций. Обязательно требуйте от представителя фирмы схему размещения и точный перечень оборудования с указанием окончательной стоимости кондиционера, монтажных работ и расходных материалов, заверенную его подписью. Это поможет избежать конфликтов, если окажется, что монтажники установили кондиционер не там, где нужно или просят за свою работу больше, чем было запланировано. _x000D_
Рекомендуется обращаться к специалистам для точного расчета с учетом особенности Вашего помещения._x000D_
тел. (044) 332-1925_x000D_
8 (097) 683-3193</t>
  </si>
  <si>
    <t>https://hotline.ua/guides/kak-vybrat-konditsioner/</t>
  </si>
  <si>
    <t xml:space="preserve"> _x000D_
Полтава _x000D_
Ваш город — Полтава?_x000D_
Да   Выбрать другой населенный пункт _x000D_
рус / укр _x000D_
Корзина _x000D_
Товаров в корзине: 0_x000D_
на сумму: 0,0 грн _x000D_
Перейти в корзину _x000D_
Мои списки _x000D_
Сравнения _x000D_
Вход _x000D_
Каталог товаров _x000D_
Авто и Мото _x000D_
Автозапчасти _x000D_
 Автозапчасти _x000D_
 Автошины _x000D_
 Автомасла _x000D_
 Видеорегистраторы _x000D_
 Автомагнитолы и DVD _x000D_
 Автомобильные аккумуляторы _x000D_
 _x000D_
Шины и диски _x000D_
Автозвук, видео, навигация _x000D_
Автоэлектрика и электроника _x000D_
Автохимия, масла _x000D_
Автооборудование _x000D_
Тюнинг _x000D_
Автомобили _x000D_
Мото, скутеры _x000D_
Бытовая техника _x000D_
Крупная бытовая техника _x000D_
 Холодильники _x000D_
 Обогреватели _x000D_
 Варочные поверхности _x000D_
 Блендеры, комбайны, миксеры _x000D_
 Пылесосы _x000D_
 Стиральные и сушильные машины _x000D_
  _x000D_
Встраиваемая техника _x000D_
Техника для кухни _x000D_
Климатическая техника _x000D_
Техника для дома _x000D_
Техника для красоты и ухода _x000D_
Медтехника для дома _x000D_
Все для дома _x000D_
Мебель _x000D_
 Электролампы _x000D_
 Сковороды _x000D_
 Офисные кресла _x000D_
 Люстры, бра, торшеры _x000D_
 Матрасы _x000D_
 Термосы _x000D_
Посуда _x000D_
Освещение, электрика _x000D_
Домашний текстиль _x000D_
Интерьер _x000D_
Кофе, чай _x000D_
Бытовая химия, хозтовары _x000D_
Безопасность дома _x000D_
Хобби и развлечения _x000D_
Дача, Сад _x000D_
Садовая техника _x000D_
 Мотокосы, триммеры _x000D_
 Бензопилы, электропилы _x000D_
 Культиваторы, мотоблоки _x000D_
 Насосы _x000D_
 Семена овощей и трав _x000D_
 Саженцы, рассада _x000D_
Ручной садовый инструмент _x000D_
Саженцы, семена, удобрения _x000D_
Водоснабжение, полив _x000D_
Животноводство, пчеловодство _x000D_
Дачное электропитание _x000D_
Садовая мебель, интерьер _x000D_
Бассейны, пруды, фонтаны _x000D_
Интернет и телевидение _x000D_
Отопление, водонагреватели _x000D_
Детские товары _x000D_
Детские игрушки _x000D_
 Детские коляски _x000D_
 Подгузники и трусики _x000D_
 Детские велосипеды _x000D_
 Детские конструкторы _x000D_
 Куклы, наборы для кукол _x000D_
 Стульчики для кормления _x000D_
 _x000D_
Для малышей _x000D_
Коляски и автокресла _x000D_
Прогулка и активный отдых _x000D_
Детская мебель _x000D_
Товары для школы _x000D_
Детская одежда _x000D_
Для беременных и кормящих мам _x000D_
Зоотовары _x000D_
Для собак _x000D_
 Корм для собак _x000D_
 Аквариумы _x000D_
 Корм для кошек _x000D_
 Когтеточки _x000D_
 Наполнители туалетов _x000D_
 Террариумы _x000D_
Для кошек _x000D_
Для грызунов _x000D_
Для птиц _x000D_
Для рыб и рептилий _x000D_
Разное _x000D_
Инструменты _x000D_
Шлифовальный, отрезной электроинструмент _x000D_
 Дрели _x000D_
 Перфораторы _x000D_
 Наборы инструментов _x000D_
 Лестницы-стремянки _x000D_
 Болгарки _x000D_
 Токарные станки _x000D_
Сверлильный электроинструмент _x000D_
Специализированный электроинструмент _x000D_
Сварочное оборудование _x000D_
Станки _x000D_
Слесарный инструмент _x000D_
Малярный инструмент _x000D_
Столярный инструмент _x000D_
Измерительный инструмент _x000D_
Строительное оборудование _x000D_
Книги _x000D_
Бизнес-книги _x000D_
 Фантастика. Фэнтези _x000D_
 Любовные романы _x000D_
 Детективы _x000D_
 Подарочные издания. Календари. Альбомы _x000D_
 Школьникам _x000D_
 Здоровье ребенка _x000D_
Быт. Дом. Красота и здоровье _x000D_
Дети и родители _x000D_
Досуг. Хобби. Спорт _x000D_
Книги на иностранных языках _x000D_
Словари. Справочники. Энциклопедии _x000D_
Техническая литература _x000D_
Художественная литература _x000D_
Электронные книги. Календари. Подарочные издания _x000D_
Учебники. Наука. Образование _x000D_
Компьютеры, Сети _x000D_
Ноутбуки, планшеты, книги _x000D_
 Ноутбуки, ультрабуки _x000D_
 Видеокарты _x000D_
 Планшеты _x000D_
 Диски SSD _x000D_
 Wi-Fi маршрутизаторы и точки доступа _x000D_
 Мыши, клавиатуры _x000D_
Компьютеры, мониторы, серверы _x000D_
Комплектующие _x000D_
Сети, интернет _x000D_
Принтеры, МФУ _x000D_
Компьютерная периферия _x000D_
Игры, мультимедиа _x000D_
Программное обеспечение _x000D_
Электропитание _x000D_
Музыкальные инструменты _x000D_
Гитары _x000D_
 Гитары акустические _x000D_
 Электрогитары _x000D_
 Микрофоны _x000D_
 Акустические системы для студий и сцены _x000D_
 Синтезаторы и цифровые пианино _x000D_
 Комбоусилители, усилители, гитарные кабинеты _x000D_
Духовые инструменты _x000D_
Смычковые инструменты _x000D_
Ударные инструменты _x000D_
Клавишные инструменты _x000D_
Этнические струнные инструменты _x000D_
Музыкальное оборудование _x000D_
Офис _x000D_
Оргтехника _x000D_
 Телефоны проводные и DECT _x000D_
 Принтеры, МФУ _x000D_
 Сейфы _x000D_
 Проекторы _x000D_
 Камеры видеонаблюдения _x000D_
 Счетчики банкнот _x000D_
Презентационное оборудование _x000D_
Охранные системы _x000D_
Торговое оборудование _x000D_
Канцтовары _x000D_
Средства связи _x000D_
Сетевое оборудование _x000D_
Офисная мебель _x000D_
Программное обеспечение _x000D_
Одежда, Обувь, Аксессуары _x000D_
Для женщин _x000D_
 Термобелье _x000D_
 Ботильоны _x000D_
 Детские сумки и рюкзаки _x000D_
 Кроссовки _x000D_
 Куртки, пуховики, дубленки _x000D_
 Одежда для тренировок _x000D_
Для мужчин _x000D_
Обувь _x000D_
Сумки и аксессуары _x000D_
Для детей _x000D_
Для спорта _x000D_
Парфюм и Косметика _x000D_
Парфюмерия _x000D_
 Женская парфюмерия _x000D_
 Помада и блеск _x000D_
 Тени для век _x000D_
 Шампунь _x000D_
 Мыло, гель _x000D_
 Средства для похудения _x000D_
Декоративная косметика _x000D_
Косметика по уходу _x000D_
Мужская линия _x000D_
Профессиональная косметика _x000D_
Сантехника, Стройматериалы _x000D_
Водонагреватели, отопление _x000D_
 Бойлеры, колонки, водонагреватели _x000D_
 Смесители _x000D_
 Кухонные мойки _x000D_
 Ванны _x000D_
 Плитка, мозаика _x000D_
 Котлы отопления _x000D_
Сантехника _x000D_
Мебель и аксессуары для ванной комнаты _x000D_
Полы, окна, двери _x000D_
Отделочные материалы _x000D_
Строительные смеси, клеи _x000D_
Изолирующие материалы _x000D_
Конструкционные материалы _x000D_
Электрика _x000D_
Смартфоны, Телефоны _x000D_
Смартфоны, мобильные телефоны, умные часы _x000D_
 Смартфоны и мобильные телефоны _x000D_
 Смарт-часы и фитнес-браслеты _x000D_
 Чехлы, накладки, бамперы _x000D_
 Power Bank _x000D_
 Bluetooth гарнитуры _x000D_
 Зарядные устройства _x000D_
Аксессуары и дополнительное оборудование _x000D_
Комплектующие _x000D_
Телефоны DECT- и проводные _x000D_
Спорт, Активный отдых _x000D_
Велосипеды, ролики, скейты _x000D_
 Велосипеды _x000D_
 Гироборды _x000D_
 Беговые дорожки _x000D_
 Гироскутеры _x000D_
 Силовые тренажеры _x000D_
 Велотренажеры _x000D_
 _x000D_
Электротранспорт _x000D_
Тренажеры, фитнес, единоборства _x000D_
Спортивное питание _x000D_
Лыжи, коньки, санки _x000D_
Пневматика и снаряжение _x000D_
Спортивные игры _x000D_
Дайвинг, водный спорт _x000D_
Спортивная одежда, обувь _x000D_
ТВ, Аудио, Видео, Фото _x000D_
Телевизоры, медиаплееры _x000D_
 Телевизоры _x000D_
 Фотоаппараты _x000D_
 Медиаплееры _x000D_
 Экшн-камеры _x000D_
 Акустические системы (колонки) _x000D_
 Наушники, гарнитуры _x000D_
  _x000D_
Аудио _x000D_
Портативное аудио-видео _x000D_
Фотоаппараты, видеокамеры _x000D_
Экшн-камеры, квадрокоптеры _x000D_
Товары для взрослых _x000D_
Интим _x000D_
 Электронные сигареты _x000D_
 Аксессуары для электронных сигарет _x000D_
 Эротическое нижнее белье _x000D_
 Эротические костюмы _x000D_
 Контрацептивы _x000D_
 Зажигалки _x000D_
Эротическая одежда _x000D_
Курение, табачные аксессуары _x000D_
Товары для здоровья _x000D_
Медтехника для дома _x000D_
 Тонометры _x000D_
 Ингаляторы (небулайзеры) _x000D_
 Глюкометры _x000D_
 Пульсометры _x000D_
 Термометры _x000D_
 Бандажи, ортезы _x000D_
Уход и реабилитация _x000D_
Контактные линзы, очки _x000D_
Массаж, сауна, ароматерапия _x000D_
Товары для красоты и персонального ухода _x000D_
Туризм, Рыбалка _x000D_
Рыбалка _x000D_
 Рюкзаки туристические _x000D_
 Фонарики _x000D_
 Ножи, мультитулы _x000D_
 Спиннинги, удочки _x000D_
 Палатки и тенты _x000D_
 Катушки _x000D_
Туризм, кемпинг _x000D_
Водный туризм _x000D_
Пикник _x000D_
Пляж _x000D_
Багаж _x000D_
Часы, Украшения _x000D_
Часы _x000D_
 Наручные часы _x000D_
 Настольные часы _x000D_
 Складные ножи _x000D_
 Серьги _x000D_
 Ручки подарочные _x000D_
 Настенные и напольные часы _x000D_
Сувениры _x000D_
Украшения _x000D_
Подарочные сертификаты _x000D_
Подарки _x000D_
Акции _x000D_
Кредиты, Депозиты, Карты _x000D_
Производители _x000D_
Delonghi _x000D_
 _x000D_
 _x000D_
Audi _x000D_
 _x000D_
Apple _x000D_
 _x000D_
HEAD _x000D_
 _x000D_
Victorinox _x000D_
 _x000D_
Philips _x000D_
 _x000D_
Sprinter _x000D_
 _x000D_
Bambi _x000D_
 _x000D_
Все производители по разделам _x000D_
Все каталоги _x000D_
Поиск  _x000D_
 _x000D_
 _x000D_
_x000D_
Гид покупателя _x000D_
Кондиционеры _x000D_
Как выбрать кондиционер _x000D_
Как выбрать _x000D_
Бытовая техника _x000D_
Кондиционеры _x000D_
Авто и Мото _x000D_
Всего статей в разделе: 83_x000D_
GPS-навигаторы (3) _x000D_
GPS-трекеры (1) _x000D_
Авто крепления для велосипедов (1) _x000D_
Авто крепления для лыж и сноубордов (1) _x000D_
Автодетали (остальные) (1) _x000D_
Автоковрики (2) _x000D_
Автолампы (1) _x000D_
Ав</t>
  </si>
  <si>
    <t xml:space="preserve"> Когда по радио в 9 утра слышишь, что температура воздуха +22, а чувствуется, как +28, все, что остается – покупать кондиционер, чтобы спастись от жары. В этом материале мы расскажем о том, как выбрать кондиционер и не переживать из-за погоды за окном._x000D_ Сплит-системы делятся на настенные, канальные, кассетные и другие. У них два блока – внутренний и внешний, соединенные между собой электрическим кабелем и медными трубками, по которым циркулирует фреон._x000D_ Недостатки: могут создавать зону переохлаждения в направлении воздушного потока, если выбрано неправильное место расположения внутреннего блока._x000D_ Для сплит-систем кассетного типа нужен подвесной потолок с запотолочным пространством от 200 мм, чтобы полностью скрыть внутренний блок кондиционера._x000D_ Преимущество кондиционеров такого типа – равномерное распределение воздуха в помещении по четырем направлениям. Их хорошо использовать в большом помещении с высоким потолком._x000D_ У канальных сплит-систем внутренний блок без декоративной отделки, потому они устанавливаются за подвесным потолком либо в подсобном помещении, а воздухообмен идет через систему воздуховодов и решеток._x000D_ Недостатки такого кондиционера: необходимость подвесного потолка с запотолочным пространством от 250 мм, невозможность регулирования температуры в каждом помещении отдельно._x000D_ У канальных сплит-системы внутренний блок без декоративной отделки, потому они устанавливаются за подвесным потолком либо в подсобном помещении, а воздухообмен осуществляется через систему воздуховодов и решеток._x000D_ Продаются в виде готовых наборов с определенным количеством внутренних блоков и невозможностью дополнительной установки или «наборными», где можно подобрать то количество блоков, которое необходимо._x000D_ Главный недостаток мультисплит-систем: при выходе из строя внешнего блока вся система кондиционирования перестает функционировать._x000D_ Определившись с типом кондиционера, выясните ориентировочную мощность устройства для конкретного помещения._x000D_ Существует много методик расчета требуемой мощности, основанных на разных показателях. Обратите внимание, что в техпаспорте кондиционера указано два показателя мощности – мощность охлаждения и потребляемая мощность._x000D_ Если мощность охлаждения не указана, то ее можно рассчитать самостоятельно. Как правило, она в три раза больше мощности потребления._x000D_ Основная функция кондиционера - охлаждение воздуха, но кроме этого большинство моделей могут обогревать помещение и ионизировать воздух._x000D_ Главное достоинство ионизатора воздуха – значительное улучшение качества воздуха. Кондиционеры с такой функцией имеют антибактериальный эффект и устраняют неприятные запахи._x000D_ Функция притока свежего воздуха, как правило, не дает существенного эффекта, так как свежий воздух поступает в незначительном количестве. Исключением выступают канальные кондиционеры, в которых данная функция работает значительно эффективней._x000D_ Среди дополнительных функций кондиционеров отметим инверторное управление, адаптацию к отрицательной температуре и защиту от неправильной эксплуатации._x000D_ Кондиционеры с функцией инверторного управления для поддержания заданной температуры изменяют мощность, т.е.работают постоянно, но не на всю мощность, в то время как обычные кондиционеры включаются с определенной периодичностью для поддержания заданной температуры._x000D_ Их главное преимущество состоит в том, что они экономят до 30% электроэнергии, работают тише, имеют более продолжительный срок службы и лучше работают в зимнее время._x000D_ Функция адаптации к отрицательной температуре очень интересна для нашего климата, так как большинство кондиционеров не могут работать при температуре наружного воздуха ниже -5°С, а модели с такой функцией могут работать при температурах -15°С (а в некоторых случаях и при -25°С), то есть круглый год._x000D_</t>
  </si>
  <si>
    <t xml:space="preserve"> Когда по радио в 9 утра слышишь, что температура воздуха +22, а чувствуется, как +28, все, что остается – покупать кондиционер, чтобы спастись от жары. В этом материале мы расскажем о том, как выбрать кондиционер и не переживать из-за погоды за окном._x000D_ Сплит-системы делятся на настенные, канальные, кассетные и другие. У них два блока – внутренний и внешний, соединенные между собой электрическим кабелем и медными трубками, по которым циркулирует фреон._x000D_ Недостатки: могут создавать зону переохлаждения в направлении воздушного потока, если выбрано неправильное место расположения внутреннего блока._x000D_ Для сплит-систем кассетного типа нужен подвесной потолок с запотолочным пространством от 200 мм, чтобы полностью скрыть внутренний блок кондиционера._x000D_ Преимущество кондиционеров такого типа – равномерное распределение воздуха в помещении по четырем направлениям. Обратите внимание, что в техпаспорте кондиционера указано два показателя мощности – мощность охлаждения и потребляемая мощность._x000D_ Если мощность охлаждения не указана, то ее можно рассчитать самостоятельно. Как правило, она в три раза больше мощности потребления._x000D_ Основная функция кондиционера - охлаждение воздуха, но кроме этого большинство моделей могут обогревать помещение и ионизировать воздух._x000D_ Главное достоинство ионизатора воздуха – значительное улучшение качества воздуха. Кондиционеры с такой функцией имеют антибактериальный эффект и устраняют неприятные запахи._x000D_ Функция притока свежего воздуха, как правило, не дает существенного эффекта, так как свежий воздух поступает в незначительном количестве. </t>
  </si>
  <si>
    <t xml:space="preserve">Коли по радіо в 9 ранку чуєш, що температура повітря +22, а відчувається, як +28, все, що залишається – купувати кондиціонер, щоб врятуватися від спеки. У цьому матеріалі ми розповімо про те, як вибрати кондиціонер і не переживати з-за погоди за вікном. Спліт-системи поділяються на настінні, канальні, касетні і інші. У них два блоки – внутрішній і зовнішній, з'єднані між собою електричним кабелем і мідними трубками, по яких циркулює фреон. Недоліки: можуть створювати зону переохолодження в напрямку повітряного потоку, якщо вибрано неправильне місце розташування внутрішнього блоку. Для спліт-системи касетного типу потрібен підвісна стеля з запотолочным простором від 200 мм, щоб повністю приховати внутрішній блок кондиціонера. Перевага кондиціонерів такого типу – рівномірний розподіл повітря в приміщенні за чотирма напрямками. Зверніть увагу, що в техпаспорті кондиціонера зазначено два показника потужності – потужність охолодження і споживана потужність. Якщо потужність охолодження не зазначена, то її можна розрахувати самостійно. Як правило, вона в три рази більше потужності споживання. Основна функція кондиціонера - охолодження повітря, але крім цього більшість моделей можуть обігрівати приміщення і іонізувати повітря. Головне достоїнство іонізатора повітря – значне поліпшення якості повітря. </t>
  </si>
  <si>
    <t>Як підібрати кондиціонер.</t>
  </si>
  <si>
    <t>[caption id="" align="aligncenter" width="350"]&lt;img src="http://zhara.kiev.ua/images/vibor_konditionera.jpg" alt="" width="350" height="300" /&gt; Як підібрати кондиціонер.[/caption]    Коли по радіо в 9 ранку чуєш, що температура повітря +22, а відчувається, як +28, все, що залишається – купувати кондиціонер, щоб врятуватися від спеки. У цьому матеріалі ми розповімо про те, як вибрати кондиціонер і не переживати з-за погоди за вікном. Спліт-системи поділяються на настінні, канальні, касетні і інші. У них два блоки – внутрішній і зовнішній, з'єднані між собою електричним кабелем і мідними трубками, по яких циркулює фреон. Недоліки: можуть створювати зону переохолодження в напрямку повітряного потоку, якщо вибрано неправильне місце розташування внутрішнього блоку. Також ви можете знайти все необхідне на ресурсі &lt;a href="https://servis24.com.ua/ru/" title="Кондиционеры в Киеве"&gt;Кондиционеры в Киеве&lt;/a&gt;.\n    Для спліт-системи касетного типу потрібен підвісна стеля з запотолочным простором від 200 мм, щоб повністю приховати внутрішній блок кондиціонера. Перевага кондиціонерів такого типу – рівномірний розподіл повітря в приміщенні за чотирма напрямками. Зверніть увагу, що в техпаспорті кондиціонера зазначено два показника потужності – потужність охолодження і споживана потужність. Якщо потужність охолодження не зазначена, то її можна розрахувати самостійно. \n     Як правило, вона в три рази більше потужності споживання. Основна функція кондиціонера - охолодження повітря, але крім цього більшість моделей можуть обігрівати приміщення і іонізувати повітря. Головне достоїнство іонізатора повітря – значне поліпшення якості повітря. Кондиціонери з такою функцією мають антибактеріальний ефект і усувають неприємні запахи. Функція припливу свіжого повітря, як правило, не дає суттєвого ефекту, так як свіже повітря надходить в незначній кількості.</t>
  </si>
  <si>
    <t>http://sharabt.com.ua/yak-pidibraty-kondytsioner-2/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</si>
</sst>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1203960</xdr:colOff>
          <xdr:row>0</xdr:row>
          <xdr:rowOff>22860</xdr:rowOff>
        </xdr:from>
        <xdr:to>
          <xdr:col>3</xdr:col>
          <xdr:colOff>2651760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2065020</xdr:colOff>
          <xdr:row>3</xdr:row>
          <xdr:rowOff>83820</xdr:rowOff>
        </xdr:from>
        <xdr:to>
          <xdr:col>3</xdr:col>
          <xdr:colOff>1013460</xdr:colOff>
          <xdr:row>4</xdr:row>
          <xdr:rowOff>106680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68580</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7620</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60960</xdr:colOff>
          <xdr:row>0</xdr:row>
          <xdr:rowOff>7620</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E1" zoomScale="80" zoomScaleNormal="80" workbookViewId="0">
      <selection activeCell="J23" sqref="J23"/>
    </sheetView>
  </sheetViews>
  <sheetFormatPr defaultColWidth="40.6640625" defaultRowHeight="14.4" x14ac:dyDescent="0.3"/>
  <cols>
    <col min="1" max="1" width="17.6640625" style="2" bestFit="1" customWidth="1"/>
    <col min="2" max="18" width="38.88671875" style="2" customWidth="1"/>
    <col min="19" max="16384" width="40.6640625" style="2"/>
  </cols>
  <sheetData>
    <row r="1" spans="1:48" ht="16.5" customHeight="1" thickBot="1" x14ac:dyDescent="0.35">
      <c r="A1" s="61" t="str">
        <f xml:space="preserve"> "Авторизация"</f>
        <v>Авторизация</v>
      </c>
      <c r="B1" s="62"/>
      <c r="C1" s="39"/>
      <c r="D1" s="39"/>
      <c r="E1" s="42" t="s">
        <v>54</v>
      </c>
      <c r="F1" s="42" t="s">
        <v>43</v>
      </c>
    </row>
    <row r="2" spans="1:48" ht="15.6" x14ac:dyDescent="0.3">
      <c r="A2" s="54" t="s">
        <v>482</v>
      </c>
      <c r="B2" s="51" t="s">
        <v>1278</v>
      </c>
      <c r="C2" s="39"/>
      <c r="D2" s="39"/>
      <c r="E2" s="44" t="s">
        <v>485</v>
      </c>
      <c r="F2" s="43" t="s">
        <v>569</v>
      </c>
    </row>
    <row r="3" spans="1:48" x14ac:dyDescent="0.3">
      <c r="A3" s="55" t="s">
        <v>483</v>
      </c>
      <c r="B3" s="52" t="s">
        <v>1279</v>
      </c>
      <c r="C3" s="39"/>
      <c r="D3" s="39"/>
      <c r="E3" s="39"/>
      <c r="F3" s="39"/>
    </row>
    <row r="4" spans="1:48" x14ac:dyDescent="0.3">
      <c r="A4" s="55" t="s">
        <v>409</v>
      </c>
      <c r="B4" s="52" t="s">
        <v>1280</v>
      </c>
      <c r="C4" s="40"/>
      <c r="D4" s="39"/>
      <c r="E4" s="39"/>
      <c r="F4" s="39"/>
    </row>
    <row r="5" spans="1:48" ht="15" thickBot="1" x14ac:dyDescent="0.35">
      <c r="A5" s="56" t="s">
        <v>419</v>
      </c>
      <c r="B5" s="53" t="s">
        <v>1281</v>
      </c>
      <c r="C5" s="41"/>
      <c r="D5" s="39"/>
      <c r="E5" s="39"/>
      <c r="F5" s="39"/>
    </row>
    <row r="6" spans="1:48" x14ac:dyDescent="0.3">
      <c r="E6" s="39"/>
    </row>
    <row r="7" spans="1:48" x14ac:dyDescent="0.3">
      <c r="A7" s="2" t="s">
        <v>5</v>
      </c>
      <c r="B7" s="57">
        <v>28626120</v>
      </c>
      <c r="C7" s="57">
        <v>28625901</v>
      </c>
      <c r="D7" s="58">
        <v>28625907</v>
      </c>
      <c r="E7" s="57">
        <v>28622278</v>
      </c>
      <c r="F7" s="57">
        <v>28624085</v>
      </c>
      <c r="G7" s="57">
        <v>28625652</v>
      </c>
      <c r="H7" s="58">
        <v>28625790</v>
      </c>
      <c r="I7"/>
      <c r="J7"/>
      <c r="K7"/>
      <c r="L7"/>
      <c r="M7"/>
      <c r="N7"/>
      <c r="O7"/>
      <c r="P7"/>
      <c r="Q7"/>
      <c r="R7"/>
      <c r="S7"/>
      <c r="T7"/>
      <c r="U7"/>
      <c r="V7"/>
      <c r="W7"/>
      <c r="X7"/>
      <c r="Y7"/>
      <c r="Z7"/>
      <c r="AA7"/>
      <c r="AB7"/>
      <c r="AC7"/>
      <c r="AD7"/>
      <c r="AE7"/>
      <c r="AF7"/>
      <c r="AG7"/>
      <c r="AH7"/>
      <c r="AI7"/>
      <c r="AJ7"/>
      <c r="AK7"/>
      <c r="AL7"/>
      <c r="AM7"/>
      <c r="AN7"/>
      <c r="AO7"/>
      <c r="AP7"/>
      <c r="AQ7"/>
      <c r="AR7"/>
      <c r="AS7"/>
      <c r="AT7"/>
      <c r="AU7"/>
      <c r="AV7"/>
    </row>
    <row r="8" spans="1:48" x14ac:dyDescent="0.3">
      <c r="A8" s="2" t="s">
        <v>6</v>
      </c>
      <c r="B8" s="1" t="s">
        <v>1340</v>
      </c>
      <c r="C8" s="1" t="s">
        <v>558</v>
      </c>
      <c r="D8" s="1" t="s">
        <v>484</v>
      </c>
      <c r="E8" s="1" t="s">
        <v>558</v>
      </c>
      <c r="F8" s="1" t="s">
        <v>1340</v>
      </c>
      <c r="G8" s="1" t="s">
        <v>558</v>
      </c>
      <c r="H8" s="1" t="s">
        <v>484</v>
      </c>
      <c r="I8"/>
      <c r="J8"/>
      <c r="K8"/>
      <c r="L8"/>
      <c r="M8"/>
      <c r="N8"/>
      <c r="O8"/>
      <c r="P8"/>
      <c r="Q8"/>
      <c r="R8"/>
      <c r="S8"/>
      <c r="T8"/>
      <c r="U8"/>
      <c r="V8"/>
      <c r="W8"/>
      <c r="X8"/>
      <c r="Y8"/>
      <c r="Z8"/>
      <c r="AA8"/>
      <c r="AB8"/>
      <c r="AC8"/>
      <c r="AD8"/>
      <c r="AE8"/>
      <c r="AF8"/>
      <c r="AG8"/>
      <c r="AH8"/>
      <c r="AI8"/>
      <c r="AJ8"/>
      <c r="AK8"/>
      <c r="AL8"/>
      <c r="AM8"/>
      <c r="AN8"/>
      <c r="AO8"/>
      <c r="AP8"/>
      <c r="AQ8"/>
      <c r="AR8"/>
      <c r="AS8"/>
      <c r="AT8"/>
      <c r="AU8"/>
      <c r="AV8"/>
    </row>
    <row r="9" spans="1:48" x14ac:dyDescent="0.3">
      <c r="A9" s="2" t="s">
        <v>7</v>
      </c>
      <c r="B9" s="1" t="s">
        <v>1366</v>
      </c>
      <c r="C9" s="1" t="s">
        <v>1370</v>
      </c>
      <c r="D9" s="1" t="s">
        <v>1374</v>
      </c>
      <c r="E9" s="1" t="s">
        <v>1316</v>
      </c>
      <c r="F9" s="1" t="s">
        <v>1343</v>
      </c>
      <c r="G9" s="1" t="s">
        <v>1380</v>
      </c>
      <c r="H9" s="1" t="s">
        <v>1384</v>
      </c>
      <c r="I9"/>
      <c r="J9"/>
      <c r="K9"/>
      <c r="L9"/>
      <c r="M9"/>
      <c r="N9"/>
      <c r="O9"/>
      <c r="P9"/>
      <c r="Q9"/>
      <c r="R9"/>
      <c r="S9"/>
      <c r="T9"/>
      <c r="U9"/>
      <c r="V9"/>
      <c r="W9"/>
      <c r="X9"/>
      <c r="Y9"/>
      <c r="Z9"/>
      <c r="AA9"/>
      <c r="AB9"/>
      <c r="AC9"/>
      <c r="AD9"/>
      <c r="AE9"/>
      <c r="AF9"/>
      <c r="AG9"/>
      <c r="AH9"/>
      <c r="AI9"/>
      <c r="AJ9"/>
      <c r="AK9"/>
      <c r="AL9"/>
      <c r="AM9"/>
      <c r="AN9"/>
      <c r="AO9"/>
      <c r="AP9"/>
      <c r="AQ9"/>
      <c r="AR9"/>
      <c r="AS9"/>
      <c r="AT9"/>
      <c r="AU9"/>
      <c r="AV9"/>
    </row>
    <row r="10" spans="1:48" x14ac:dyDescent="0.3">
      <c r="A10" s="2" t="s">
        <v>8</v>
      </c>
      <c r="B10" s="1"/>
      <c r="C10" s="1"/>
      <c r="D10" s="1" t="s">
        <v>1375</v>
      </c>
      <c r="E10" s="1"/>
      <c r="F10" s="1" t="s">
        <v>1341</v>
      </c>
      <c r="G10" s="1"/>
      <c r="H10" s="1" t="s">
        <v>1339</v>
      </c>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3">
      <c r="A11" s="2" t="s">
        <v>9</v>
      </c>
      <c r="B11" s="1" t="s">
        <v>210</v>
      </c>
      <c r="C11" s="1" t="s">
        <v>169</v>
      </c>
      <c r="D11" s="1" t="s">
        <v>210</v>
      </c>
      <c r="E11" s="1" t="s">
        <v>570</v>
      </c>
      <c r="F11" s="1" t="s">
        <v>515</v>
      </c>
      <c r="G11" s="1" t="s">
        <v>570</v>
      </c>
      <c r="H11" s="1" t="s">
        <v>377</v>
      </c>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3">
      <c r="A12" s="2" t="s">
        <v>10</v>
      </c>
      <c r="B12" s="1"/>
      <c r="C12" s="1"/>
      <c r="D12" s="1"/>
      <c r="E12" s="1"/>
      <c r="F12" s="1"/>
      <c r="G12" s="1"/>
      <c r="H12" s="1"/>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3">
      <c r="A13" s="2" t="s">
        <v>11</v>
      </c>
      <c r="B13" s="1">
        <v>150</v>
      </c>
      <c r="C13" s="1">
        <v>250</v>
      </c>
      <c r="D13" s="1">
        <v>50</v>
      </c>
      <c r="E13" s="1">
        <v>250</v>
      </c>
      <c r="F13" s="1">
        <v>50</v>
      </c>
      <c r="G13" s="1">
        <v>250</v>
      </c>
      <c r="H13" s="1">
        <v>50</v>
      </c>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3">
      <c r="A14" s="2" t="s">
        <v>12</v>
      </c>
      <c r="B14" s="1" t="s">
        <v>1367</v>
      </c>
      <c r="C14" s="1" t="s">
        <v>1371</v>
      </c>
      <c r="D14" s="1" t="s">
        <v>1376</v>
      </c>
      <c r="E14" s="1" t="s">
        <v>1317</v>
      </c>
      <c r="F14" s="1" t="s">
        <v>1344</v>
      </c>
      <c r="G14" s="1" t="s">
        <v>1381</v>
      </c>
      <c r="H14" s="1" t="s">
        <v>1385</v>
      </c>
      <c r="I14"/>
      <c r="J14"/>
      <c r="K14"/>
      <c r="L14"/>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3">
      <c r="A15" s="2" t="s">
        <v>13</v>
      </c>
      <c r="B15" s="1" t="s">
        <v>1368</v>
      </c>
      <c r="C15" s="1" t="s">
        <v>1372</v>
      </c>
      <c r="D15" s="1" t="s">
        <v>1377</v>
      </c>
      <c r="E15" s="1" t="s">
        <v>1318</v>
      </c>
      <c r="F15" s="1" t="s">
        <v>1345</v>
      </c>
      <c r="G15" s="1" t="s">
        <v>1382</v>
      </c>
      <c r="H15" s="1" t="s">
        <v>1386</v>
      </c>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3">
      <c r="A16" s="2" t="s">
        <v>14</v>
      </c>
      <c r="B16" s="1"/>
      <c r="C16" s="1"/>
      <c r="D16" s="1"/>
      <c r="E16" s="1"/>
      <c r="F16" s="1"/>
      <c r="G16" s="1"/>
      <c r="H16" s="1"/>
      <c r="I16"/>
      <c r="J16"/>
      <c r="K16"/>
      <c r="L16"/>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3">
      <c r="A17" s="2" t="s">
        <v>15</v>
      </c>
      <c r="B17" s="1"/>
      <c r="C17" s="1"/>
      <c r="D17" s="1"/>
      <c r="E17" s="1"/>
      <c r="F17" s="1"/>
      <c r="G17" s="1"/>
      <c r="H17" s="1"/>
      <c r="I17"/>
      <c r="J17"/>
      <c r="K17"/>
      <c r="L17"/>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3">
      <c r="A18" s="2" t="s">
        <v>16</v>
      </c>
      <c r="B18" s="1"/>
      <c r="C18" s="1"/>
      <c r="D18" s="1"/>
      <c r="E18" s="1"/>
      <c r="F18" s="1"/>
      <c r="G18" s="1"/>
      <c r="H18" s="1"/>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3">
      <c r="A19" s="2" t="s">
        <v>17</v>
      </c>
      <c r="B19" s="1">
        <v>0</v>
      </c>
      <c r="C19" s="1">
        <v>0</v>
      </c>
      <c r="D19" s="1">
        <v>0</v>
      </c>
      <c r="E19" s="1">
        <v>0</v>
      </c>
      <c r="F19" s="1">
        <v>0</v>
      </c>
      <c r="G19" s="1">
        <v>0</v>
      </c>
      <c r="H19" s="1">
        <v>0</v>
      </c>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3">
      <c r="A20" s="2" t="s">
        <v>18</v>
      </c>
      <c r="B20" s="1">
        <v>0</v>
      </c>
      <c r="C20" s="1">
        <v>0</v>
      </c>
      <c r="D20" s="1">
        <v>0</v>
      </c>
      <c r="E20" s="1">
        <v>0</v>
      </c>
      <c r="F20" s="1">
        <v>0</v>
      </c>
      <c r="G20" s="1">
        <v>0</v>
      </c>
      <c r="H20" s="1">
        <v>0</v>
      </c>
      <c r="I20"/>
      <c r="J20"/>
      <c r="K20"/>
      <c r="L20"/>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3">
      <c r="A21" s="2" t="s">
        <v>19</v>
      </c>
      <c r="B21" s="1" t="s">
        <v>1369</v>
      </c>
      <c r="C21" s="1" t="s">
        <v>1373</v>
      </c>
      <c r="D21" s="1" t="s">
        <v>1378</v>
      </c>
      <c r="E21" s="1" t="s">
        <v>1319</v>
      </c>
      <c r="F21" s="1" t="s">
        <v>1346</v>
      </c>
      <c r="G21" s="1" t="s">
        <v>1383</v>
      </c>
      <c r="H21" s="1" t="s">
        <v>1387</v>
      </c>
      <c r="I21"/>
      <c r="J21"/>
      <c r="K21"/>
      <c r="L21"/>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3">
      <c r="A22" s="2" t="s">
        <v>20</v>
      </c>
      <c r="B22" s="1" t="b">
        <v>0</v>
      </c>
      <c r="C22" s="1" t="b">
        <v>0</v>
      </c>
      <c r="D22" s="1" t="b">
        <v>0</v>
      </c>
      <c r="E22" s="1" t="b">
        <v>0</v>
      </c>
      <c r="F22" s="1" t="b">
        <v>0</v>
      </c>
      <c r="G22" s="1" t="b">
        <v>0</v>
      </c>
      <c r="H22" s="1" t="b">
        <v>0</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3">
      <c r="A23" s="2" t="s">
        <v>21</v>
      </c>
      <c r="B23" s="1"/>
      <c r="C23" s="1"/>
      <c r="D23" s="1"/>
      <c r="E23" s="1"/>
      <c r="F23" s="1"/>
      <c r="G23" s="1"/>
      <c r="H23" s="1"/>
      <c r="I23"/>
      <c r="J23"/>
      <c r="K23"/>
      <c r="L23"/>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3">
      <c r="A24" s="2" t="s">
        <v>0</v>
      </c>
      <c r="B24" s="1" t="s">
        <v>1315</v>
      </c>
      <c r="C24" s="1" t="s">
        <v>1315</v>
      </c>
      <c r="D24" s="1" t="s">
        <v>1379</v>
      </c>
      <c r="E24" s="1" t="s">
        <v>1315</v>
      </c>
      <c r="F24" s="1" t="s">
        <v>1315</v>
      </c>
      <c r="G24" s="1" t="s">
        <v>1315</v>
      </c>
      <c r="H24" s="1" t="s">
        <v>1388</v>
      </c>
      <c r="I24"/>
      <c r="J24"/>
      <c r="K24"/>
      <c r="L24"/>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3">
      <c r="A25" s="31" t="s">
        <v>1</v>
      </c>
      <c r="B25" t="s">
        <v>1326</v>
      </c>
      <c r="C25" t="s">
        <v>1326</v>
      </c>
      <c r="D25" t="s">
        <v>124</v>
      </c>
      <c r="E25" t="s">
        <v>1326</v>
      </c>
      <c r="F25" t="s">
        <v>1326</v>
      </c>
      <c r="G25" t="s">
        <v>1326</v>
      </c>
      <c r="H25" t="s">
        <v>199</v>
      </c>
      <c r="I25"/>
      <c r="J25"/>
      <c r="K25"/>
      <c r="L25"/>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3">
      <c r="A26" s="3" t="s">
        <v>30</v>
      </c>
      <c r="B26" t="s">
        <v>1324</v>
      </c>
      <c r="C26" t="s">
        <v>1324</v>
      </c>
      <c r="D26" t="s">
        <v>1374</v>
      </c>
      <c r="E26" t="s">
        <v>1324</v>
      </c>
      <c r="F26" t="s">
        <v>1324</v>
      </c>
      <c r="G26" t="s">
        <v>1324</v>
      </c>
      <c r="H26" t="s">
        <v>1384</v>
      </c>
      <c r="I26"/>
      <c r="J26"/>
      <c r="K26"/>
      <c r="L26"/>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3">
      <c r="A27" s="3" t="s">
        <v>42</v>
      </c>
      <c r="B27" s="1" t="s">
        <v>1325</v>
      </c>
      <c r="C27" s="1" t="s">
        <v>1325</v>
      </c>
      <c r="D27" s="1" t="s">
        <v>1391</v>
      </c>
      <c r="E27" s="1" t="s">
        <v>1325</v>
      </c>
      <c r="F27" s="1" t="s">
        <v>1325</v>
      </c>
      <c r="G27" s="1" t="s">
        <v>1325</v>
      </c>
      <c r="H27" s="1" t="s">
        <v>1393</v>
      </c>
      <c r="I27"/>
      <c r="J27"/>
      <c r="K27"/>
      <c r="L27"/>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3">
      <c r="A28" s="3" t="s">
        <v>50</v>
      </c>
      <c r="B28" t="s">
        <v>394</v>
      </c>
      <c r="C28" t="s">
        <v>394</v>
      </c>
      <c r="D28" t="s">
        <v>394</v>
      </c>
      <c r="E28" t="s">
        <v>394</v>
      </c>
      <c r="F28" t="s">
        <v>394</v>
      </c>
      <c r="G28" t="s">
        <v>394</v>
      </c>
      <c r="H28" t="s">
        <v>394</v>
      </c>
      <c r="I28"/>
      <c r="J28"/>
      <c r="K28"/>
      <c r="L28"/>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3">
      <c r="A29" s="50" t="s">
        <v>66</v>
      </c>
      <c r="B29"/>
      <c r="C29"/>
      <c r="D29" s="1" t="s">
        <v>1389</v>
      </c>
      <c r="E29"/>
      <c r="F29"/>
      <c r="G29"/>
      <c r="H29" s="1" t="s">
        <v>1392</v>
      </c>
      <c r="I29"/>
      <c r="J29"/>
      <c r="K29"/>
      <c r="L29"/>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3">
      <c r="A30" s="32" t="s">
        <v>112</v>
      </c>
      <c r="B30" s="1" t="s">
        <v>1323</v>
      </c>
      <c r="C30" s="1" t="s">
        <v>1323</v>
      </c>
      <c r="D30" s="1" t="s">
        <v>1390</v>
      </c>
      <c r="E30" s="1" t="s">
        <v>1323</v>
      </c>
      <c r="F30" s="1" t="s">
        <v>1323</v>
      </c>
      <c r="G30" s="1" t="s">
        <v>1323</v>
      </c>
      <c r="H30" s="1" t="s">
        <v>1323</v>
      </c>
      <c r="I30"/>
      <c r="J30"/>
      <c r="K30"/>
      <c r="L30"/>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3">
      <c r="A31" s="32" t="s">
        <v>43</v>
      </c>
      <c r="B31" t="s">
        <v>483</v>
      </c>
      <c r="C31" t="s">
        <v>483</v>
      </c>
      <c r="D31" t="s">
        <v>483</v>
      </c>
      <c r="E31" t="s">
        <v>409</v>
      </c>
      <c r="F31" t="s">
        <v>409</v>
      </c>
      <c r="G31" t="s">
        <v>409</v>
      </c>
      <c r="H31" t="s">
        <v>419</v>
      </c>
      <c r="I31"/>
      <c r="J31"/>
      <c r="K31"/>
      <c r="L31"/>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3">
      <c r="B34" s="3"/>
    </row>
    <row r="36" spans="2:2" x14ac:dyDescent="0.3">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1203960</xdr:colOff>
                    <xdr:row>0</xdr:row>
                    <xdr:rowOff>22860</xdr:rowOff>
                  </from>
                  <to>
                    <xdr:col>3</xdr:col>
                    <xdr:colOff>2651760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2065020</xdr:colOff>
                    <xdr:row>3</xdr:row>
                    <xdr:rowOff>83820</xdr:rowOff>
                  </from>
                  <to>
                    <xdr:col>3</xdr:col>
                    <xdr:colOff>1013460</xdr:colOff>
                    <xdr:row>4</xdr:row>
                    <xdr:rowOff>106680</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68580</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N17" sqref="N17"/>
    </sheetView>
  </sheetViews>
  <sheetFormatPr defaultRowHeight="14.4" x14ac:dyDescent="0.3"/>
  <cols>
    <col min="1" max="1" width="11.5546875" customWidth="1"/>
    <col min="2" max="2" width="8.88671875" customWidth="1"/>
    <col min="3" max="3" width="15.5546875" customWidth="1"/>
    <col min="4" max="4" width="22.33203125" customWidth="1"/>
    <col min="5" max="5" width="16.44140625" bestFit="1" customWidth="1"/>
    <col min="6" max="6" width="8.88671875" customWidth="1"/>
    <col min="7" max="7" width="16.44140625" customWidth="1"/>
    <col min="8" max="8" width="8.88671875" customWidth="1"/>
    <col min="9" max="9" width="13.33203125" customWidth="1"/>
    <col min="10" max="11" width="8.88671875" customWidth="1"/>
    <col min="12" max="12" width="10.44140625" customWidth="1"/>
    <col min="13" max="15" width="8.88671875" customWidth="1"/>
    <col min="16" max="16" width="13.6640625" customWidth="1"/>
    <col min="17" max="19" width="8.88671875" customWidth="1"/>
    <col min="21" max="21" width="9.5546875" customWidth="1"/>
  </cols>
  <sheetData>
    <row r="1" spans="1:22" ht="32.25" customHeight="1" thickBot="1" x14ac:dyDescent="0.35">
      <c r="A1" s="64" t="s">
        <v>33</v>
      </c>
      <c r="B1" s="64"/>
      <c r="C1" s="22" t="s">
        <v>39</v>
      </c>
      <c r="D1" s="23"/>
      <c r="L1" s="8" t="s">
        <v>44</v>
      </c>
    </row>
    <row r="2" spans="1:22" s="17" customFormat="1" ht="31.5" customHeight="1" thickBot="1" x14ac:dyDescent="0.35">
      <c r="A2" s="63" t="s">
        <v>1314</v>
      </c>
      <c r="B2" s="63"/>
      <c r="C2" s="24">
        <f>COUNTA(A:A)-2</f>
        <v>13</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3">
      <c r="A3">
        <v>28626120</v>
      </c>
      <c r="D3" t="s">
        <v>483</v>
      </c>
      <c r="E3" t="s">
        <v>210</v>
      </c>
      <c r="G3" s="48">
        <v>43171.797222222223</v>
      </c>
      <c r="I3" t="s">
        <v>394</v>
      </c>
      <c r="L3" s="1" t="s">
        <v>1304</v>
      </c>
      <c r="T3" t="s">
        <v>635</v>
      </c>
      <c r="U3" t="s">
        <v>1294</v>
      </c>
    </row>
    <row r="4" spans="1:22" x14ac:dyDescent="0.3">
      <c r="A4">
        <v>28625901</v>
      </c>
      <c r="D4" t="s">
        <v>483</v>
      </c>
      <c r="E4" t="s">
        <v>169</v>
      </c>
      <c r="G4" s="48">
        <v>43171.736805555556</v>
      </c>
      <c r="I4" t="s">
        <v>394</v>
      </c>
      <c r="L4" s="1" t="s">
        <v>1304</v>
      </c>
      <c r="T4" t="s">
        <v>635</v>
      </c>
      <c r="U4" t="s">
        <v>1294</v>
      </c>
    </row>
    <row r="5" spans="1:22" x14ac:dyDescent="0.3">
      <c r="A5">
        <v>28625907</v>
      </c>
      <c r="D5" t="s">
        <v>483</v>
      </c>
      <c r="E5" t="s">
        <v>210</v>
      </c>
      <c r="G5" s="48">
        <v>43171.739583333336</v>
      </c>
      <c r="I5" t="s">
        <v>394</v>
      </c>
      <c r="L5" s="1" t="s">
        <v>1400</v>
      </c>
      <c r="R5" t="s">
        <v>1399</v>
      </c>
      <c r="T5" s="60" t="s">
        <v>1401</v>
      </c>
      <c r="U5" t="s">
        <v>511</v>
      </c>
    </row>
    <row r="6" spans="1:22" x14ac:dyDescent="0.3">
      <c r="A6" t="s">
        <v>1394</v>
      </c>
      <c r="F6" s="1" t="s">
        <v>1395</v>
      </c>
      <c r="H6" s="1" t="s">
        <v>1396</v>
      </c>
      <c r="J6" s="1" t="s">
        <v>1397</v>
      </c>
      <c r="L6" s="1" t="s">
        <v>1399</v>
      </c>
      <c r="N6" s="1" t="s">
        <v>1398</v>
      </c>
      <c r="P6" s="1">
        <v>84.3</v>
      </c>
    </row>
    <row r="7" spans="1:22" x14ac:dyDescent="0.3">
      <c r="A7">
        <v>28622278</v>
      </c>
      <c r="D7" t="s">
        <v>409</v>
      </c>
      <c r="E7" t="s">
        <v>570</v>
      </c>
      <c r="G7" s="48">
        <v>43165.723611111112</v>
      </c>
      <c r="I7" t="s">
        <v>394</v>
      </c>
      <c r="L7" s="1" t="s">
        <v>1304</v>
      </c>
      <c r="T7" t="s">
        <v>635</v>
      </c>
      <c r="U7" t="s">
        <v>1294</v>
      </c>
    </row>
    <row r="8" spans="1:22" x14ac:dyDescent="0.3">
      <c r="A8">
        <v>28624085</v>
      </c>
      <c r="D8" t="s">
        <v>409</v>
      </c>
      <c r="E8" t="s">
        <v>515</v>
      </c>
      <c r="G8" s="48">
        <v>43168.738194444442</v>
      </c>
      <c r="I8" t="s">
        <v>394</v>
      </c>
      <c r="L8" s="1" t="s">
        <v>1304</v>
      </c>
      <c r="T8" t="s">
        <v>635</v>
      </c>
      <c r="U8" t="s">
        <v>1294</v>
      </c>
    </row>
    <row r="9" spans="1:22" x14ac:dyDescent="0.3">
      <c r="A9">
        <v>28625652</v>
      </c>
      <c r="D9" t="s">
        <v>409</v>
      </c>
      <c r="E9" t="s">
        <v>570</v>
      </c>
      <c r="G9" s="48">
        <v>43171.624305555553</v>
      </c>
      <c r="I9" t="s">
        <v>394</v>
      </c>
      <c r="L9" s="1" t="s">
        <v>1304</v>
      </c>
      <c r="T9" t="s">
        <v>635</v>
      </c>
      <c r="U9" t="s">
        <v>1294</v>
      </c>
    </row>
    <row r="10" spans="1:22" x14ac:dyDescent="0.3">
      <c r="A10">
        <v>28625790</v>
      </c>
      <c r="D10" t="s">
        <v>419</v>
      </c>
      <c r="E10" t="s">
        <v>377</v>
      </c>
      <c r="G10" s="48">
        <v>43171.686111111114</v>
      </c>
      <c r="I10" t="s">
        <v>394</v>
      </c>
      <c r="L10" s="1" t="s">
        <v>1428</v>
      </c>
      <c r="R10" t="s">
        <v>1427</v>
      </c>
      <c r="T10" s="60" t="s">
        <v>1429</v>
      </c>
      <c r="U10" t="s">
        <v>511</v>
      </c>
    </row>
    <row r="11" spans="1:22" x14ac:dyDescent="0.3">
      <c r="A11" t="s">
        <v>1404</v>
      </c>
      <c r="F11" s="1" t="s">
        <v>1405</v>
      </c>
      <c r="H11" s="1" t="s">
        <v>1406</v>
      </c>
      <c r="J11" s="1" t="s">
        <v>1407</v>
      </c>
      <c r="L11" s="1" t="s">
        <v>1408</v>
      </c>
      <c r="N11" s="1" t="s">
        <v>1409</v>
      </c>
      <c r="P11" s="1">
        <v>5.0999999999999996</v>
      </c>
    </row>
    <row r="12" spans="1:22" x14ac:dyDescent="0.3">
      <c r="A12" t="s">
        <v>1410</v>
      </c>
      <c r="F12" s="1" t="s">
        <v>1411</v>
      </c>
      <c r="H12" s="1" t="s">
        <v>1412</v>
      </c>
      <c r="J12" s="1" t="s">
        <v>1413</v>
      </c>
      <c r="L12" s="1" t="s">
        <v>1414</v>
      </c>
      <c r="N12" s="1" t="s">
        <v>1415</v>
      </c>
      <c r="P12" s="1">
        <v>23.5</v>
      </c>
    </row>
    <row r="13" spans="1:22" x14ac:dyDescent="0.3">
      <c r="A13" t="s">
        <v>1402</v>
      </c>
      <c r="F13" s="1" t="s">
        <v>1416</v>
      </c>
      <c r="H13" s="1" t="s">
        <v>1417</v>
      </c>
      <c r="J13" s="1" t="s">
        <v>1418</v>
      </c>
      <c r="L13" s="1" t="s">
        <v>1419</v>
      </c>
      <c r="N13" s="1" t="s">
        <v>1420</v>
      </c>
      <c r="P13" s="1">
        <v>4.5</v>
      </c>
    </row>
    <row r="14" spans="1:22" x14ac:dyDescent="0.3">
      <c r="A14" t="s">
        <v>1403</v>
      </c>
      <c r="F14" s="1" t="s">
        <v>1421</v>
      </c>
      <c r="H14" s="1" t="s">
        <v>811</v>
      </c>
    </row>
    <row r="15" spans="1:22" x14ac:dyDescent="0.3">
      <c r="A15" t="s">
        <v>1422</v>
      </c>
      <c r="F15" s="1" t="s">
        <v>1423</v>
      </c>
      <c r="H15" s="1" t="s">
        <v>1424</v>
      </c>
      <c r="J15" s="1" t="s">
        <v>1425</v>
      </c>
      <c r="L15" s="1" t="s">
        <v>1427</v>
      </c>
      <c r="N15" s="1" t="s">
        <v>1426</v>
      </c>
      <c r="P15" s="1">
        <v>87.7</v>
      </c>
    </row>
    <row r="80" spans="23:23" x14ac:dyDescent="0.3">
      <c r="W80" s="39"/>
    </row>
    <row r="167" spans="23:23" x14ac:dyDescent="0.3">
      <c r="W167" s="39"/>
    </row>
  </sheetData>
  <mergeCells count="2">
    <mergeCell ref="A2:B2"/>
    <mergeCell ref="A1:B1"/>
  </mergeCells>
  <dataValidations count="8">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4">
      <formula1>"OK,NeOK,Отложить"</formula1>
    </dataValidation>
    <dataValidation type="list" allowBlank="1" showInputMessage="1" showErrorMessage="1" sqref="U5">
      <formula1>"OK,NeOK,Отложить"</formula1>
    </dataValidation>
    <dataValidation type="list" allowBlank="1" showInputMessage="1" showErrorMessage="1" sqref="U7">
      <formula1>"OK,NeOK,Отложить"</formula1>
    </dataValidation>
    <dataValidation type="list" allowBlank="1" showInputMessage="1" showErrorMessage="1" sqref="U8">
      <formula1>"OK,NeOK,Отложить"</formula1>
    </dataValidation>
    <dataValidation type="list" allowBlank="1" showInputMessage="1" showErrorMessage="1" sqref="U9">
      <formula1>"OK,NeOK,Отложить"</formula1>
    </dataValidation>
    <dataValidation type="list" allowBlank="1" showInputMessage="1" showErrorMessage="1" sqref="U10">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7620</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610"/>
  <sheetViews>
    <sheetView topLeftCell="A588" workbookViewId="0">
      <selection activeCell="L599" sqref="L599"/>
    </sheetView>
  </sheetViews>
  <sheetFormatPr defaultRowHeight="14.4" x14ac:dyDescent="0.3"/>
  <sheetData>
    <row r="1" spans="1:5" x14ac:dyDescent="0.3">
      <c r="A1" s="45" t="s">
        <v>152</v>
      </c>
      <c r="B1" s="45" t="s">
        <v>46</v>
      </c>
      <c r="C1" s="45" t="s">
        <v>153</v>
      </c>
      <c r="D1" s="45" t="s">
        <v>51</v>
      </c>
      <c r="E1" s="46" t="s">
        <v>180</v>
      </c>
    </row>
    <row r="2" spans="1:5" x14ac:dyDescent="0.3">
      <c r="A2" s="45">
        <v>28542234</v>
      </c>
      <c r="B2" s="45" t="s">
        <v>143</v>
      </c>
      <c r="C2" s="45"/>
      <c r="D2" s="45" t="s">
        <v>172</v>
      </c>
      <c r="E2" s="39" t="s">
        <v>181</v>
      </c>
    </row>
    <row r="3" spans="1:5" x14ac:dyDescent="0.3">
      <c r="A3" s="45">
        <v>28549279</v>
      </c>
      <c r="B3" s="45" t="s">
        <v>167</v>
      </c>
      <c r="C3" s="45"/>
      <c r="D3" s="45" t="s">
        <v>172</v>
      </c>
      <c r="E3" s="39" t="s">
        <v>181</v>
      </c>
    </row>
    <row r="4" spans="1:5" x14ac:dyDescent="0.3">
      <c r="A4">
        <v>28546343</v>
      </c>
      <c r="B4" t="s">
        <v>140</v>
      </c>
      <c r="D4" s="45" t="s">
        <v>172</v>
      </c>
      <c r="E4" s="6" t="s">
        <v>184</v>
      </c>
    </row>
    <row r="5" spans="1:5" x14ac:dyDescent="0.3">
      <c r="A5" s="45">
        <v>28544868</v>
      </c>
      <c r="B5" s="45" t="s">
        <v>156</v>
      </c>
      <c r="C5" s="45" t="s">
        <v>173</v>
      </c>
      <c r="D5" s="45" t="s">
        <v>178</v>
      </c>
    </row>
    <row r="6" spans="1:5" x14ac:dyDescent="0.3">
      <c r="A6" s="45">
        <v>28546435</v>
      </c>
      <c r="B6" s="45" t="s">
        <v>157</v>
      </c>
      <c r="C6" s="45" t="s">
        <v>177</v>
      </c>
      <c r="D6" s="45" t="s">
        <v>178</v>
      </c>
    </row>
    <row r="7" spans="1:5" x14ac:dyDescent="0.3">
      <c r="A7" s="45">
        <v>28546613</v>
      </c>
      <c r="B7" s="45" t="s">
        <v>158</v>
      </c>
      <c r="C7" s="45" t="s">
        <v>171</v>
      </c>
      <c r="D7" s="45" t="s">
        <v>178</v>
      </c>
    </row>
    <row r="8" spans="1:5" x14ac:dyDescent="0.3">
      <c r="A8">
        <v>28547795</v>
      </c>
      <c r="B8" t="s">
        <v>160</v>
      </c>
      <c r="D8" s="46" t="s">
        <v>172</v>
      </c>
      <c r="E8" t="s">
        <v>179</v>
      </c>
    </row>
    <row r="9" spans="1:5" x14ac:dyDescent="0.3">
      <c r="A9" s="45">
        <v>28549107</v>
      </c>
      <c r="B9" s="45" t="s">
        <v>139</v>
      </c>
      <c r="C9" s="45"/>
      <c r="D9" s="45" t="s">
        <v>172</v>
      </c>
      <c r="E9" t="s">
        <v>181</v>
      </c>
    </row>
    <row r="10" spans="1:5" x14ac:dyDescent="0.3">
      <c r="A10" s="45">
        <v>28549521</v>
      </c>
      <c r="B10" s="45" t="s">
        <v>168</v>
      </c>
      <c r="C10" s="45"/>
      <c r="D10" s="45" t="s">
        <v>172</v>
      </c>
      <c r="E10" s="39" t="s">
        <v>181</v>
      </c>
    </row>
    <row r="11" spans="1:5" x14ac:dyDescent="0.3">
      <c r="A11" s="45">
        <v>28549420</v>
      </c>
      <c r="B11" s="45" t="s">
        <v>169</v>
      </c>
      <c r="C11" s="45" t="s">
        <v>183</v>
      </c>
      <c r="D11" s="45" t="s">
        <v>178</v>
      </c>
    </row>
    <row r="12" spans="1:5" x14ac:dyDescent="0.3">
      <c r="A12" s="45">
        <v>28539436</v>
      </c>
      <c r="B12" s="45" t="s">
        <v>138</v>
      </c>
      <c r="C12" s="45" t="s">
        <v>148</v>
      </c>
      <c r="D12" s="45" t="s">
        <v>185</v>
      </c>
    </row>
    <row r="13" spans="1:5" x14ac:dyDescent="0.3">
      <c r="A13" s="45">
        <v>28546504</v>
      </c>
      <c r="B13" s="45" t="s">
        <v>159</v>
      </c>
      <c r="C13" s="45" t="s">
        <v>186</v>
      </c>
      <c r="D13" s="45" t="s">
        <v>178</v>
      </c>
    </row>
    <row r="14" spans="1:5" x14ac:dyDescent="0.3">
      <c r="A14" s="47">
        <v>28550443</v>
      </c>
      <c r="B14" s="45" t="s">
        <v>189</v>
      </c>
      <c r="C14" s="45" t="s">
        <v>193</v>
      </c>
      <c r="D14" s="45" t="s">
        <v>178</v>
      </c>
    </row>
    <row r="15" spans="1:5" x14ac:dyDescent="0.3">
      <c r="A15" s="47">
        <v>28550474</v>
      </c>
      <c r="B15" t="s">
        <v>190</v>
      </c>
      <c r="C15" t="s">
        <v>194</v>
      </c>
      <c r="D15" s="45" t="s">
        <v>178</v>
      </c>
    </row>
    <row r="16" spans="1:5" x14ac:dyDescent="0.3">
      <c r="A16" s="47">
        <v>28546504</v>
      </c>
      <c r="B16" t="s">
        <v>159</v>
      </c>
      <c r="C16" t="s">
        <v>186</v>
      </c>
      <c r="D16" s="45" t="s">
        <v>185</v>
      </c>
    </row>
    <row r="18" spans="1:5" x14ac:dyDescent="0.3">
      <c r="A18">
        <v>28552804</v>
      </c>
      <c r="B18" t="s">
        <v>197</v>
      </c>
      <c r="C18" t="s">
        <v>201</v>
      </c>
      <c r="D18" t="s">
        <v>178</v>
      </c>
    </row>
    <row r="19" spans="1:5" x14ac:dyDescent="0.3">
      <c r="A19">
        <v>28553902</v>
      </c>
      <c r="B19" t="s">
        <v>158</v>
      </c>
      <c r="C19" t="s">
        <v>202</v>
      </c>
      <c r="D19" s="39" t="s">
        <v>178</v>
      </c>
    </row>
    <row r="20" spans="1:5" x14ac:dyDescent="0.3">
      <c r="A20" s="1">
        <v>28552247</v>
      </c>
      <c r="B20" s="1" t="s">
        <v>139</v>
      </c>
      <c r="D20" s="6" t="s">
        <v>172</v>
      </c>
      <c r="E20" t="s">
        <v>207</v>
      </c>
    </row>
    <row r="21" spans="1:5" x14ac:dyDescent="0.3">
      <c r="A21" s="47">
        <v>28546504</v>
      </c>
      <c r="B21" s="47" t="s">
        <v>159</v>
      </c>
      <c r="D21" s="6" t="s">
        <v>172</v>
      </c>
      <c r="E21" t="s">
        <v>208</v>
      </c>
    </row>
    <row r="22" spans="1:5" x14ac:dyDescent="0.3">
      <c r="A22" s="47">
        <v>28556692</v>
      </c>
      <c r="B22" s="47" t="s">
        <v>203</v>
      </c>
      <c r="D22" s="6" t="s">
        <v>172</v>
      </c>
      <c r="E22" t="s">
        <v>209</v>
      </c>
    </row>
    <row r="23" spans="1:5" x14ac:dyDescent="0.3">
      <c r="A23" s="47">
        <v>28556689</v>
      </c>
      <c r="B23" s="47" t="s">
        <v>140</v>
      </c>
      <c r="D23" s="6" t="s">
        <v>172</v>
      </c>
      <c r="E23" t="s">
        <v>209</v>
      </c>
    </row>
    <row r="24" spans="1:5" x14ac:dyDescent="0.3">
      <c r="A24" s="47">
        <v>28556977</v>
      </c>
      <c r="B24" s="47" t="s">
        <v>204</v>
      </c>
      <c r="D24" s="6" t="s">
        <v>172</v>
      </c>
      <c r="E24" t="s">
        <v>207</v>
      </c>
    </row>
    <row r="26" spans="1:5" x14ac:dyDescent="0.3">
      <c r="A26">
        <v>28560698</v>
      </c>
      <c r="B26" t="s">
        <v>210</v>
      </c>
      <c r="D26" s="6" t="s">
        <v>172</v>
      </c>
      <c r="E26" s="39" t="s">
        <v>207</v>
      </c>
    </row>
    <row r="27" spans="1:5" x14ac:dyDescent="0.3">
      <c r="A27">
        <v>28560696</v>
      </c>
      <c r="B27" t="s">
        <v>140</v>
      </c>
      <c r="C27" t="s">
        <v>213</v>
      </c>
      <c r="D27" s="6" t="s">
        <v>214</v>
      </c>
    </row>
    <row r="28" spans="1:5" x14ac:dyDescent="0.3">
      <c r="A28" s="49">
        <v>28560698</v>
      </c>
      <c r="B28" t="s">
        <v>210</v>
      </c>
      <c r="C28" s="6" t="s">
        <v>214</v>
      </c>
    </row>
    <row r="29" spans="1:5" x14ac:dyDescent="0.3">
      <c r="A29">
        <v>28561581</v>
      </c>
      <c r="B29" t="s">
        <v>215</v>
      </c>
      <c r="C29" s="6" t="s">
        <v>214</v>
      </c>
    </row>
    <row r="30" spans="1:5" x14ac:dyDescent="0.3">
      <c r="A30">
        <v>28561582</v>
      </c>
      <c r="B30" t="s">
        <v>160</v>
      </c>
      <c r="C30" s="6" t="s">
        <v>172</v>
      </c>
      <c r="D30" t="s">
        <v>246</v>
      </c>
    </row>
    <row r="31" spans="1:5" x14ac:dyDescent="0.3">
      <c r="A31">
        <v>28546504</v>
      </c>
      <c r="B31" t="s">
        <v>159</v>
      </c>
      <c r="C31" s="6" t="s">
        <v>247</v>
      </c>
    </row>
    <row r="33" spans="1:5" x14ac:dyDescent="0.3">
      <c r="A33">
        <v>28561582</v>
      </c>
      <c r="B33" t="s">
        <v>160</v>
      </c>
      <c r="D33" s="6" t="s">
        <v>172</v>
      </c>
      <c r="E33" t="s">
        <v>217</v>
      </c>
    </row>
    <row r="34" spans="1:5" x14ac:dyDescent="0.3">
      <c r="A34">
        <v>28562075</v>
      </c>
      <c r="B34" t="s">
        <v>248</v>
      </c>
      <c r="C34" t="s">
        <v>251</v>
      </c>
      <c r="D34" s="6" t="s">
        <v>214</v>
      </c>
    </row>
    <row r="35" spans="1:5" x14ac:dyDescent="0.3">
      <c r="A35" t="s">
        <v>252</v>
      </c>
      <c r="B35" t="s">
        <v>159</v>
      </c>
      <c r="D35" s="6" t="s">
        <v>253</v>
      </c>
    </row>
    <row r="36" spans="1:5" x14ac:dyDescent="0.3">
      <c r="A36">
        <v>28563723</v>
      </c>
      <c r="B36" t="s">
        <v>167</v>
      </c>
      <c r="C36" t="s">
        <v>275</v>
      </c>
      <c r="D36" s="6" t="s">
        <v>214</v>
      </c>
    </row>
    <row r="37" spans="1:5" x14ac:dyDescent="0.3">
      <c r="A37">
        <v>28563725</v>
      </c>
      <c r="B37" t="s">
        <v>168</v>
      </c>
      <c r="C37" t="s">
        <v>276</v>
      </c>
      <c r="D37" s="6" t="s">
        <v>214</v>
      </c>
    </row>
    <row r="38" spans="1:5" x14ac:dyDescent="0.3">
      <c r="A38">
        <v>28563671</v>
      </c>
      <c r="B38" t="s">
        <v>272</v>
      </c>
      <c r="C38" t="s">
        <v>277</v>
      </c>
      <c r="D38" s="6" t="s">
        <v>214</v>
      </c>
    </row>
    <row r="39" spans="1:5" x14ac:dyDescent="0.3">
      <c r="A39">
        <v>28563721</v>
      </c>
      <c r="B39" t="s">
        <v>273</v>
      </c>
      <c r="C39" t="s">
        <v>278</v>
      </c>
      <c r="D39" s="6" t="s">
        <v>214</v>
      </c>
    </row>
    <row r="40" spans="1:5" x14ac:dyDescent="0.3">
      <c r="A40">
        <v>28562625</v>
      </c>
      <c r="B40" t="s">
        <v>274</v>
      </c>
      <c r="D40" s="6" t="s">
        <v>280</v>
      </c>
      <c r="E40" t="s">
        <v>181</v>
      </c>
    </row>
    <row r="42" spans="1:5" x14ac:dyDescent="0.3">
      <c r="A42">
        <v>28567486</v>
      </c>
      <c r="B42" t="s">
        <v>283</v>
      </c>
      <c r="C42" t="s">
        <v>284</v>
      </c>
      <c r="D42" s="6" t="s">
        <v>214</v>
      </c>
    </row>
    <row r="43" spans="1:5" x14ac:dyDescent="0.3">
      <c r="A43">
        <v>28562625</v>
      </c>
      <c r="B43" t="s">
        <v>274</v>
      </c>
      <c r="D43" s="6" t="s">
        <v>172</v>
      </c>
      <c r="E43" t="s">
        <v>285</v>
      </c>
    </row>
    <row r="44" spans="1:5" x14ac:dyDescent="0.3">
      <c r="A44">
        <v>28563927</v>
      </c>
      <c r="B44" t="s">
        <v>169</v>
      </c>
      <c r="D44" s="6" t="s">
        <v>172</v>
      </c>
      <c r="E44" s="39" t="s">
        <v>285</v>
      </c>
    </row>
    <row r="46" spans="1:5" x14ac:dyDescent="0.3">
      <c r="A46">
        <v>28572285</v>
      </c>
      <c r="B46" t="s">
        <v>210</v>
      </c>
      <c r="C46" t="s">
        <v>342</v>
      </c>
      <c r="D46" s="6" t="s">
        <v>214</v>
      </c>
    </row>
    <row r="47" spans="1:5" x14ac:dyDescent="0.3">
      <c r="A47">
        <v>28572434</v>
      </c>
      <c r="B47" t="s">
        <v>286</v>
      </c>
      <c r="C47" t="s">
        <v>343</v>
      </c>
      <c r="D47" s="6" t="s">
        <v>214</v>
      </c>
    </row>
    <row r="48" spans="1:5" x14ac:dyDescent="0.3">
      <c r="A48">
        <v>28572147</v>
      </c>
      <c r="B48" t="s">
        <v>215</v>
      </c>
      <c r="C48" t="s">
        <v>345</v>
      </c>
      <c r="D48" s="6" t="s">
        <v>214</v>
      </c>
    </row>
    <row r="50" spans="1:5" x14ac:dyDescent="0.3">
      <c r="A50">
        <v>28567399</v>
      </c>
      <c r="B50" t="s">
        <v>346</v>
      </c>
      <c r="C50" t="s">
        <v>359</v>
      </c>
      <c r="D50" s="6" t="s">
        <v>214</v>
      </c>
    </row>
    <row r="51" spans="1:5" x14ac:dyDescent="0.3">
      <c r="A51">
        <v>28567404</v>
      </c>
      <c r="B51" t="s">
        <v>348</v>
      </c>
      <c r="C51" t="s">
        <v>360</v>
      </c>
      <c r="D51" s="6" t="s">
        <v>214</v>
      </c>
    </row>
    <row r="52" spans="1:5" x14ac:dyDescent="0.3">
      <c r="A52">
        <v>28567402</v>
      </c>
      <c r="B52" t="s">
        <v>349</v>
      </c>
      <c r="C52" t="s">
        <v>361</v>
      </c>
      <c r="D52" s="6" t="s">
        <v>214</v>
      </c>
    </row>
    <row r="53" spans="1:5" x14ac:dyDescent="0.3">
      <c r="A53">
        <v>28570198</v>
      </c>
      <c r="B53" t="s">
        <v>351</v>
      </c>
      <c r="C53" t="s">
        <v>362</v>
      </c>
      <c r="D53" s="6" t="s">
        <v>214</v>
      </c>
    </row>
    <row r="54" spans="1:5" x14ac:dyDescent="0.3">
      <c r="A54">
        <v>28570195</v>
      </c>
      <c r="B54" t="s">
        <v>351</v>
      </c>
      <c r="C54" t="s">
        <v>363</v>
      </c>
      <c r="D54" s="6" t="s">
        <v>214</v>
      </c>
    </row>
    <row r="55" spans="1:5" x14ac:dyDescent="0.3">
      <c r="A55">
        <v>28568341</v>
      </c>
      <c r="B55" t="s">
        <v>350</v>
      </c>
      <c r="D55" s="6" t="s">
        <v>172</v>
      </c>
      <c r="E55" t="s">
        <v>285</v>
      </c>
    </row>
    <row r="56" spans="1:5" x14ac:dyDescent="0.3">
      <c r="A56">
        <v>28571296</v>
      </c>
      <c r="B56" t="s">
        <v>351</v>
      </c>
      <c r="C56" t="s">
        <v>364</v>
      </c>
      <c r="D56" s="6" t="s">
        <v>214</v>
      </c>
    </row>
    <row r="57" spans="1:5" x14ac:dyDescent="0.3">
      <c r="A57">
        <v>28573145</v>
      </c>
      <c r="B57" t="s">
        <v>347</v>
      </c>
      <c r="E57" t="s">
        <v>365</v>
      </c>
    </row>
    <row r="58" spans="1:5" x14ac:dyDescent="0.3">
      <c r="A58" s="1">
        <v>28573132</v>
      </c>
      <c r="B58" s="1" t="s">
        <v>169</v>
      </c>
      <c r="D58" s="6" t="s">
        <v>172</v>
      </c>
      <c r="E58" s="39" t="s">
        <v>365</v>
      </c>
    </row>
    <row r="59" spans="1:5" x14ac:dyDescent="0.3">
      <c r="A59" s="1">
        <v>28573136</v>
      </c>
      <c r="B59" s="1" t="s">
        <v>139</v>
      </c>
      <c r="D59" s="6" t="s">
        <v>172</v>
      </c>
      <c r="E59" s="39" t="s">
        <v>365</v>
      </c>
    </row>
    <row r="60" spans="1:5" x14ac:dyDescent="0.3">
      <c r="A60" s="1">
        <v>28573137</v>
      </c>
      <c r="B60" s="1" t="s">
        <v>273</v>
      </c>
      <c r="D60" s="6" t="s">
        <v>172</v>
      </c>
      <c r="E60" s="39" t="s">
        <v>365</v>
      </c>
    </row>
    <row r="61" spans="1:5" x14ac:dyDescent="0.3">
      <c r="A61" s="1">
        <v>28573142</v>
      </c>
      <c r="B61" s="1" t="s">
        <v>366</v>
      </c>
      <c r="D61" s="6" t="s">
        <v>172</v>
      </c>
      <c r="E61" s="39" t="s">
        <v>365</v>
      </c>
    </row>
    <row r="62" spans="1:5" x14ac:dyDescent="0.3">
      <c r="A62" s="1">
        <v>28573139</v>
      </c>
      <c r="B62" s="1" t="s">
        <v>138</v>
      </c>
      <c r="D62" s="6" t="s">
        <v>172</v>
      </c>
      <c r="E62" s="39" t="s">
        <v>365</v>
      </c>
    </row>
    <row r="63" spans="1:5" x14ac:dyDescent="0.3">
      <c r="A63">
        <v>28567388</v>
      </c>
      <c r="B63" t="s">
        <v>367</v>
      </c>
      <c r="C63" t="s">
        <v>383</v>
      </c>
      <c r="D63" s="6" t="s">
        <v>214</v>
      </c>
    </row>
    <row r="64" spans="1:5" x14ac:dyDescent="0.3">
      <c r="A64">
        <v>28568419</v>
      </c>
      <c r="B64" t="s">
        <v>368</v>
      </c>
      <c r="C64" t="s">
        <v>384</v>
      </c>
      <c r="D64" s="6" t="s">
        <v>214</v>
      </c>
    </row>
    <row r="65" spans="1:5" x14ac:dyDescent="0.3">
      <c r="A65">
        <v>28570174</v>
      </c>
      <c r="B65" t="s">
        <v>369</v>
      </c>
      <c r="C65" t="s">
        <v>385</v>
      </c>
      <c r="D65" s="6" t="s">
        <v>214</v>
      </c>
    </row>
    <row r="66" spans="1:5" x14ac:dyDescent="0.3">
      <c r="A66">
        <v>28570566</v>
      </c>
      <c r="B66" t="s">
        <v>370</v>
      </c>
      <c r="C66" t="s">
        <v>386</v>
      </c>
      <c r="D66" s="6" t="s">
        <v>214</v>
      </c>
    </row>
    <row r="67" spans="1:5" x14ac:dyDescent="0.3">
      <c r="A67">
        <v>28570199</v>
      </c>
      <c r="B67" t="s">
        <v>371</v>
      </c>
      <c r="C67" t="s">
        <v>387</v>
      </c>
      <c r="D67" s="6" t="s">
        <v>214</v>
      </c>
    </row>
    <row r="68" spans="1:5" x14ac:dyDescent="0.3">
      <c r="A68">
        <v>28570196</v>
      </c>
      <c r="B68" t="s">
        <v>371</v>
      </c>
      <c r="C68" t="s">
        <v>388</v>
      </c>
      <c r="D68" s="6" t="s">
        <v>214</v>
      </c>
    </row>
    <row r="69" spans="1:5" x14ac:dyDescent="0.3">
      <c r="A69">
        <v>28570211</v>
      </c>
      <c r="B69" t="s">
        <v>372</v>
      </c>
      <c r="C69" t="s">
        <v>389</v>
      </c>
      <c r="D69" s="6" t="s">
        <v>214</v>
      </c>
    </row>
    <row r="70" spans="1:5" x14ac:dyDescent="0.3">
      <c r="A70">
        <v>28570197</v>
      </c>
      <c r="B70" t="s">
        <v>373</v>
      </c>
      <c r="C70" t="s">
        <v>390</v>
      </c>
      <c r="D70" s="6" t="s">
        <v>214</v>
      </c>
    </row>
    <row r="71" spans="1:5" x14ac:dyDescent="0.3">
      <c r="A71">
        <v>28572090</v>
      </c>
      <c r="B71" t="s">
        <v>374</v>
      </c>
      <c r="C71" t="s">
        <v>391</v>
      </c>
      <c r="D71" s="6" t="s">
        <v>214</v>
      </c>
    </row>
    <row r="72" spans="1:5" x14ac:dyDescent="0.3">
      <c r="A72">
        <v>28573146</v>
      </c>
      <c r="B72" t="s">
        <v>375</v>
      </c>
      <c r="D72" s="6" t="s">
        <v>172</v>
      </c>
      <c r="E72" s="39" t="s">
        <v>365</v>
      </c>
    </row>
    <row r="73" spans="1:5" x14ac:dyDescent="0.3">
      <c r="A73">
        <v>28573141</v>
      </c>
      <c r="B73" t="s">
        <v>370</v>
      </c>
      <c r="D73" s="6" t="s">
        <v>172</v>
      </c>
      <c r="E73" s="39" t="s">
        <v>365</v>
      </c>
    </row>
    <row r="74" spans="1:5" x14ac:dyDescent="0.3">
      <c r="A74">
        <v>28573133</v>
      </c>
      <c r="B74" t="s">
        <v>367</v>
      </c>
      <c r="D74" s="6" t="s">
        <v>172</v>
      </c>
      <c r="E74" s="39" t="s">
        <v>365</v>
      </c>
    </row>
    <row r="75" spans="1:5" x14ac:dyDescent="0.3">
      <c r="A75">
        <v>28573144</v>
      </c>
      <c r="B75" t="s">
        <v>376</v>
      </c>
      <c r="D75" s="6" t="s">
        <v>172</v>
      </c>
      <c r="E75" s="39" t="s">
        <v>365</v>
      </c>
    </row>
    <row r="76" spans="1:5" x14ac:dyDescent="0.3">
      <c r="A76">
        <v>28573135</v>
      </c>
      <c r="B76" t="s">
        <v>374</v>
      </c>
      <c r="D76" s="6" t="s">
        <v>172</v>
      </c>
      <c r="E76" s="39" t="s">
        <v>365</v>
      </c>
    </row>
    <row r="77" spans="1:5" x14ac:dyDescent="0.3">
      <c r="A77">
        <v>28567394</v>
      </c>
      <c r="B77" t="s">
        <v>372</v>
      </c>
      <c r="D77" s="6" t="s">
        <v>247</v>
      </c>
    </row>
    <row r="78" spans="1:5" x14ac:dyDescent="0.3">
      <c r="A78" s="47">
        <v>28567393</v>
      </c>
      <c r="B78" s="47" t="s">
        <v>377</v>
      </c>
      <c r="D78" s="6" t="s">
        <v>247</v>
      </c>
    </row>
    <row r="79" spans="1:5" x14ac:dyDescent="0.3">
      <c r="A79" s="47">
        <v>28567390</v>
      </c>
      <c r="B79" s="47" t="s">
        <v>371</v>
      </c>
      <c r="D79" s="6" t="s">
        <v>247</v>
      </c>
    </row>
    <row r="80" spans="1:5" x14ac:dyDescent="0.3">
      <c r="A80" s="47">
        <v>28567396</v>
      </c>
      <c r="B80" s="47" t="s">
        <v>378</v>
      </c>
      <c r="D80" s="6" t="s">
        <v>247</v>
      </c>
    </row>
    <row r="81" spans="1:5" x14ac:dyDescent="0.3">
      <c r="A81" s="47">
        <v>28567401</v>
      </c>
      <c r="B81" s="47" t="s">
        <v>369</v>
      </c>
      <c r="D81" s="6" t="s">
        <v>247</v>
      </c>
    </row>
    <row r="82" spans="1:5" x14ac:dyDescent="0.3">
      <c r="A82" s="47">
        <v>28567400</v>
      </c>
      <c r="B82" s="47" t="s">
        <v>370</v>
      </c>
      <c r="D82" s="6" t="s">
        <v>247</v>
      </c>
    </row>
    <row r="84" spans="1:5" x14ac:dyDescent="0.3">
      <c r="A84">
        <v>28573902</v>
      </c>
      <c r="B84" t="s">
        <v>377</v>
      </c>
      <c r="C84" t="s">
        <v>393</v>
      </c>
      <c r="D84" t="s">
        <v>178</v>
      </c>
    </row>
    <row r="86" spans="1:5" x14ac:dyDescent="0.3">
      <c r="A86" t="s">
        <v>408</v>
      </c>
    </row>
    <row r="87" spans="1:5" x14ac:dyDescent="0.3">
      <c r="A87">
        <v>28575643</v>
      </c>
      <c r="B87" t="s">
        <v>395</v>
      </c>
      <c r="C87" t="s">
        <v>401</v>
      </c>
      <c r="D87" s="39" t="s">
        <v>178</v>
      </c>
    </row>
    <row r="88" spans="1:5" x14ac:dyDescent="0.3">
      <c r="A88">
        <v>28575762</v>
      </c>
      <c r="B88" t="s">
        <v>197</v>
      </c>
      <c r="C88" t="s">
        <v>402</v>
      </c>
      <c r="D88" s="39" t="s">
        <v>178</v>
      </c>
    </row>
    <row r="89" spans="1:5" x14ac:dyDescent="0.3">
      <c r="A89">
        <v>28575760</v>
      </c>
      <c r="B89" t="s">
        <v>140</v>
      </c>
      <c r="C89" t="s">
        <v>403</v>
      </c>
      <c r="D89" s="39" t="s">
        <v>178</v>
      </c>
    </row>
    <row r="90" spans="1:5" x14ac:dyDescent="0.3">
      <c r="A90">
        <v>28576107</v>
      </c>
      <c r="B90" t="s">
        <v>140</v>
      </c>
      <c r="C90" t="s">
        <v>404</v>
      </c>
      <c r="D90" s="39" t="s">
        <v>178</v>
      </c>
    </row>
    <row r="91" spans="1:5" x14ac:dyDescent="0.3">
      <c r="A91">
        <v>28576095</v>
      </c>
      <c r="B91" t="s">
        <v>248</v>
      </c>
      <c r="C91" t="s">
        <v>405</v>
      </c>
      <c r="D91" s="39" t="s">
        <v>178</v>
      </c>
    </row>
    <row r="92" spans="1:5" x14ac:dyDescent="0.3">
      <c r="A92">
        <v>28576108</v>
      </c>
      <c r="B92" t="s">
        <v>158</v>
      </c>
      <c r="C92" t="s">
        <v>406</v>
      </c>
      <c r="D92" s="39" t="s">
        <v>178</v>
      </c>
    </row>
    <row r="93" spans="1:5" x14ac:dyDescent="0.3">
      <c r="A93">
        <v>28576070</v>
      </c>
      <c r="B93" t="s">
        <v>190</v>
      </c>
      <c r="C93" t="s">
        <v>407</v>
      </c>
      <c r="D93" s="39" t="s">
        <v>178</v>
      </c>
    </row>
    <row r="95" spans="1:5" x14ac:dyDescent="0.3">
      <c r="A95" t="s">
        <v>409</v>
      </c>
    </row>
    <row r="96" spans="1:5" x14ac:dyDescent="0.3">
      <c r="A96" s="1">
        <v>28573145</v>
      </c>
      <c r="B96" t="s">
        <v>347</v>
      </c>
      <c r="D96" t="s">
        <v>172</v>
      </c>
      <c r="E96" t="s">
        <v>415</v>
      </c>
    </row>
    <row r="97" spans="1:5" x14ac:dyDescent="0.3">
      <c r="A97" s="1">
        <v>28567404</v>
      </c>
      <c r="B97" t="s">
        <v>348</v>
      </c>
      <c r="D97" s="39" t="s">
        <v>172</v>
      </c>
      <c r="E97" t="s">
        <v>247</v>
      </c>
    </row>
    <row r="98" spans="1:5" x14ac:dyDescent="0.3">
      <c r="A98" s="1">
        <v>28575518</v>
      </c>
      <c r="B98" t="s">
        <v>410</v>
      </c>
      <c r="C98" t="s">
        <v>413</v>
      </c>
      <c r="D98" t="s">
        <v>214</v>
      </c>
    </row>
    <row r="99" spans="1:5" x14ac:dyDescent="0.3">
      <c r="A99" s="1">
        <v>28576035</v>
      </c>
      <c r="B99" t="s">
        <v>411</v>
      </c>
      <c r="C99" t="s">
        <v>418</v>
      </c>
      <c r="D99" s="39" t="s">
        <v>214</v>
      </c>
    </row>
    <row r="100" spans="1:5" x14ac:dyDescent="0.3">
      <c r="A100" s="1">
        <v>28576094</v>
      </c>
      <c r="B100" t="s">
        <v>349</v>
      </c>
      <c r="C100" t="s">
        <v>414</v>
      </c>
      <c r="D100" s="39" t="s">
        <v>214</v>
      </c>
    </row>
    <row r="102" spans="1:5" x14ac:dyDescent="0.3">
      <c r="A102" t="s">
        <v>419</v>
      </c>
    </row>
    <row r="103" spans="1:5" x14ac:dyDescent="0.3">
      <c r="A103">
        <v>28573133</v>
      </c>
      <c r="B103" t="s">
        <v>367</v>
      </c>
      <c r="D103" s="39" t="s">
        <v>172</v>
      </c>
      <c r="E103" s="39" t="s">
        <v>415</v>
      </c>
    </row>
    <row r="104" spans="1:5" x14ac:dyDescent="0.3">
      <c r="A104">
        <v>28573144</v>
      </c>
      <c r="B104" t="s">
        <v>376</v>
      </c>
      <c r="D104" s="39" t="s">
        <v>172</v>
      </c>
      <c r="E104" s="39" t="s">
        <v>415</v>
      </c>
    </row>
    <row r="105" spans="1:5" x14ac:dyDescent="0.3">
      <c r="A105">
        <v>28573135</v>
      </c>
      <c r="B105" t="s">
        <v>374</v>
      </c>
      <c r="D105" s="39" t="s">
        <v>172</v>
      </c>
      <c r="E105" s="39" t="s">
        <v>415</v>
      </c>
    </row>
    <row r="106" spans="1:5" x14ac:dyDescent="0.3">
      <c r="A106">
        <v>28575263</v>
      </c>
      <c r="B106" t="s">
        <v>373</v>
      </c>
      <c r="C106" t="s">
        <v>427</v>
      </c>
      <c r="D106" s="39" t="s">
        <v>214</v>
      </c>
    </row>
    <row r="107" spans="1:5" x14ac:dyDescent="0.3">
      <c r="A107">
        <v>28575264</v>
      </c>
      <c r="B107" t="s">
        <v>371</v>
      </c>
      <c r="C107" t="s">
        <v>428</v>
      </c>
      <c r="D107" s="39" t="s">
        <v>214</v>
      </c>
    </row>
    <row r="108" spans="1:5" x14ac:dyDescent="0.3">
      <c r="A108">
        <v>28575687</v>
      </c>
      <c r="B108" t="s">
        <v>420</v>
      </c>
      <c r="C108" t="s">
        <v>429</v>
      </c>
      <c r="D108" s="39" t="s">
        <v>214</v>
      </c>
    </row>
    <row r="109" spans="1:5" x14ac:dyDescent="0.3">
      <c r="A109">
        <v>28575686</v>
      </c>
      <c r="B109" t="s">
        <v>421</v>
      </c>
      <c r="C109" t="s">
        <v>430</v>
      </c>
      <c r="D109" s="39" t="s">
        <v>214</v>
      </c>
    </row>
    <row r="110" spans="1:5" x14ac:dyDescent="0.3">
      <c r="A110">
        <v>28576101</v>
      </c>
      <c r="B110" t="s">
        <v>374</v>
      </c>
      <c r="C110" t="s">
        <v>431</v>
      </c>
      <c r="D110" s="39" t="s">
        <v>214</v>
      </c>
    </row>
    <row r="111" spans="1:5" x14ac:dyDescent="0.3">
      <c r="A111">
        <v>28576109</v>
      </c>
      <c r="B111" t="s">
        <v>370</v>
      </c>
      <c r="C111" t="s">
        <v>432</v>
      </c>
      <c r="D111" s="39" t="s">
        <v>214</v>
      </c>
    </row>
    <row r="112" spans="1:5" x14ac:dyDescent="0.3">
      <c r="A112">
        <v>28575939</v>
      </c>
      <c r="B112" t="s">
        <v>422</v>
      </c>
      <c r="D112" s="39" t="s">
        <v>172</v>
      </c>
      <c r="E112" t="s">
        <v>285</v>
      </c>
    </row>
    <row r="113" spans="1:4" x14ac:dyDescent="0.3">
      <c r="A113">
        <v>28576096</v>
      </c>
      <c r="B113" t="s">
        <v>377</v>
      </c>
      <c r="C113" t="s">
        <v>433</v>
      </c>
      <c r="D113" t="s">
        <v>214</v>
      </c>
    </row>
    <row r="114" spans="1:4" x14ac:dyDescent="0.3">
      <c r="A114">
        <v>28576102</v>
      </c>
      <c r="B114" t="s">
        <v>374</v>
      </c>
      <c r="C114" t="s">
        <v>434</v>
      </c>
      <c r="D114" s="39" t="s">
        <v>214</v>
      </c>
    </row>
    <row r="116" spans="1:4" x14ac:dyDescent="0.3">
      <c r="A116" t="s">
        <v>408</v>
      </c>
    </row>
    <row r="117" spans="1:4" x14ac:dyDescent="0.3">
      <c r="A117">
        <v>28576625</v>
      </c>
      <c r="B117" t="s">
        <v>210</v>
      </c>
      <c r="C117" t="s">
        <v>435</v>
      </c>
      <c r="D117" t="s">
        <v>178</v>
      </c>
    </row>
    <row r="118" spans="1:4" x14ac:dyDescent="0.3">
      <c r="A118" t="s">
        <v>409</v>
      </c>
    </row>
    <row r="119" spans="1:4" x14ac:dyDescent="0.3">
      <c r="A119">
        <v>28577577</v>
      </c>
      <c r="B119" t="s">
        <v>436</v>
      </c>
      <c r="C119" t="s">
        <v>437</v>
      </c>
      <c r="D119" s="39" t="s">
        <v>178</v>
      </c>
    </row>
    <row r="120" spans="1:4" x14ac:dyDescent="0.3">
      <c r="A120" t="s">
        <v>419</v>
      </c>
    </row>
    <row r="121" spans="1:4" x14ac:dyDescent="0.3">
      <c r="A121">
        <v>28577520</v>
      </c>
      <c r="B121" t="s">
        <v>370</v>
      </c>
      <c r="C121" t="s">
        <v>439</v>
      </c>
      <c r="D121" s="39" t="s">
        <v>178</v>
      </c>
    </row>
    <row r="122" spans="1:4" x14ac:dyDescent="0.3">
      <c r="A122">
        <v>28577536</v>
      </c>
      <c r="B122" t="s">
        <v>438</v>
      </c>
      <c r="C122" t="s">
        <v>440</v>
      </c>
      <c r="D122" s="39" t="s">
        <v>178</v>
      </c>
    </row>
    <row r="123" spans="1:4" x14ac:dyDescent="0.3">
      <c r="A123">
        <v>28577251</v>
      </c>
      <c r="B123" t="s">
        <v>370</v>
      </c>
      <c r="C123" t="s">
        <v>441</v>
      </c>
      <c r="D123" s="39" t="s">
        <v>178</v>
      </c>
    </row>
    <row r="125" spans="1:4" x14ac:dyDescent="0.3">
      <c r="A125" t="s">
        <v>408</v>
      </c>
    </row>
    <row r="126" spans="1:4" x14ac:dyDescent="0.3">
      <c r="A126">
        <v>28577962</v>
      </c>
      <c r="B126" t="s">
        <v>272</v>
      </c>
      <c r="C126" t="s">
        <v>454</v>
      </c>
      <c r="D126" s="39" t="s">
        <v>178</v>
      </c>
    </row>
    <row r="127" spans="1:4" x14ac:dyDescent="0.3">
      <c r="A127">
        <v>28577996</v>
      </c>
      <c r="B127" t="s">
        <v>159</v>
      </c>
      <c r="C127" t="s">
        <v>455</v>
      </c>
      <c r="D127" s="39" t="s">
        <v>178</v>
      </c>
    </row>
    <row r="128" spans="1:4" x14ac:dyDescent="0.3">
      <c r="A128">
        <v>28578000</v>
      </c>
      <c r="B128" t="s">
        <v>286</v>
      </c>
      <c r="C128" t="s">
        <v>456</v>
      </c>
      <c r="D128" s="39" t="s">
        <v>178</v>
      </c>
    </row>
    <row r="129" spans="1:4" x14ac:dyDescent="0.3">
      <c r="A129">
        <v>28577998</v>
      </c>
      <c r="B129" t="s">
        <v>286</v>
      </c>
      <c r="C129" t="s">
        <v>457</v>
      </c>
      <c r="D129" s="39" t="s">
        <v>178</v>
      </c>
    </row>
    <row r="130" spans="1:4" x14ac:dyDescent="0.3">
      <c r="A130">
        <v>28578136</v>
      </c>
      <c r="B130" t="s">
        <v>445</v>
      </c>
      <c r="C130" t="s">
        <v>458</v>
      </c>
      <c r="D130" s="39" t="s">
        <v>178</v>
      </c>
    </row>
    <row r="131" spans="1:4" x14ac:dyDescent="0.3">
      <c r="A131">
        <v>28577958</v>
      </c>
      <c r="B131" t="s">
        <v>272</v>
      </c>
      <c r="C131" t="s">
        <v>459</v>
      </c>
      <c r="D131" s="39" t="s">
        <v>178</v>
      </c>
    </row>
    <row r="133" spans="1:4" x14ac:dyDescent="0.3">
      <c r="A133" t="s">
        <v>409</v>
      </c>
    </row>
    <row r="134" spans="1:4" x14ac:dyDescent="0.3">
      <c r="A134">
        <v>28578137</v>
      </c>
      <c r="B134" t="s">
        <v>410</v>
      </c>
      <c r="C134" t="s">
        <v>460</v>
      </c>
      <c r="D134" s="39" t="s">
        <v>178</v>
      </c>
    </row>
    <row r="136" spans="1:4" x14ac:dyDescent="0.3">
      <c r="A136" t="s">
        <v>408</v>
      </c>
    </row>
    <row r="137" spans="1:4" x14ac:dyDescent="0.3">
      <c r="A137">
        <v>28579031</v>
      </c>
      <c r="B137" t="s">
        <v>461</v>
      </c>
      <c r="C137" t="s">
        <v>466</v>
      </c>
      <c r="D137" s="39" t="s">
        <v>178</v>
      </c>
    </row>
    <row r="138" spans="1:4" x14ac:dyDescent="0.3">
      <c r="A138">
        <v>28579225</v>
      </c>
      <c r="B138" t="s">
        <v>215</v>
      </c>
      <c r="C138" t="s">
        <v>467</v>
      </c>
      <c r="D138" s="39" t="s">
        <v>178</v>
      </c>
    </row>
    <row r="140" spans="1:4" x14ac:dyDescent="0.3">
      <c r="A140" t="s">
        <v>409</v>
      </c>
    </row>
    <row r="141" spans="1:4" x14ac:dyDescent="0.3">
      <c r="A141">
        <v>28579034</v>
      </c>
      <c r="B141" t="s">
        <v>468</v>
      </c>
      <c r="C141" t="s">
        <v>469</v>
      </c>
      <c r="D141" s="39" t="s">
        <v>178</v>
      </c>
    </row>
    <row r="143" spans="1:4" x14ac:dyDescent="0.3">
      <c r="A143" t="s">
        <v>419</v>
      </c>
    </row>
    <row r="144" spans="1:4" x14ac:dyDescent="0.3">
      <c r="A144">
        <v>28579037</v>
      </c>
      <c r="B144" t="s">
        <v>420</v>
      </c>
      <c r="C144" t="s">
        <v>471</v>
      </c>
      <c r="D144" s="39" t="s">
        <v>178</v>
      </c>
    </row>
    <row r="145" spans="1:5" x14ac:dyDescent="0.3">
      <c r="A145">
        <v>28579002</v>
      </c>
      <c r="B145" t="s">
        <v>371</v>
      </c>
      <c r="C145" t="s">
        <v>472</v>
      </c>
      <c r="D145" s="39" t="s">
        <v>178</v>
      </c>
    </row>
    <row r="146" spans="1:5" x14ac:dyDescent="0.3">
      <c r="A146">
        <v>28579036</v>
      </c>
      <c r="B146" t="s">
        <v>470</v>
      </c>
      <c r="C146" t="s">
        <v>475</v>
      </c>
      <c r="D146" s="39" t="s">
        <v>178</v>
      </c>
    </row>
    <row r="148" spans="1:5" x14ac:dyDescent="0.3">
      <c r="A148" t="s">
        <v>409</v>
      </c>
    </row>
    <row r="149" spans="1:5" x14ac:dyDescent="0.3">
      <c r="A149">
        <v>28579950</v>
      </c>
      <c r="B149" t="s">
        <v>351</v>
      </c>
      <c r="C149" t="s">
        <v>476</v>
      </c>
      <c r="D149" s="39" t="s">
        <v>178</v>
      </c>
    </row>
    <row r="150" spans="1:5" x14ac:dyDescent="0.3">
      <c r="A150">
        <v>28579946</v>
      </c>
      <c r="B150" t="s">
        <v>350</v>
      </c>
      <c r="C150" t="s">
        <v>477</v>
      </c>
      <c r="D150" s="39" t="s">
        <v>178</v>
      </c>
    </row>
    <row r="152" spans="1:5" x14ac:dyDescent="0.3">
      <c r="A152" t="s">
        <v>419</v>
      </c>
    </row>
    <row r="153" spans="1:5" x14ac:dyDescent="0.3">
      <c r="A153">
        <v>28579948</v>
      </c>
      <c r="B153" t="s">
        <v>376</v>
      </c>
      <c r="C153" t="s">
        <v>479</v>
      </c>
      <c r="D153" s="39" t="s">
        <v>178</v>
      </c>
    </row>
    <row r="154" spans="1:5" x14ac:dyDescent="0.3">
      <c r="A154">
        <v>28579941</v>
      </c>
      <c r="B154" t="s">
        <v>478</v>
      </c>
      <c r="C154" t="s">
        <v>480</v>
      </c>
      <c r="D154" s="39" t="s">
        <v>178</v>
      </c>
    </row>
    <row r="155" spans="1:5" x14ac:dyDescent="0.3">
      <c r="A155">
        <v>28579951</v>
      </c>
      <c r="B155" t="s">
        <v>373</v>
      </c>
      <c r="C155" t="s">
        <v>481</v>
      </c>
      <c r="D155" s="39" t="s">
        <v>178</v>
      </c>
    </row>
    <row r="157" spans="1:5" x14ac:dyDescent="0.3">
      <c r="A157">
        <v>28580974</v>
      </c>
      <c r="B157" t="s">
        <v>483</v>
      </c>
      <c r="C157" t="s">
        <v>445</v>
      </c>
      <c r="D157" t="s">
        <v>494</v>
      </c>
      <c r="E157" s="39" t="s">
        <v>178</v>
      </c>
    </row>
    <row r="158" spans="1:5" x14ac:dyDescent="0.3">
      <c r="A158">
        <v>28581144</v>
      </c>
      <c r="B158" t="s">
        <v>483</v>
      </c>
      <c r="C158" t="s">
        <v>272</v>
      </c>
      <c r="D158" t="s">
        <v>495</v>
      </c>
      <c r="E158" s="39" t="s">
        <v>178</v>
      </c>
    </row>
    <row r="159" spans="1:5" x14ac:dyDescent="0.3">
      <c r="A159">
        <v>28581550</v>
      </c>
      <c r="B159" t="s">
        <v>483</v>
      </c>
      <c r="C159" t="s">
        <v>461</v>
      </c>
      <c r="D159" t="s">
        <v>496</v>
      </c>
      <c r="E159" s="39" t="s">
        <v>178</v>
      </c>
    </row>
    <row r="160" spans="1:5" x14ac:dyDescent="0.3">
      <c r="A160">
        <v>28581547</v>
      </c>
      <c r="B160" t="s">
        <v>483</v>
      </c>
      <c r="C160" t="s">
        <v>272</v>
      </c>
      <c r="D160" t="s">
        <v>497</v>
      </c>
      <c r="E160" s="39" t="s">
        <v>178</v>
      </c>
    </row>
    <row r="161" spans="1:5" x14ac:dyDescent="0.3">
      <c r="A161">
        <v>28581549</v>
      </c>
      <c r="B161" t="s">
        <v>483</v>
      </c>
      <c r="C161" t="s">
        <v>138</v>
      </c>
      <c r="D161" t="s">
        <v>498</v>
      </c>
      <c r="E161" s="39" t="s">
        <v>178</v>
      </c>
    </row>
    <row r="162" spans="1:5" x14ac:dyDescent="0.3">
      <c r="A162">
        <v>28581200</v>
      </c>
      <c r="B162" t="s">
        <v>483</v>
      </c>
      <c r="C162" t="s">
        <v>159</v>
      </c>
      <c r="D162" t="s">
        <v>499</v>
      </c>
      <c r="E162" s="39" t="s">
        <v>178</v>
      </c>
    </row>
    <row r="163" spans="1:5" x14ac:dyDescent="0.3">
      <c r="A163">
        <v>28581746</v>
      </c>
      <c r="B163" t="s">
        <v>483</v>
      </c>
      <c r="C163" t="s">
        <v>140</v>
      </c>
      <c r="D163" t="s">
        <v>500</v>
      </c>
      <c r="E163" s="39" t="s">
        <v>178</v>
      </c>
    </row>
    <row r="164" spans="1:5" x14ac:dyDescent="0.3">
      <c r="A164">
        <v>28582318</v>
      </c>
      <c r="B164" t="s">
        <v>483</v>
      </c>
      <c r="C164" t="s">
        <v>169</v>
      </c>
      <c r="D164" t="s">
        <v>501</v>
      </c>
      <c r="E164" s="39" t="s">
        <v>178</v>
      </c>
    </row>
    <row r="165" spans="1:5" x14ac:dyDescent="0.3">
      <c r="A165">
        <v>28580973</v>
      </c>
      <c r="B165" t="s">
        <v>409</v>
      </c>
      <c r="C165" t="s">
        <v>349</v>
      </c>
      <c r="D165" t="s">
        <v>502</v>
      </c>
      <c r="E165" s="39" t="s">
        <v>178</v>
      </c>
    </row>
    <row r="166" spans="1:5" x14ac:dyDescent="0.3">
      <c r="A166">
        <v>28580966</v>
      </c>
      <c r="B166" t="s">
        <v>409</v>
      </c>
      <c r="C166" t="s">
        <v>410</v>
      </c>
      <c r="D166" t="s">
        <v>503</v>
      </c>
      <c r="E166" s="39" t="s">
        <v>178</v>
      </c>
    </row>
    <row r="167" spans="1:5" x14ac:dyDescent="0.3">
      <c r="A167">
        <v>28580959</v>
      </c>
      <c r="B167" t="s">
        <v>419</v>
      </c>
      <c r="C167" t="s">
        <v>370</v>
      </c>
      <c r="D167" t="s">
        <v>504</v>
      </c>
      <c r="E167" s="39" t="s">
        <v>178</v>
      </c>
    </row>
    <row r="168" spans="1:5" x14ac:dyDescent="0.3">
      <c r="A168">
        <v>28581968</v>
      </c>
      <c r="B168" t="s">
        <v>419</v>
      </c>
      <c r="C168" t="s">
        <v>373</v>
      </c>
      <c r="D168" t="s">
        <v>505</v>
      </c>
      <c r="E168" s="39" t="s">
        <v>178</v>
      </c>
    </row>
    <row r="169" spans="1:5" x14ac:dyDescent="0.3">
      <c r="A169">
        <v>28582321</v>
      </c>
      <c r="B169" t="s">
        <v>419</v>
      </c>
      <c r="C169" t="s">
        <v>376</v>
      </c>
      <c r="D169" t="s">
        <v>506</v>
      </c>
      <c r="E169" s="39" t="s">
        <v>178</v>
      </c>
    </row>
    <row r="170" spans="1:5" x14ac:dyDescent="0.3">
      <c r="A170">
        <v>28581209</v>
      </c>
      <c r="B170" t="s">
        <v>483</v>
      </c>
      <c r="C170" t="s">
        <v>156</v>
      </c>
      <c r="D170" t="s">
        <v>510</v>
      </c>
      <c r="E170" s="39" t="s">
        <v>178</v>
      </c>
    </row>
    <row r="171" spans="1:5" x14ac:dyDescent="0.3">
      <c r="A171" s="1">
        <v>28576070</v>
      </c>
      <c r="B171" s="39" t="s">
        <v>483</v>
      </c>
      <c r="C171" s="1" t="s">
        <v>190</v>
      </c>
      <c r="E171" t="s">
        <v>247</v>
      </c>
    </row>
    <row r="172" spans="1:5" x14ac:dyDescent="0.3">
      <c r="A172" s="1">
        <v>28574239</v>
      </c>
      <c r="B172" s="39" t="s">
        <v>483</v>
      </c>
      <c r="C172" s="1" t="s">
        <v>139</v>
      </c>
      <c r="E172" s="39" t="s">
        <v>247</v>
      </c>
    </row>
    <row r="173" spans="1:5" x14ac:dyDescent="0.3">
      <c r="A173" s="1">
        <v>28582271</v>
      </c>
      <c r="B173" s="39" t="s">
        <v>483</v>
      </c>
      <c r="C173" s="1" t="s">
        <v>143</v>
      </c>
      <c r="E173" t="s">
        <v>512</v>
      </c>
    </row>
    <row r="175" spans="1:5" x14ac:dyDescent="0.3">
      <c r="A175">
        <v>28580968</v>
      </c>
      <c r="B175" t="s">
        <v>483</v>
      </c>
      <c r="C175" t="s">
        <v>139</v>
      </c>
      <c r="E175" t="s">
        <v>557</v>
      </c>
    </row>
    <row r="176" spans="1:5" x14ac:dyDescent="0.3">
      <c r="A176">
        <v>28582650</v>
      </c>
      <c r="B176" t="s">
        <v>483</v>
      </c>
      <c r="C176" t="s">
        <v>215</v>
      </c>
      <c r="D176" t="s">
        <v>529</v>
      </c>
      <c r="E176" s="39" t="s">
        <v>178</v>
      </c>
    </row>
    <row r="177" spans="1:5" x14ac:dyDescent="0.3">
      <c r="A177">
        <v>28582642</v>
      </c>
      <c r="B177" t="s">
        <v>483</v>
      </c>
      <c r="C177" t="s">
        <v>140</v>
      </c>
      <c r="D177" t="s">
        <v>530</v>
      </c>
      <c r="E177" s="39" t="s">
        <v>178</v>
      </c>
    </row>
    <row r="178" spans="1:5" x14ac:dyDescent="0.3">
      <c r="A178">
        <v>28582652</v>
      </c>
      <c r="B178" t="s">
        <v>483</v>
      </c>
      <c r="C178" t="s">
        <v>395</v>
      </c>
      <c r="D178" t="s">
        <v>531</v>
      </c>
      <c r="E178" s="39" t="s">
        <v>178</v>
      </c>
    </row>
    <row r="179" spans="1:5" x14ac:dyDescent="0.3">
      <c r="A179">
        <v>28583242</v>
      </c>
      <c r="B179" t="s">
        <v>483</v>
      </c>
      <c r="C179" t="s">
        <v>248</v>
      </c>
      <c r="D179" t="s">
        <v>532</v>
      </c>
      <c r="E179" s="39" t="s">
        <v>178</v>
      </c>
    </row>
    <row r="180" spans="1:5" x14ac:dyDescent="0.3">
      <c r="A180">
        <v>28583393</v>
      </c>
      <c r="B180" t="s">
        <v>483</v>
      </c>
      <c r="C180" t="s">
        <v>395</v>
      </c>
      <c r="D180" t="s">
        <v>533</v>
      </c>
      <c r="E180" s="39" t="s">
        <v>178</v>
      </c>
    </row>
    <row r="181" spans="1:5" x14ac:dyDescent="0.3">
      <c r="A181">
        <v>28583394</v>
      </c>
      <c r="B181" t="s">
        <v>483</v>
      </c>
      <c r="C181" t="s">
        <v>203</v>
      </c>
      <c r="D181" t="s">
        <v>534</v>
      </c>
      <c r="E181" s="39" t="s">
        <v>178</v>
      </c>
    </row>
    <row r="182" spans="1:5" x14ac:dyDescent="0.3">
      <c r="A182">
        <v>28583577</v>
      </c>
      <c r="B182" t="s">
        <v>483</v>
      </c>
      <c r="C182" t="s">
        <v>190</v>
      </c>
      <c r="D182" t="s">
        <v>535</v>
      </c>
      <c r="E182" s="39" t="s">
        <v>178</v>
      </c>
    </row>
    <row r="183" spans="1:5" x14ac:dyDescent="0.3">
      <c r="A183">
        <v>28584466</v>
      </c>
      <c r="B183" t="s">
        <v>483</v>
      </c>
      <c r="C183" t="s">
        <v>140</v>
      </c>
      <c r="D183" t="s">
        <v>536</v>
      </c>
      <c r="E183" s="39" t="s">
        <v>178</v>
      </c>
    </row>
    <row r="184" spans="1:5" x14ac:dyDescent="0.3">
      <c r="A184">
        <v>28584467</v>
      </c>
      <c r="B184" t="s">
        <v>483</v>
      </c>
      <c r="C184" t="s">
        <v>190</v>
      </c>
      <c r="D184" t="s">
        <v>537</v>
      </c>
      <c r="E184" s="39" t="s">
        <v>178</v>
      </c>
    </row>
    <row r="185" spans="1:5" x14ac:dyDescent="0.3">
      <c r="A185">
        <v>28584490</v>
      </c>
      <c r="B185" t="s">
        <v>483</v>
      </c>
      <c r="C185" t="s">
        <v>273</v>
      </c>
      <c r="D185" t="s">
        <v>538</v>
      </c>
      <c r="E185" s="39" t="s">
        <v>178</v>
      </c>
    </row>
    <row r="186" spans="1:5" x14ac:dyDescent="0.3">
      <c r="A186">
        <v>28584489</v>
      </c>
      <c r="B186" t="s">
        <v>483</v>
      </c>
      <c r="C186" t="s">
        <v>169</v>
      </c>
      <c r="D186" t="s">
        <v>539</v>
      </c>
      <c r="E186" s="39" t="s">
        <v>178</v>
      </c>
    </row>
    <row r="187" spans="1:5" x14ac:dyDescent="0.3">
      <c r="A187">
        <v>28584491</v>
      </c>
      <c r="B187" t="s">
        <v>483</v>
      </c>
      <c r="C187" t="s">
        <v>273</v>
      </c>
      <c r="D187" t="s">
        <v>540</v>
      </c>
      <c r="E187" s="39" t="s">
        <v>178</v>
      </c>
    </row>
    <row r="188" spans="1:5" x14ac:dyDescent="0.3">
      <c r="A188">
        <v>28584527</v>
      </c>
      <c r="B188" t="s">
        <v>483</v>
      </c>
      <c r="C188" t="s">
        <v>156</v>
      </c>
      <c r="D188" t="s">
        <v>510</v>
      </c>
      <c r="E188" s="39" t="s">
        <v>178</v>
      </c>
    </row>
    <row r="189" spans="1:5" x14ac:dyDescent="0.3">
      <c r="A189">
        <v>28584492</v>
      </c>
      <c r="B189" t="s">
        <v>483</v>
      </c>
      <c r="C189" t="s">
        <v>286</v>
      </c>
      <c r="D189" t="s">
        <v>541</v>
      </c>
      <c r="E189" s="39" t="s">
        <v>178</v>
      </c>
    </row>
    <row r="190" spans="1:5" x14ac:dyDescent="0.3">
      <c r="A190">
        <v>28585157</v>
      </c>
      <c r="B190" t="s">
        <v>483</v>
      </c>
      <c r="C190" t="s">
        <v>143</v>
      </c>
      <c r="D190" t="s">
        <v>542</v>
      </c>
      <c r="E190" s="39" t="s">
        <v>178</v>
      </c>
    </row>
    <row r="191" spans="1:5" x14ac:dyDescent="0.3">
      <c r="A191">
        <v>28585158</v>
      </c>
      <c r="B191" t="s">
        <v>483</v>
      </c>
      <c r="C191" t="s">
        <v>513</v>
      </c>
      <c r="D191" t="s">
        <v>543</v>
      </c>
      <c r="E191" s="39" t="s">
        <v>178</v>
      </c>
    </row>
    <row r="192" spans="1:5" x14ac:dyDescent="0.3">
      <c r="A192">
        <v>28585147</v>
      </c>
      <c r="B192" t="s">
        <v>483</v>
      </c>
      <c r="C192" t="s">
        <v>138</v>
      </c>
      <c r="D192" t="s">
        <v>544</v>
      </c>
      <c r="E192" s="39" t="s">
        <v>178</v>
      </c>
    </row>
    <row r="193" spans="1:5" x14ac:dyDescent="0.3">
      <c r="A193">
        <v>28585198</v>
      </c>
      <c r="B193" t="s">
        <v>483</v>
      </c>
      <c r="C193" t="s">
        <v>197</v>
      </c>
      <c r="D193" t="s">
        <v>545</v>
      </c>
      <c r="E193" s="39" t="s">
        <v>178</v>
      </c>
    </row>
    <row r="194" spans="1:5" x14ac:dyDescent="0.3">
      <c r="A194">
        <v>28582771</v>
      </c>
      <c r="B194" t="s">
        <v>409</v>
      </c>
      <c r="C194" t="s">
        <v>514</v>
      </c>
      <c r="D194" t="s">
        <v>546</v>
      </c>
      <c r="E194" s="39" t="s">
        <v>178</v>
      </c>
    </row>
    <row r="195" spans="1:5" x14ac:dyDescent="0.3">
      <c r="A195">
        <v>28583579</v>
      </c>
      <c r="B195" t="s">
        <v>409</v>
      </c>
      <c r="C195" t="s">
        <v>515</v>
      </c>
      <c r="D195" t="s">
        <v>556</v>
      </c>
      <c r="E195" s="39" t="s">
        <v>178</v>
      </c>
    </row>
    <row r="196" spans="1:5" x14ac:dyDescent="0.3">
      <c r="A196">
        <v>28584465</v>
      </c>
      <c r="B196" t="s">
        <v>409</v>
      </c>
      <c r="C196" t="s">
        <v>351</v>
      </c>
      <c r="D196" t="s">
        <v>547</v>
      </c>
      <c r="E196" s="39" t="s">
        <v>178</v>
      </c>
    </row>
    <row r="197" spans="1:5" x14ac:dyDescent="0.3">
      <c r="A197">
        <v>28584486</v>
      </c>
      <c r="B197" t="s">
        <v>409</v>
      </c>
      <c r="C197" t="s">
        <v>516</v>
      </c>
      <c r="D197" t="s">
        <v>548</v>
      </c>
      <c r="E197" s="39" t="s">
        <v>178</v>
      </c>
    </row>
    <row r="198" spans="1:5" x14ac:dyDescent="0.3">
      <c r="A198">
        <v>28584590</v>
      </c>
      <c r="B198" t="s">
        <v>409</v>
      </c>
      <c r="C198" t="s">
        <v>348</v>
      </c>
      <c r="D198" t="s">
        <v>549</v>
      </c>
      <c r="E198" s="39" t="s">
        <v>178</v>
      </c>
    </row>
    <row r="199" spans="1:5" x14ac:dyDescent="0.3">
      <c r="A199">
        <v>28584586</v>
      </c>
      <c r="B199" t="s">
        <v>409</v>
      </c>
      <c r="C199" t="s">
        <v>436</v>
      </c>
      <c r="D199" t="s">
        <v>550</v>
      </c>
      <c r="E199" s="39" t="s">
        <v>178</v>
      </c>
    </row>
    <row r="200" spans="1:5" x14ac:dyDescent="0.3">
      <c r="A200">
        <v>28582653</v>
      </c>
      <c r="B200" t="s">
        <v>419</v>
      </c>
      <c r="C200" t="s">
        <v>370</v>
      </c>
      <c r="D200" t="s">
        <v>551</v>
      </c>
      <c r="E200" s="39" t="s">
        <v>178</v>
      </c>
    </row>
    <row r="201" spans="1:5" x14ac:dyDescent="0.3">
      <c r="A201">
        <v>28582646</v>
      </c>
      <c r="B201" t="s">
        <v>419</v>
      </c>
      <c r="C201" t="s">
        <v>374</v>
      </c>
      <c r="D201" t="s">
        <v>552</v>
      </c>
      <c r="E201" s="39" t="s">
        <v>178</v>
      </c>
    </row>
    <row r="202" spans="1:5" x14ac:dyDescent="0.3">
      <c r="A202">
        <v>28582651</v>
      </c>
      <c r="B202" t="s">
        <v>419</v>
      </c>
      <c r="C202" t="s">
        <v>367</v>
      </c>
      <c r="D202" t="s">
        <v>553</v>
      </c>
      <c r="E202" s="39" t="s">
        <v>178</v>
      </c>
    </row>
    <row r="203" spans="1:5" x14ac:dyDescent="0.3">
      <c r="A203">
        <v>28583578</v>
      </c>
      <c r="B203" t="s">
        <v>419</v>
      </c>
      <c r="C203" t="s">
        <v>369</v>
      </c>
      <c r="D203" t="s">
        <v>554</v>
      </c>
      <c r="E203" s="39" t="s">
        <v>178</v>
      </c>
    </row>
    <row r="204" spans="1:5" x14ac:dyDescent="0.3">
      <c r="A204">
        <v>28584524</v>
      </c>
      <c r="B204" t="s">
        <v>419</v>
      </c>
      <c r="C204" t="s">
        <v>372</v>
      </c>
      <c r="D204" t="s">
        <v>555</v>
      </c>
      <c r="E204" s="39" t="s">
        <v>178</v>
      </c>
    </row>
    <row r="206" spans="1:5" x14ac:dyDescent="0.3">
      <c r="A206">
        <v>28585381</v>
      </c>
      <c r="B206" t="s">
        <v>483</v>
      </c>
      <c r="C206" t="s">
        <v>272</v>
      </c>
      <c r="D206" t="s">
        <v>565</v>
      </c>
      <c r="E206" s="39" t="s">
        <v>178</v>
      </c>
    </row>
    <row r="207" spans="1:5" x14ac:dyDescent="0.3">
      <c r="A207">
        <v>28585570</v>
      </c>
      <c r="B207" t="s">
        <v>483</v>
      </c>
      <c r="C207" t="s">
        <v>138</v>
      </c>
      <c r="D207" t="s">
        <v>566</v>
      </c>
      <c r="E207" s="39" t="s">
        <v>178</v>
      </c>
    </row>
    <row r="208" spans="1:5" x14ac:dyDescent="0.3">
      <c r="A208">
        <v>28585526</v>
      </c>
      <c r="B208" t="s">
        <v>409</v>
      </c>
      <c r="C208" t="s">
        <v>515</v>
      </c>
      <c r="D208" t="s">
        <v>567</v>
      </c>
      <c r="E208" s="39" t="s">
        <v>178</v>
      </c>
    </row>
    <row r="210" spans="1:5" x14ac:dyDescent="0.3">
      <c r="A210" s="1">
        <v>28580968</v>
      </c>
      <c r="B210" s="39" t="s">
        <v>483</v>
      </c>
      <c r="C210" s="1" t="s">
        <v>139</v>
      </c>
      <c r="D210" s="39" t="s">
        <v>172</v>
      </c>
      <c r="E210" t="s">
        <v>568</v>
      </c>
    </row>
    <row r="211" spans="1:5" x14ac:dyDescent="0.3">
      <c r="A211" s="1">
        <v>28583577</v>
      </c>
      <c r="B211" s="39" t="s">
        <v>483</v>
      </c>
      <c r="C211" s="1" t="s">
        <v>190</v>
      </c>
      <c r="D211" s="39" t="s">
        <v>172</v>
      </c>
      <c r="E211" t="s">
        <v>253</v>
      </c>
    </row>
    <row r="212" spans="1:5" x14ac:dyDescent="0.3">
      <c r="A212" s="1">
        <v>28582610</v>
      </c>
      <c r="B212" s="39" t="s">
        <v>483</v>
      </c>
      <c r="C212" s="1" t="s">
        <v>210</v>
      </c>
      <c r="D212" s="39" t="s">
        <v>172</v>
      </c>
      <c r="E212" s="39" t="s">
        <v>253</v>
      </c>
    </row>
    <row r="213" spans="1:5" x14ac:dyDescent="0.3">
      <c r="A213" s="1">
        <v>28585568</v>
      </c>
      <c r="B213" s="39" t="s">
        <v>483</v>
      </c>
      <c r="C213" s="1" t="s">
        <v>210</v>
      </c>
      <c r="D213" s="39" t="s">
        <v>172</v>
      </c>
      <c r="E213" t="s">
        <v>285</v>
      </c>
    </row>
    <row r="214" spans="1:5" x14ac:dyDescent="0.3">
      <c r="A214" s="1">
        <v>28585562</v>
      </c>
      <c r="B214" s="39" t="s">
        <v>483</v>
      </c>
      <c r="C214" s="1" t="s">
        <v>461</v>
      </c>
      <c r="D214" s="39" t="s">
        <v>172</v>
      </c>
      <c r="E214" s="39" t="s">
        <v>285</v>
      </c>
    </row>
    <row r="215" spans="1:5" x14ac:dyDescent="0.3">
      <c r="A215" s="1">
        <v>28583579</v>
      </c>
      <c r="B215" s="39" t="s">
        <v>409</v>
      </c>
      <c r="C215" s="1" t="s">
        <v>515</v>
      </c>
      <c r="D215" s="39" t="s">
        <v>172</v>
      </c>
      <c r="E215" t="s">
        <v>253</v>
      </c>
    </row>
    <row r="216" spans="1:5" x14ac:dyDescent="0.3">
      <c r="A216" s="1">
        <v>28585565</v>
      </c>
      <c r="B216" s="39" t="s">
        <v>409</v>
      </c>
      <c r="C216" s="1" t="s">
        <v>559</v>
      </c>
      <c r="D216" s="39" t="s">
        <v>172</v>
      </c>
      <c r="E216" t="s">
        <v>285</v>
      </c>
    </row>
    <row r="217" spans="1:5" x14ac:dyDescent="0.3">
      <c r="A217" s="1">
        <v>28585566</v>
      </c>
      <c r="B217" s="39" t="s">
        <v>409</v>
      </c>
      <c r="C217" s="1" t="s">
        <v>347</v>
      </c>
      <c r="D217" s="39" t="s">
        <v>172</v>
      </c>
      <c r="E217" s="39" t="s">
        <v>285</v>
      </c>
    </row>
    <row r="218" spans="1:5" x14ac:dyDescent="0.3">
      <c r="A218" s="1">
        <v>28583578</v>
      </c>
      <c r="B218" s="39" t="s">
        <v>419</v>
      </c>
      <c r="C218" s="1" t="s">
        <v>369</v>
      </c>
      <c r="D218" s="39" t="s">
        <v>172</v>
      </c>
      <c r="E218" t="s">
        <v>253</v>
      </c>
    </row>
    <row r="219" spans="1:5" x14ac:dyDescent="0.3">
      <c r="A219" s="1">
        <v>28585563</v>
      </c>
      <c r="B219" s="39" t="s">
        <v>419</v>
      </c>
      <c r="C219" s="1" t="s">
        <v>377</v>
      </c>
      <c r="D219" s="39" t="s">
        <v>172</v>
      </c>
      <c r="E219" t="s">
        <v>285</v>
      </c>
    </row>
    <row r="220" spans="1:5" x14ac:dyDescent="0.3">
      <c r="A220" s="1">
        <v>28585567</v>
      </c>
      <c r="B220" s="39" t="s">
        <v>419</v>
      </c>
      <c r="C220" s="1" t="s">
        <v>374</v>
      </c>
      <c r="D220" s="39" t="s">
        <v>172</v>
      </c>
      <c r="E220" s="39" t="s">
        <v>285</v>
      </c>
    </row>
    <row r="222" spans="1:5" x14ac:dyDescent="0.3">
      <c r="A222">
        <v>28585568</v>
      </c>
      <c r="B222" t="s">
        <v>483</v>
      </c>
      <c r="C222" t="s">
        <v>210</v>
      </c>
      <c r="D222" s="39" t="s">
        <v>172</v>
      </c>
      <c r="E222" s="39" t="s">
        <v>285</v>
      </c>
    </row>
    <row r="223" spans="1:5" x14ac:dyDescent="0.3">
      <c r="A223">
        <v>28585562</v>
      </c>
      <c r="B223" t="s">
        <v>483</v>
      </c>
      <c r="C223" t="s">
        <v>461</v>
      </c>
      <c r="D223" s="39" t="s">
        <v>172</v>
      </c>
      <c r="E223" s="39" t="s">
        <v>285</v>
      </c>
    </row>
    <row r="224" spans="1:5" x14ac:dyDescent="0.3">
      <c r="A224">
        <v>28586375</v>
      </c>
      <c r="B224" t="s">
        <v>483</v>
      </c>
      <c r="C224" t="s">
        <v>395</v>
      </c>
      <c r="D224" t="s">
        <v>577</v>
      </c>
      <c r="E224" t="s">
        <v>214</v>
      </c>
    </row>
    <row r="225" spans="1:5" x14ac:dyDescent="0.3">
      <c r="A225">
        <v>28586576</v>
      </c>
      <c r="B225" t="s">
        <v>483</v>
      </c>
      <c r="C225" t="s">
        <v>156</v>
      </c>
      <c r="D225" t="s">
        <v>582</v>
      </c>
      <c r="E225" s="39" t="s">
        <v>214</v>
      </c>
    </row>
    <row r="226" spans="1:5" x14ac:dyDescent="0.3">
      <c r="A226">
        <v>28586879</v>
      </c>
      <c r="B226" t="s">
        <v>483</v>
      </c>
      <c r="C226" t="s">
        <v>272</v>
      </c>
      <c r="D226" t="s">
        <v>578</v>
      </c>
      <c r="E226" s="39" t="s">
        <v>214</v>
      </c>
    </row>
    <row r="227" spans="1:5" x14ac:dyDescent="0.3">
      <c r="A227">
        <v>28586884</v>
      </c>
      <c r="B227" t="s">
        <v>483</v>
      </c>
      <c r="C227" t="s">
        <v>140</v>
      </c>
      <c r="D227" t="s">
        <v>579</v>
      </c>
      <c r="E227" s="39" t="s">
        <v>214</v>
      </c>
    </row>
    <row r="228" spans="1:5" x14ac:dyDescent="0.3">
      <c r="A228">
        <v>28587669</v>
      </c>
      <c r="B228" t="s">
        <v>483</v>
      </c>
      <c r="C228" t="s">
        <v>366</v>
      </c>
      <c r="D228" t="s">
        <v>580</v>
      </c>
      <c r="E228" s="39" t="s">
        <v>214</v>
      </c>
    </row>
    <row r="229" spans="1:5" x14ac:dyDescent="0.3">
      <c r="A229">
        <v>28585565</v>
      </c>
      <c r="B229" t="s">
        <v>409</v>
      </c>
      <c r="C229" t="s">
        <v>559</v>
      </c>
      <c r="D229" s="39" t="s">
        <v>172</v>
      </c>
      <c r="E229" s="39" t="s">
        <v>285</v>
      </c>
    </row>
    <row r="230" spans="1:5" x14ac:dyDescent="0.3">
      <c r="A230">
        <v>28585566</v>
      </c>
      <c r="B230" t="s">
        <v>409</v>
      </c>
      <c r="C230" t="s">
        <v>347</v>
      </c>
      <c r="D230" s="39" t="s">
        <v>172</v>
      </c>
      <c r="E230" s="39" t="s">
        <v>285</v>
      </c>
    </row>
    <row r="231" spans="1:5" x14ac:dyDescent="0.3">
      <c r="A231">
        <v>28586508</v>
      </c>
      <c r="B231" t="s">
        <v>409</v>
      </c>
      <c r="C231" t="s">
        <v>570</v>
      </c>
      <c r="D231" s="39" t="s">
        <v>172</v>
      </c>
      <c r="E231" s="39" t="s">
        <v>285</v>
      </c>
    </row>
    <row r="232" spans="1:5" x14ac:dyDescent="0.3">
      <c r="A232">
        <v>28586376</v>
      </c>
      <c r="B232" t="s">
        <v>419</v>
      </c>
      <c r="C232" t="s">
        <v>371</v>
      </c>
      <c r="D232" t="s">
        <v>581</v>
      </c>
      <c r="E232" s="39" t="s">
        <v>214</v>
      </c>
    </row>
    <row r="234" spans="1:5" x14ac:dyDescent="0.3">
      <c r="A234">
        <v>28588193</v>
      </c>
      <c r="B234" t="s">
        <v>483</v>
      </c>
      <c r="C234" t="s">
        <v>286</v>
      </c>
      <c r="D234" t="s">
        <v>583</v>
      </c>
      <c r="E234" s="39" t="s">
        <v>214</v>
      </c>
    </row>
    <row r="235" spans="1:5" x14ac:dyDescent="0.3">
      <c r="A235">
        <v>28588197</v>
      </c>
      <c r="B235" t="s">
        <v>483</v>
      </c>
      <c r="C235" t="s">
        <v>169</v>
      </c>
      <c r="D235" t="s">
        <v>584</v>
      </c>
      <c r="E235" s="39" t="s">
        <v>214</v>
      </c>
    </row>
    <row r="237" spans="1:5" x14ac:dyDescent="0.3">
      <c r="A237" s="57">
        <v>28582610</v>
      </c>
      <c r="B237" s="39" t="s">
        <v>483</v>
      </c>
      <c r="C237" s="1" t="s">
        <v>210</v>
      </c>
      <c r="D237" s="1" t="s">
        <v>558</v>
      </c>
      <c r="E237" t="s">
        <v>181</v>
      </c>
    </row>
    <row r="238" spans="1:5" x14ac:dyDescent="0.3">
      <c r="A238" s="57">
        <v>28585568</v>
      </c>
      <c r="B238" s="39" t="s">
        <v>483</v>
      </c>
      <c r="C238" s="1" t="s">
        <v>210</v>
      </c>
      <c r="D238" s="1" t="s">
        <v>558</v>
      </c>
      <c r="E238" s="39" t="s">
        <v>181</v>
      </c>
    </row>
    <row r="239" spans="1:5" x14ac:dyDescent="0.3">
      <c r="A239" s="57">
        <v>28585562</v>
      </c>
      <c r="B239" s="39" t="s">
        <v>483</v>
      </c>
      <c r="C239" s="1" t="s">
        <v>461</v>
      </c>
      <c r="D239" s="1" t="s">
        <v>558</v>
      </c>
      <c r="E239" s="39" t="s">
        <v>181</v>
      </c>
    </row>
    <row r="240" spans="1:5" x14ac:dyDescent="0.3">
      <c r="A240" s="57">
        <v>28589032</v>
      </c>
      <c r="B240" s="39" t="s">
        <v>483</v>
      </c>
      <c r="C240" s="1" t="s">
        <v>139</v>
      </c>
      <c r="D240" s="1" t="s">
        <v>484</v>
      </c>
      <c r="E240" t="s">
        <v>557</v>
      </c>
    </row>
    <row r="241" spans="1:6" x14ac:dyDescent="0.3">
      <c r="A241" s="57">
        <v>28589104</v>
      </c>
      <c r="B241" s="39" t="s">
        <v>483</v>
      </c>
      <c r="C241" s="1" t="s">
        <v>204</v>
      </c>
      <c r="D241" s="1" t="s">
        <v>484</v>
      </c>
      <c r="E241" s="39" t="s">
        <v>557</v>
      </c>
    </row>
    <row r="242" spans="1:6" x14ac:dyDescent="0.3">
      <c r="A242" s="1">
        <v>28590421</v>
      </c>
      <c r="B242" s="39" t="s">
        <v>483</v>
      </c>
      <c r="C242" s="1" t="s">
        <v>140</v>
      </c>
      <c r="D242" s="1" t="s">
        <v>589</v>
      </c>
      <c r="E242" s="39" t="s">
        <v>214</v>
      </c>
    </row>
    <row r="243" spans="1:6" x14ac:dyDescent="0.3">
      <c r="A243" s="57">
        <v>28585565</v>
      </c>
      <c r="B243" s="39" t="s">
        <v>409</v>
      </c>
      <c r="C243" s="1" t="s">
        <v>559</v>
      </c>
      <c r="D243" s="1" t="s">
        <v>558</v>
      </c>
      <c r="E243" s="39" t="s">
        <v>181</v>
      </c>
    </row>
    <row r="244" spans="1:6" x14ac:dyDescent="0.3">
      <c r="A244" s="57">
        <v>28585566</v>
      </c>
      <c r="B244" s="39" t="s">
        <v>409</v>
      </c>
      <c r="C244" s="1" t="s">
        <v>347</v>
      </c>
      <c r="D244" s="1" t="s">
        <v>558</v>
      </c>
      <c r="E244" s="39" t="s">
        <v>181</v>
      </c>
    </row>
    <row r="245" spans="1:6" x14ac:dyDescent="0.3">
      <c r="A245" s="57">
        <v>28586508</v>
      </c>
      <c r="B245" s="39" t="s">
        <v>409</v>
      </c>
      <c r="C245" s="1" t="s">
        <v>570</v>
      </c>
      <c r="D245" s="1" t="s">
        <v>558</v>
      </c>
      <c r="E245" s="39" t="s">
        <v>181</v>
      </c>
    </row>
    <row r="246" spans="1:6" x14ac:dyDescent="0.3">
      <c r="A246" s="57">
        <v>28583579</v>
      </c>
      <c r="B246" s="39" t="s">
        <v>409</v>
      </c>
      <c r="C246" s="1" t="s">
        <v>515</v>
      </c>
      <c r="D246" s="1" t="s">
        <v>484</v>
      </c>
      <c r="E246" s="39" t="s">
        <v>247</v>
      </c>
    </row>
    <row r="247" spans="1:6" x14ac:dyDescent="0.3">
      <c r="A247" s="57">
        <v>28589019</v>
      </c>
      <c r="B247" s="39" t="s">
        <v>419</v>
      </c>
      <c r="C247" s="1" t="s">
        <v>375</v>
      </c>
      <c r="D247" s="1" t="s">
        <v>484</v>
      </c>
      <c r="E247" s="39" t="s">
        <v>247</v>
      </c>
    </row>
    <row r="249" spans="1:6" x14ac:dyDescent="0.3">
      <c r="A249">
        <v>28589104</v>
      </c>
      <c r="B249" t="s">
        <v>483</v>
      </c>
      <c r="C249" t="s">
        <v>204</v>
      </c>
      <c r="F249" t="s">
        <v>557</v>
      </c>
    </row>
    <row r="250" spans="1:6" x14ac:dyDescent="0.3">
      <c r="A250">
        <v>28590696</v>
      </c>
      <c r="B250" t="s">
        <v>483</v>
      </c>
      <c r="C250" t="s">
        <v>445</v>
      </c>
      <c r="E250" t="s">
        <v>596</v>
      </c>
      <c r="F250" t="s">
        <v>214</v>
      </c>
    </row>
    <row r="251" spans="1:6" x14ac:dyDescent="0.3">
      <c r="A251">
        <v>28590692</v>
      </c>
      <c r="B251" t="s">
        <v>483</v>
      </c>
      <c r="C251" t="s">
        <v>248</v>
      </c>
      <c r="E251" t="s">
        <v>597</v>
      </c>
      <c r="F251" s="39" t="s">
        <v>214</v>
      </c>
    </row>
    <row r="252" spans="1:6" x14ac:dyDescent="0.3">
      <c r="A252">
        <v>28590993</v>
      </c>
      <c r="B252" t="s">
        <v>483</v>
      </c>
      <c r="C252" t="s">
        <v>366</v>
      </c>
      <c r="E252" t="s">
        <v>598</v>
      </c>
      <c r="F252" s="39" t="s">
        <v>214</v>
      </c>
    </row>
    <row r="253" spans="1:6" x14ac:dyDescent="0.3">
      <c r="A253">
        <v>28591027</v>
      </c>
      <c r="B253" t="s">
        <v>483</v>
      </c>
      <c r="C253" t="s">
        <v>286</v>
      </c>
      <c r="E253" t="s">
        <v>599</v>
      </c>
      <c r="F253" s="39" t="s">
        <v>214</v>
      </c>
    </row>
    <row r="254" spans="1:6" x14ac:dyDescent="0.3">
      <c r="A254">
        <v>28591028</v>
      </c>
      <c r="B254" t="s">
        <v>483</v>
      </c>
      <c r="C254" t="s">
        <v>248</v>
      </c>
      <c r="E254" t="s">
        <v>600</v>
      </c>
      <c r="F254" s="39" t="s">
        <v>214</v>
      </c>
    </row>
    <row r="255" spans="1:6" x14ac:dyDescent="0.3">
      <c r="A255">
        <v>28591029</v>
      </c>
      <c r="B255" t="s">
        <v>483</v>
      </c>
      <c r="C255" t="s">
        <v>190</v>
      </c>
      <c r="E255" t="s">
        <v>601</v>
      </c>
      <c r="F255" s="39" t="s">
        <v>214</v>
      </c>
    </row>
    <row r="256" spans="1:6" x14ac:dyDescent="0.3">
      <c r="A256">
        <v>28591031</v>
      </c>
      <c r="B256" t="s">
        <v>483</v>
      </c>
      <c r="C256" t="s">
        <v>272</v>
      </c>
      <c r="E256" t="s">
        <v>602</v>
      </c>
      <c r="F256" s="39" t="s">
        <v>214</v>
      </c>
    </row>
    <row r="257" spans="1:6" x14ac:dyDescent="0.3">
      <c r="A257">
        <v>28591037</v>
      </c>
      <c r="B257" t="s">
        <v>483</v>
      </c>
      <c r="C257" t="s">
        <v>140</v>
      </c>
      <c r="E257" t="s">
        <v>603</v>
      </c>
      <c r="F257" s="39" t="s">
        <v>214</v>
      </c>
    </row>
    <row r="258" spans="1:6" x14ac:dyDescent="0.3">
      <c r="A258">
        <v>28590693</v>
      </c>
      <c r="B258" t="s">
        <v>409</v>
      </c>
      <c r="C258" t="s">
        <v>349</v>
      </c>
      <c r="E258" t="s">
        <v>604</v>
      </c>
      <c r="F258" s="39" t="s">
        <v>214</v>
      </c>
    </row>
    <row r="259" spans="1:6" x14ac:dyDescent="0.3">
      <c r="A259">
        <v>28591036</v>
      </c>
      <c r="B259" t="s">
        <v>409</v>
      </c>
      <c r="C259" t="s">
        <v>351</v>
      </c>
      <c r="E259" t="s">
        <v>605</v>
      </c>
      <c r="F259" s="39" t="s">
        <v>214</v>
      </c>
    </row>
    <row r="260" spans="1:6" x14ac:dyDescent="0.3">
      <c r="A260">
        <v>28590694</v>
      </c>
      <c r="B260" t="s">
        <v>419</v>
      </c>
      <c r="C260" t="s">
        <v>371</v>
      </c>
      <c r="E260" t="s">
        <v>606</v>
      </c>
      <c r="F260" s="39" t="s">
        <v>214</v>
      </c>
    </row>
    <row r="261" spans="1:6" x14ac:dyDescent="0.3">
      <c r="A261">
        <v>28591033</v>
      </c>
      <c r="B261" t="s">
        <v>419</v>
      </c>
      <c r="C261" t="s">
        <v>370</v>
      </c>
      <c r="E261" t="s">
        <v>607</v>
      </c>
      <c r="F261" s="39" t="s">
        <v>214</v>
      </c>
    </row>
    <row r="263" spans="1:6" x14ac:dyDescent="0.3">
      <c r="A263" s="1">
        <v>28589104</v>
      </c>
      <c r="B263" s="39" t="s">
        <v>483</v>
      </c>
      <c r="C263" s="1" t="s">
        <v>204</v>
      </c>
      <c r="F263" t="s">
        <v>611</v>
      </c>
    </row>
    <row r="264" spans="1:6" x14ac:dyDescent="0.3">
      <c r="A264" s="1">
        <v>28591631</v>
      </c>
      <c r="B264" s="39" t="s">
        <v>483</v>
      </c>
      <c r="C264" s="1" t="s">
        <v>140</v>
      </c>
      <c r="E264" t="s">
        <v>610</v>
      </c>
      <c r="F264" t="s">
        <v>178</v>
      </c>
    </row>
    <row r="265" spans="1:6" x14ac:dyDescent="0.3">
      <c r="A265" s="1">
        <v>28582610</v>
      </c>
      <c r="B265" s="39" t="s">
        <v>483</v>
      </c>
      <c r="C265" s="1" t="s">
        <v>210</v>
      </c>
      <c r="F265" t="s">
        <v>285</v>
      </c>
    </row>
    <row r="268" spans="1:6" x14ac:dyDescent="0.3">
      <c r="A268">
        <v>28592597</v>
      </c>
      <c r="B268" t="s">
        <v>483</v>
      </c>
      <c r="C268" t="s">
        <v>612</v>
      </c>
      <c r="E268" t="s">
        <v>618</v>
      </c>
      <c r="F268" s="39" t="s">
        <v>178</v>
      </c>
    </row>
    <row r="269" spans="1:6" x14ac:dyDescent="0.3">
      <c r="A269">
        <v>28592880</v>
      </c>
      <c r="B269" t="s">
        <v>483</v>
      </c>
      <c r="C269" t="s">
        <v>215</v>
      </c>
      <c r="E269" t="s">
        <v>623</v>
      </c>
      <c r="F269" s="39" t="s">
        <v>178</v>
      </c>
    </row>
    <row r="270" spans="1:6" x14ac:dyDescent="0.3">
      <c r="A270">
        <v>28592844</v>
      </c>
      <c r="B270" t="s">
        <v>483</v>
      </c>
      <c r="C270" t="s">
        <v>158</v>
      </c>
      <c r="E270" t="s">
        <v>619</v>
      </c>
      <c r="F270" s="39" t="s">
        <v>178</v>
      </c>
    </row>
    <row r="271" spans="1:6" x14ac:dyDescent="0.3">
      <c r="A271">
        <v>28592919</v>
      </c>
      <c r="B271" t="s">
        <v>483</v>
      </c>
      <c r="C271" t="s">
        <v>613</v>
      </c>
      <c r="E271" t="s">
        <v>620</v>
      </c>
      <c r="F271" s="39" t="s">
        <v>178</v>
      </c>
    </row>
    <row r="272" spans="1:6" x14ac:dyDescent="0.3">
      <c r="A272">
        <v>28593237</v>
      </c>
      <c r="B272" t="s">
        <v>483</v>
      </c>
      <c r="C272" t="s">
        <v>248</v>
      </c>
      <c r="E272" t="s">
        <v>624</v>
      </c>
      <c r="F272" s="39" t="s">
        <v>178</v>
      </c>
    </row>
    <row r="273" spans="1:6" x14ac:dyDescent="0.3">
      <c r="A273">
        <v>28592592</v>
      </c>
      <c r="B273" t="s">
        <v>419</v>
      </c>
      <c r="C273" t="s">
        <v>377</v>
      </c>
      <c r="E273" t="s">
        <v>621</v>
      </c>
      <c r="F273" s="39" t="s">
        <v>178</v>
      </c>
    </row>
    <row r="274" spans="1:6" x14ac:dyDescent="0.3">
      <c r="A274">
        <v>28592868</v>
      </c>
      <c r="B274" t="s">
        <v>483</v>
      </c>
      <c r="C274" t="s">
        <v>283</v>
      </c>
      <c r="E274" t="s">
        <v>625</v>
      </c>
      <c r="F274" s="39" t="s">
        <v>178</v>
      </c>
    </row>
    <row r="275" spans="1:6" x14ac:dyDescent="0.3">
      <c r="A275">
        <v>28592887</v>
      </c>
      <c r="B275" t="s">
        <v>483</v>
      </c>
      <c r="C275" t="s">
        <v>612</v>
      </c>
      <c r="E275" t="s">
        <v>626</v>
      </c>
      <c r="F275" s="39" t="s">
        <v>178</v>
      </c>
    </row>
    <row r="276" spans="1:6" x14ac:dyDescent="0.3">
      <c r="A276">
        <v>28592906</v>
      </c>
      <c r="B276" t="s">
        <v>409</v>
      </c>
      <c r="C276" t="s">
        <v>516</v>
      </c>
      <c r="E276" t="s">
        <v>629</v>
      </c>
      <c r="F276" s="39" t="s">
        <v>178</v>
      </c>
    </row>
    <row r="277" spans="1:6" x14ac:dyDescent="0.3">
      <c r="A277">
        <v>28592870</v>
      </c>
      <c r="B277" t="s">
        <v>409</v>
      </c>
      <c r="C277" t="s">
        <v>347</v>
      </c>
      <c r="E277" t="s">
        <v>627</v>
      </c>
      <c r="F277" s="39" t="s">
        <v>178</v>
      </c>
    </row>
    <row r="278" spans="1:6" x14ac:dyDescent="0.3">
      <c r="A278">
        <v>28592910</v>
      </c>
      <c r="B278" t="s">
        <v>419</v>
      </c>
      <c r="C278" t="s">
        <v>372</v>
      </c>
      <c r="E278" t="s">
        <v>628</v>
      </c>
      <c r="F278" s="39" t="s">
        <v>178</v>
      </c>
    </row>
    <row r="279" spans="1:6" x14ac:dyDescent="0.3">
      <c r="A279" s="1">
        <v>28589104</v>
      </c>
      <c r="B279" s="39" t="s">
        <v>483</v>
      </c>
      <c r="C279" s="1" t="s">
        <v>204</v>
      </c>
      <c r="F279" t="s">
        <v>611</v>
      </c>
    </row>
    <row r="280" spans="1:6" x14ac:dyDescent="0.3">
      <c r="A280" s="1">
        <v>28582610</v>
      </c>
      <c r="B280" s="39" t="s">
        <v>483</v>
      </c>
      <c r="C280" s="1" t="s">
        <v>210</v>
      </c>
      <c r="F280" t="s">
        <v>247</v>
      </c>
    </row>
    <row r="281" spans="1:6" x14ac:dyDescent="0.3">
      <c r="A281" s="1">
        <v>28589234</v>
      </c>
      <c r="B281" s="39" t="s">
        <v>419</v>
      </c>
      <c r="C281" s="1" t="s">
        <v>375</v>
      </c>
      <c r="F281" s="39" t="s">
        <v>247</v>
      </c>
    </row>
    <row r="283" spans="1:6" x14ac:dyDescent="0.3">
      <c r="A283">
        <v>28593594</v>
      </c>
      <c r="B283" t="s">
        <v>483</v>
      </c>
      <c r="C283" t="s">
        <v>613</v>
      </c>
      <c r="E283" t="s">
        <v>634</v>
      </c>
      <c r="F283" s="39" t="s">
        <v>178</v>
      </c>
    </row>
    <row r="284" spans="1:6" x14ac:dyDescent="0.3">
      <c r="A284">
        <v>28594156</v>
      </c>
      <c r="B284" t="s">
        <v>483</v>
      </c>
      <c r="C284" t="s">
        <v>248</v>
      </c>
      <c r="E284" t="s">
        <v>639</v>
      </c>
      <c r="F284" s="39" t="s">
        <v>178</v>
      </c>
    </row>
    <row r="285" spans="1:6" x14ac:dyDescent="0.3">
      <c r="A285">
        <v>28594350</v>
      </c>
      <c r="B285" t="s">
        <v>483</v>
      </c>
      <c r="C285" t="s">
        <v>169</v>
      </c>
      <c r="E285" t="s">
        <v>636</v>
      </c>
      <c r="F285" s="39" t="s">
        <v>178</v>
      </c>
    </row>
    <row r="286" spans="1:6" x14ac:dyDescent="0.3">
      <c r="A286">
        <v>28593756</v>
      </c>
      <c r="B286" t="s">
        <v>409</v>
      </c>
      <c r="C286" t="s">
        <v>436</v>
      </c>
      <c r="E286" t="s">
        <v>637</v>
      </c>
      <c r="F286" s="39" t="s">
        <v>178</v>
      </c>
    </row>
    <row r="287" spans="1:6" x14ac:dyDescent="0.3">
      <c r="A287">
        <v>28594141</v>
      </c>
      <c r="B287" t="s">
        <v>409</v>
      </c>
      <c r="C287" t="s">
        <v>350</v>
      </c>
      <c r="E287" t="s">
        <v>638</v>
      </c>
      <c r="F287" s="39" t="s">
        <v>178</v>
      </c>
    </row>
    <row r="288" spans="1:6" x14ac:dyDescent="0.3">
      <c r="A288">
        <v>28589104</v>
      </c>
      <c r="B288" t="s">
        <v>483</v>
      </c>
      <c r="C288" t="s">
        <v>204</v>
      </c>
      <c r="F288" t="s">
        <v>611</v>
      </c>
    </row>
    <row r="289" spans="1:6" x14ac:dyDescent="0.3">
      <c r="A289">
        <v>28582610</v>
      </c>
      <c r="B289" t="s">
        <v>483</v>
      </c>
      <c r="C289" t="s">
        <v>210</v>
      </c>
      <c r="F289" t="s">
        <v>247</v>
      </c>
    </row>
    <row r="291" spans="1:6" x14ac:dyDescent="0.3">
      <c r="A291">
        <v>28594633</v>
      </c>
      <c r="B291" t="s">
        <v>483</v>
      </c>
      <c r="C291" t="s">
        <v>140</v>
      </c>
      <c r="E291" t="s">
        <v>644</v>
      </c>
      <c r="F291" s="39" t="s">
        <v>178</v>
      </c>
    </row>
    <row r="292" spans="1:6" x14ac:dyDescent="0.3">
      <c r="A292">
        <v>28594828</v>
      </c>
      <c r="B292" t="s">
        <v>483</v>
      </c>
      <c r="C292" t="s">
        <v>248</v>
      </c>
      <c r="E292" t="s">
        <v>645</v>
      </c>
      <c r="F292" s="39" t="s">
        <v>557</v>
      </c>
    </row>
    <row r="293" spans="1:6" x14ac:dyDescent="0.3">
      <c r="A293">
        <v>28594822</v>
      </c>
      <c r="B293" t="s">
        <v>483</v>
      </c>
      <c r="C293" t="s">
        <v>139</v>
      </c>
      <c r="E293" t="s">
        <v>635</v>
      </c>
      <c r="F293" s="39" t="s">
        <v>178</v>
      </c>
    </row>
    <row r="294" spans="1:6" x14ac:dyDescent="0.3">
      <c r="A294">
        <v>28594816</v>
      </c>
      <c r="B294" t="s">
        <v>483</v>
      </c>
      <c r="C294" t="s">
        <v>461</v>
      </c>
      <c r="E294" t="s">
        <v>646</v>
      </c>
      <c r="F294" s="39" t="s">
        <v>178</v>
      </c>
    </row>
    <row r="295" spans="1:6" x14ac:dyDescent="0.3">
      <c r="A295">
        <v>28594817</v>
      </c>
      <c r="B295" t="s">
        <v>483</v>
      </c>
      <c r="C295" t="s">
        <v>169</v>
      </c>
      <c r="E295" t="s">
        <v>647</v>
      </c>
      <c r="F295" s="39" t="s">
        <v>178</v>
      </c>
    </row>
    <row r="296" spans="1:6" x14ac:dyDescent="0.3">
      <c r="A296">
        <v>28594814</v>
      </c>
      <c r="B296" t="s">
        <v>483</v>
      </c>
      <c r="C296" t="s">
        <v>286</v>
      </c>
      <c r="E296" t="s">
        <v>648</v>
      </c>
      <c r="F296" s="39" t="s">
        <v>178</v>
      </c>
    </row>
    <row r="297" spans="1:6" x14ac:dyDescent="0.3">
      <c r="A297">
        <v>28594829</v>
      </c>
      <c r="B297" t="s">
        <v>483</v>
      </c>
      <c r="C297" t="s">
        <v>157</v>
      </c>
      <c r="E297" t="s">
        <v>649</v>
      </c>
      <c r="F297" s="39" t="s">
        <v>178</v>
      </c>
    </row>
    <row r="298" spans="1:6" x14ac:dyDescent="0.3">
      <c r="A298">
        <v>28594832</v>
      </c>
      <c r="B298" t="s">
        <v>483</v>
      </c>
      <c r="C298" t="s">
        <v>140</v>
      </c>
      <c r="E298" t="s">
        <v>650</v>
      </c>
      <c r="F298" s="39" t="s">
        <v>178</v>
      </c>
    </row>
    <row r="299" spans="1:6" x14ac:dyDescent="0.3">
      <c r="A299">
        <v>28594833</v>
      </c>
      <c r="B299" t="s">
        <v>483</v>
      </c>
      <c r="C299" t="s">
        <v>168</v>
      </c>
      <c r="E299" t="s">
        <v>651</v>
      </c>
      <c r="F299" s="39" t="s">
        <v>178</v>
      </c>
    </row>
    <row r="300" spans="1:6" x14ac:dyDescent="0.3">
      <c r="A300">
        <v>28594884</v>
      </c>
      <c r="B300" t="s">
        <v>483</v>
      </c>
      <c r="C300" t="s">
        <v>613</v>
      </c>
      <c r="E300" t="s">
        <v>652</v>
      </c>
      <c r="F300" s="39" t="s">
        <v>178</v>
      </c>
    </row>
    <row r="301" spans="1:6" x14ac:dyDescent="0.3">
      <c r="A301">
        <v>28594887</v>
      </c>
      <c r="B301" t="s">
        <v>483</v>
      </c>
      <c r="C301" t="s">
        <v>158</v>
      </c>
      <c r="E301" t="s">
        <v>653</v>
      </c>
      <c r="F301" s="39" t="s">
        <v>178</v>
      </c>
    </row>
    <row r="302" spans="1:6" x14ac:dyDescent="0.3">
      <c r="A302">
        <v>28594888</v>
      </c>
      <c r="B302" t="s">
        <v>483</v>
      </c>
      <c r="C302" t="s">
        <v>140</v>
      </c>
      <c r="E302" t="s">
        <v>654</v>
      </c>
      <c r="F302" s="39" t="s">
        <v>178</v>
      </c>
    </row>
    <row r="303" spans="1:6" x14ac:dyDescent="0.3">
      <c r="A303">
        <v>28594824</v>
      </c>
      <c r="B303" t="s">
        <v>409</v>
      </c>
      <c r="C303" t="s">
        <v>347</v>
      </c>
      <c r="E303" t="s">
        <v>655</v>
      </c>
      <c r="F303" s="39" t="s">
        <v>178</v>
      </c>
    </row>
    <row r="304" spans="1:6" x14ac:dyDescent="0.3">
      <c r="A304">
        <v>28595056</v>
      </c>
      <c r="B304" t="s">
        <v>409</v>
      </c>
      <c r="C304" t="s">
        <v>349</v>
      </c>
      <c r="E304" t="s">
        <v>656</v>
      </c>
      <c r="F304" s="39" t="s">
        <v>178</v>
      </c>
    </row>
    <row r="305" spans="1:6" x14ac:dyDescent="0.3">
      <c r="A305">
        <v>28594830</v>
      </c>
      <c r="B305" t="s">
        <v>419</v>
      </c>
      <c r="C305" t="s">
        <v>640</v>
      </c>
      <c r="E305" t="s">
        <v>661</v>
      </c>
      <c r="F305" s="39" t="s">
        <v>178</v>
      </c>
    </row>
    <row r="306" spans="1:6" x14ac:dyDescent="0.3">
      <c r="A306">
        <v>28594831</v>
      </c>
      <c r="B306" t="s">
        <v>419</v>
      </c>
      <c r="C306" t="s">
        <v>370</v>
      </c>
      <c r="E306" t="s">
        <v>657</v>
      </c>
      <c r="F306" s="39" t="s">
        <v>178</v>
      </c>
    </row>
    <row r="307" spans="1:6" x14ac:dyDescent="0.3">
      <c r="A307">
        <v>28594826</v>
      </c>
      <c r="B307" t="s">
        <v>419</v>
      </c>
      <c r="C307" t="s">
        <v>372</v>
      </c>
      <c r="E307" t="s">
        <v>658</v>
      </c>
      <c r="F307" s="39" t="s">
        <v>178</v>
      </c>
    </row>
    <row r="308" spans="1:6" x14ac:dyDescent="0.3">
      <c r="A308">
        <v>28594827</v>
      </c>
      <c r="B308" t="s">
        <v>419</v>
      </c>
      <c r="C308" t="s">
        <v>374</v>
      </c>
      <c r="E308" t="s">
        <v>659</v>
      </c>
      <c r="F308" s="39" t="s">
        <v>178</v>
      </c>
    </row>
    <row r="309" spans="1:6" x14ac:dyDescent="0.3">
      <c r="A309">
        <v>28594815</v>
      </c>
      <c r="B309" t="s">
        <v>419</v>
      </c>
      <c r="C309" t="s">
        <v>373</v>
      </c>
      <c r="E309" t="s">
        <v>660</v>
      </c>
      <c r="F309" s="39" t="s">
        <v>178</v>
      </c>
    </row>
    <row r="311" spans="1:6" x14ac:dyDescent="0.3">
      <c r="A311">
        <v>28594633</v>
      </c>
      <c r="B311" t="s">
        <v>483</v>
      </c>
      <c r="C311" t="s">
        <v>140</v>
      </c>
      <c r="E311" t="s">
        <v>644</v>
      </c>
      <c r="F311" s="39" t="s">
        <v>178</v>
      </c>
    </row>
    <row r="312" spans="1:6" x14ac:dyDescent="0.3">
      <c r="A312">
        <v>28594828</v>
      </c>
      <c r="B312" t="s">
        <v>483</v>
      </c>
      <c r="C312" t="s">
        <v>248</v>
      </c>
      <c r="E312" t="s">
        <v>645</v>
      </c>
      <c r="F312" s="39" t="s">
        <v>178</v>
      </c>
    </row>
    <row r="313" spans="1:6" x14ac:dyDescent="0.3">
      <c r="A313">
        <v>28594822</v>
      </c>
      <c r="B313" t="s">
        <v>483</v>
      </c>
      <c r="C313" t="s">
        <v>139</v>
      </c>
      <c r="E313" t="s">
        <v>635</v>
      </c>
      <c r="F313" s="39" t="s">
        <v>557</v>
      </c>
    </row>
    <row r="314" spans="1:6" x14ac:dyDescent="0.3">
      <c r="A314">
        <v>28594816</v>
      </c>
      <c r="B314" t="s">
        <v>483</v>
      </c>
      <c r="C314" t="s">
        <v>461</v>
      </c>
      <c r="E314" t="s">
        <v>646</v>
      </c>
      <c r="F314" s="39" t="s">
        <v>178</v>
      </c>
    </row>
    <row r="315" spans="1:6" x14ac:dyDescent="0.3">
      <c r="A315">
        <v>28594817</v>
      </c>
      <c r="B315" t="s">
        <v>483</v>
      </c>
      <c r="C315" t="s">
        <v>169</v>
      </c>
      <c r="E315" t="s">
        <v>647</v>
      </c>
      <c r="F315" s="39" t="s">
        <v>178</v>
      </c>
    </row>
    <row r="316" spans="1:6" x14ac:dyDescent="0.3">
      <c r="A316">
        <v>28594814</v>
      </c>
      <c r="B316" t="s">
        <v>483</v>
      </c>
      <c r="C316" t="s">
        <v>286</v>
      </c>
      <c r="E316" t="s">
        <v>648</v>
      </c>
      <c r="F316" s="39" t="s">
        <v>178</v>
      </c>
    </row>
    <row r="317" spans="1:6" x14ac:dyDescent="0.3">
      <c r="A317">
        <v>28594829</v>
      </c>
      <c r="B317" t="s">
        <v>483</v>
      </c>
      <c r="C317" t="s">
        <v>157</v>
      </c>
      <c r="E317" t="s">
        <v>649</v>
      </c>
      <c r="F317" s="39" t="s">
        <v>178</v>
      </c>
    </row>
    <row r="318" spans="1:6" x14ac:dyDescent="0.3">
      <c r="A318">
        <v>28594832</v>
      </c>
      <c r="B318" t="s">
        <v>483</v>
      </c>
      <c r="C318" t="s">
        <v>140</v>
      </c>
      <c r="E318" t="s">
        <v>650</v>
      </c>
      <c r="F318" s="39" t="s">
        <v>178</v>
      </c>
    </row>
    <row r="319" spans="1:6" x14ac:dyDescent="0.3">
      <c r="A319">
        <v>28594833</v>
      </c>
      <c r="B319" t="s">
        <v>483</v>
      </c>
      <c r="C319" t="s">
        <v>168</v>
      </c>
      <c r="E319" t="s">
        <v>651</v>
      </c>
      <c r="F319" s="39" t="s">
        <v>178</v>
      </c>
    </row>
    <row r="320" spans="1:6" x14ac:dyDescent="0.3">
      <c r="A320">
        <v>28594884</v>
      </c>
      <c r="B320" t="s">
        <v>483</v>
      </c>
      <c r="C320" t="s">
        <v>613</v>
      </c>
      <c r="E320" t="s">
        <v>652</v>
      </c>
      <c r="F320" s="39" t="s">
        <v>178</v>
      </c>
    </row>
    <row r="321" spans="1:13" x14ac:dyDescent="0.3">
      <c r="A321">
        <v>28594887</v>
      </c>
      <c r="B321" t="s">
        <v>483</v>
      </c>
      <c r="C321" t="s">
        <v>158</v>
      </c>
      <c r="E321" t="s">
        <v>653</v>
      </c>
      <c r="F321" s="39" t="s">
        <v>178</v>
      </c>
      <c r="L321">
        <v>28593855</v>
      </c>
      <c r="M321" t="s">
        <v>635</v>
      </c>
    </row>
    <row r="322" spans="1:13" x14ac:dyDescent="0.3">
      <c r="A322">
        <v>28594888</v>
      </c>
      <c r="B322" t="s">
        <v>483</v>
      </c>
      <c r="C322" t="s">
        <v>140</v>
      </c>
      <c r="E322" t="s">
        <v>654</v>
      </c>
      <c r="F322" s="39" t="s">
        <v>178</v>
      </c>
      <c r="L322">
        <v>28594822</v>
      </c>
      <c r="M322" t="s">
        <v>635</v>
      </c>
    </row>
    <row r="323" spans="1:13" x14ac:dyDescent="0.3">
      <c r="A323">
        <v>28594824</v>
      </c>
      <c r="B323" t="s">
        <v>409</v>
      </c>
      <c r="C323" t="s">
        <v>347</v>
      </c>
      <c r="E323" t="s">
        <v>655</v>
      </c>
      <c r="F323" s="39" t="s">
        <v>178</v>
      </c>
      <c r="L323">
        <v>28597436</v>
      </c>
      <c r="M323" t="s">
        <v>667</v>
      </c>
    </row>
    <row r="324" spans="1:13" x14ac:dyDescent="0.3">
      <c r="A324">
        <v>28595056</v>
      </c>
      <c r="B324" t="s">
        <v>409</v>
      </c>
      <c r="C324" t="s">
        <v>349</v>
      </c>
      <c r="E324" t="s">
        <v>656</v>
      </c>
      <c r="F324" s="39" t="s">
        <v>178</v>
      </c>
      <c r="L324">
        <v>28598099</v>
      </c>
      <c r="M324" t="s">
        <v>635</v>
      </c>
    </row>
    <row r="325" spans="1:13" x14ac:dyDescent="0.3">
      <c r="A325">
        <v>28594830</v>
      </c>
      <c r="B325" t="s">
        <v>419</v>
      </c>
      <c r="C325" t="s">
        <v>640</v>
      </c>
      <c r="E325" t="s">
        <v>661</v>
      </c>
      <c r="F325" s="39" t="s">
        <v>178</v>
      </c>
      <c r="L325">
        <v>28597748</v>
      </c>
      <c r="M325" t="s">
        <v>635</v>
      </c>
    </row>
    <row r="326" spans="1:13" x14ac:dyDescent="0.3">
      <c r="A326">
        <v>28594831</v>
      </c>
      <c r="B326" t="s">
        <v>419</v>
      </c>
      <c r="C326" t="s">
        <v>370</v>
      </c>
      <c r="E326" t="s">
        <v>657</v>
      </c>
      <c r="F326" s="39" t="s">
        <v>178</v>
      </c>
      <c r="L326">
        <v>28597321</v>
      </c>
      <c r="M326" t="s">
        <v>668</v>
      </c>
    </row>
    <row r="327" spans="1:13" x14ac:dyDescent="0.3">
      <c r="A327">
        <v>28594826</v>
      </c>
      <c r="B327" t="s">
        <v>419</v>
      </c>
      <c r="C327" t="s">
        <v>372</v>
      </c>
      <c r="E327" t="s">
        <v>658</v>
      </c>
      <c r="F327" s="39" t="s">
        <v>178</v>
      </c>
      <c r="L327">
        <v>28598239</v>
      </c>
      <c r="M327" t="s">
        <v>669</v>
      </c>
    </row>
    <row r="328" spans="1:13" x14ac:dyDescent="0.3">
      <c r="A328">
        <v>28594827</v>
      </c>
      <c r="B328" t="s">
        <v>419</v>
      </c>
      <c r="C328" t="s">
        <v>374</v>
      </c>
      <c r="E328" t="s">
        <v>659</v>
      </c>
      <c r="F328" s="39" t="s">
        <v>178</v>
      </c>
      <c r="L328">
        <v>28598237</v>
      </c>
      <c r="M328" t="s">
        <v>670</v>
      </c>
    </row>
    <row r="329" spans="1:13" x14ac:dyDescent="0.3">
      <c r="A329">
        <v>28594815</v>
      </c>
      <c r="B329" t="s">
        <v>419</v>
      </c>
      <c r="C329" t="s">
        <v>373</v>
      </c>
      <c r="E329" t="s">
        <v>660</v>
      </c>
      <c r="F329" s="39" t="s">
        <v>178</v>
      </c>
      <c r="L329">
        <v>28598231</v>
      </c>
      <c r="M329" t="s">
        <v>671</v>
      </c>
    </row>
    <row r="331" spans="1:13" x14ac:dyDescent="0.3">
      <c r="A331">
        <v>28596466</v>
      </c>
      <c r="B331" t="s">
        <v>483</v>
      </c>
      <c r="C331" t="s">
        <v>160</v>
      </c>
      <c r="E331" t="s">
        <v>662</v>
      </c>
      <c r="F331" s="39" t="s">
        <v>178</v>
      </c>
    </row>
    <row r="334" spans="1:13" x14ac:dyDescent="0.3">
      <c r="A334" s="57">
        <v>28593855</v>
      </c>
      <c r="B334" s="1" t="s">
        <v>558</v>
      </c>
      <c r="C334" s="1" t="s">
        <v>273</v>
      </c>
      <c r="D334" s="39" t="s">
        <v>483</v>
      </c>
      <c r="E334" t="s">
        <v>181</v>
      </c>
    </row>
    <row r="335" spans="1:13" x14ac:dyDescent="0.3">
      <c r="A335" s="57">
        <v>28594822</v>
      </c>
      <c r="B335" s="1" t="s">
        <v>484</v>
      </c>
      <c r="C335" s="1" t="s">
        <v>139</v>
      </c>
      <c r="D335" s="39" t="s">
        <v>483</v>
      </c>
      <c r="E335" s="39" t="s">
        <v>672</v>
      </c>
    </row>
    <row r="336" spans="1:13" x14ac:dyDescent="0.3">
      <c r="A336" s="58">
        <v>28597436</v>
      </c>
      <c r="B336" s="1" t="s">
        <v>484</v>
      </c>
      <c r="C336" s="1" t="s">
        <v>613</v>
      </c>
      <c r="D336" s="39" t="s">
        <v>483</v>
      </c>
      <c r="E336" t="s">
        <v>667</v>
      </c>
    </row>
    <row r="337" spans="1:14" x14ac:dyDescent="0.3">
      <c r="A337" s="57">
        <v>28598099</v>
      </c>
      <c r="B337" s="1" t="s">
        <v>558</v>
      </c>
      <c r="C337" s="1" t="s">
        <v>210</v>
      </c>
      <c r="D337" s="39" t="s">
        <v>483</v>
      </c>
      <c r="E337" s="39" t="s">
        <v>181</v>
      </c>
    </row>
    <row r="338" spans="1:14" x14ac:dyDescent="0.3">
      <c r="A338" s="57">
        <v>28592870</v>
      </c>
      <c r="B338" s="1" t="s">
        <v>484</v>
      </c>
      <c r="C338" s="1" t="s">
        <v>347</v>
      </c>
      <c r="D338" s="39" t="s">
        <v>409</v>
      </c>
      <c r="E338" t="s">
        <v>247</v>
      </c>
    </row>
    <row r="339" spans="1:14" x14ac:dyDescent="0.3">
      <c r="A339" s="57">
        <v>28597748</v>
      </c>
      <c r="B339" s="1" t="s">
        <v>558</v>
      </c>
      <c r="C339" s="1" t="s">
        <v>570</v>
      </c>
      <c r="D339" s="39" t="s">
        <v>409</v>
      </c>
      <c r="E339" s="39" t="s">
        <v>181</v>
      </c>
    </row>
    <row r="340" spans="1:14" x14ac:dyDescent="0.3">
      <c r="A340" s="58">
        <v>28597321</v>
      </c>
      <c r="B340" s="1" t="s">
        <v>484</v>
      </c>
      <c r="C340" s="1" t="s">
        <v>370</v>
      </c>
      <c r="D340" s="39" t="s">
        <v>419</v>
      </c>
      <c r="E340" t="s">
        <v>668</v>
      </c>
    </row>
    <row r="341" spans="1:14" x14ac:dyDescent="0.3">
      <c r="A341" s="58">
        <v>28598239</v>
      </c>
      <c r="B341" s="1" t="s">
        <v>484</v>
      </c>
      <c r="C341" s="1" t="s">
        <v>367</v>
      </c>
      <c r="D341" s="39" t="s">
        <v>419</v>
      </c>
      <c r="E341" t="s">
        <v>669</v>
      </c>
    </row>
    <row r="342" spans="1:14" x14ac:dyDescent="0.3">
      <c r="A342" s="58">
        <v>28598237</v>
      </c>
      <c r="B342" s="1" t="s">
        <v>484</v>
      </c>
      <c r="C342" s="1" t="s">
        <v>367</v>
      </c>
      <c r="D342" s="39" t="s">
        <v>419</v>
      </c>
      <c r="E342" t="s">
        <v>670</v>
      </c>
    </row>
    <row r="343" spans="1:14" x14ac:dyDescent="0.3">
      <c r="A343" s="58">
        <v>28598231</v>
      </c>
      <c r="B343" s="1" t="s">
        <v>484</v>
      </c>
      <c r="C343" s="1" t="s">
        <v>367</v>
      </c>
      <c r="D343" s="39" t="s">
        <v>419</v>
      </c>
      <c r="E343" t="s">
        <v>671</v>
      </c>
    </row>
    <row r="344" spans="1:14" x14ac:dyDescent="0.3">
      <c r="M344">
        <v>28593855</v>
      </c>
      <c r="N344" t="s">
        <v>635</v>
      </c>
    </row>
    <row r="345" spans="1:14" x14ac:dyDescent="0.3">
      <c r="A345" s="57">
        <v>28593855</v>
      </c>
      <c r="B345" s="1" t="s">
        <v>558</v>
      </c>
      <c r="C345" s="1" t="s">
        <v>273</v>
      </c>
      <c r="D345" s="39" t="s">
        <v>483</v>
      </c>
      <c r="E345" t="s">
        <v>181</v>
      </c>
      <c r="M345">
        <v>28598099</v>
      </c>
      <c r="N345" t="s">
        <v>635</v>
      </c>
    </row>
    <row r="346" spans="1:14" x14ac:dyDescent="0.3">
      <c r="A346" s="57">
        <v>28594822</v>
      </c>
      <c r="B346" s="1" t="s">
        <v>484</v>
      </c>
      <c r="C346" s="1" t="s">
        <v>139</v>
      </c>
      <c r="D346" s="39" t="s">
        <v>483</v>
      </c>
      <c r="E346" t="s">
        <v>557</v>
      </c>
      <c r="M346">
        <v>28599018</v>
      </c>
      <c r="N346" t="s">
        <v>681</v>
      </c>
    </row>
    <row r="347" spans="1:14" x14ac:dyDescent="0.3">
      <c r="A347" s="57">
        <v>28598099</v>
      </c>
      <c r="B347" s="1" t="s">
        <v>558</v>
      </c>
      <c r="C347" s="1" t="s">
        <v>210</v>
      </c>
      <c r="D347" s="39" t="s">
        <v>483</v>
      </c>
      <c r="E347" t="s">
        <v>181</v>
      </c>
      <c r="M347">
        <v>28599799</v>
      </c>
      <c r="N347" t="s">
        <v>682</v>
      </c>
    </row>
    <row r="348" spans="1:14" x14ac:dyDescent="0.3">
      <c r="A348" s="58">
        <v>28599018</v>
      </c>
      <c r="B348" s="1" t="s">
        <v>484</v>
      </c>
      <c r="C348" s="1" t="s">
        <v>366</v>
      </c>
      <c r="D348" s="39" t="s">
        <v>483</v>
      </c>
      <c r="E348" t="s">
        <v>681</v>
      </c>
      <c r="M348">
        <v>28599797</v>
      </c>
      <c r="N348" t="s">
        <v>683</v>
      </c>
    </row>
    <row r="349" spans="1:14" x14ac:dyDescent="0.3">
      <c r="A349" s="58">
        <v>28599799</v>
      </c>
      <c r="B349" s="1" t="s">
        <v>484</v>
      </c>
      <c r="C349" s="1" t="s">
        <v>210</v>
      </c>
      <c r="D349" s="39" t="s">
        <v>483</v>
      </c>
      <c r="E349" s="39" t="s">
        <v>682</v>
      </c>
      <c r="M349">
        <v>28597748</v>
      </c>
      <c r="N349" t="s">
        <v>635</v>
      </c>
    </row>
    <row r="350" spans="1:14" x14ac:dyDescent="0.3">
      <c r="A350" s="58">
        <v>28599797</v>
      </c>
      <c r="B350" s="1" t="s">
        <v>484</v>
      </c>
      <c r="C350" s="1" t="s">
        <v>210</v>
      </c>
      <c r="D350" s="39" t="s">
        <v>483</v>
      </c>
      <c r="E350" s="39" t="s">
        <v>683</v>
      </c>
      <c r="M350">
        <v>28600149</v>
      </c>
      <c r="N350" t="s">
        <v>687</v>
      </c>
    </row>
    <row r="351" spans="1:14" x14ac:dyDescent="0.3">
      <c r="A351" s="57">
        <v>28592870</v>
      </c>
      <c r="B351" s="1" t="s">
        <v>484</v>
      </c>
      <c r="C351" s="1" t="s">
        <v>347</v>
      </c>
      <c r="D351" s="39" t="s">
        <v>409</v>
      </c>
      <c r="E351" t="s">
        <v>253</v>
      </c>
      <c r="M351">
        <v>28598546</v>
      </c>
      <c r="N351" t="s">
        <v>635</v>
      </c>
    </row>
    <row r="352" spans="1:14" x14ac:dyDescent="0.3">
      <c r="A352" s="57">
        <v>28597748</v>
      </c>
      <c r="B352" s="1" t="s">
        <v>558</v>
      </c>
      <c r="C352" s="1" t="s">
        <v>570</v>
      </c>
      <c r="D352" s="39" t="s">
        <v>409</v>
      </c>
      <c r="E352" t="s">
        <v>181</v>
      </c>
      <c r="M352">
        <v>28598542</v>
      </c>
      <c r="N352" t="s">
        <v>684</v>
      </c>
    </row>
    <row r="353" spans="1:14" x14ac:dyDescent="0.3">
      <c r="A353" s="58">
        <v>28600149</v>
      </c>
      <c r="B353" s="1" t="s">
        <v>484</v>
      </c>
      <c r="C353" s="1" t="s">
        <v>515</v>
      </c>
      <c r="D353" s="39" t="s">
        <v>409</v>
      </c>
      <c r="E353" t="s">
        <v>687</v>
      </c>
      <c r="M353">
        <v>28598361</v>
      </c>
      <c r="N353" t="s">
        <v>685</v>
      </c>
    </row>
    <row r="354" spans="1:14" x14ac:dyDescent="0.3">
      <c r="A354" s="58">
        <v>28598546</v>
      </c>
      <c r="B354" s="1" t="s">
        <v>484</v>
      </c>
      <c r="C354" s="1" t="s">
        <v>438</v>
      </c>
      <c r="D354" s="39" t="s">
        <v>419</v>
      </c>
      <c r="E354" t="s">
        <v>557</v>
      </c>
      <c r="M354">
        <v>28598553</v>
      </c>
      <c r="N354" t="s">
        <v>686</v>
      </c>
    </row>
    <row r="355" spans="1:14" x14ac:dyDescent="0.3">
      <c r="A355" s="58">
        <v>28598542</v>
      </c>
      <c r="B355" s="1" t="s">
        <v>484</v>
      </c>
      <c r="C355" s="1" t="s">
        <v>673</v>
      </c>
      <c r="D355" s="39" t="s">
        <v>419</v>
      </c>
      <c r="E355" t="s">
        <v>684</v>
      </c>
      <c r="M355">
        <v>28598987</v>
      </c>
      <c r="N355" t="s">
        <v>635</v>
      </c>
    </row>
    <row r="356" spans="1:14" x14ac:dyDescent="0.3">
      <c r="A356" s="58">
        <v>28598361</v>
      </c>
      <c r="B356" s="1" t="s">
        <v>484</v>
      </c>
      <c r="C356" s="1" t="s">
        <v>367</v>
      </c>
      <c r="D356" s="39" t="s">
        <v>419</v>
      </c>
      <c r="E356" t="s">
        <v>685</v>
      </c>
    </row>
    <row r="357" spans="1:14" x14ac:dyDescent="0.3">
      <c r="A357" s="58">
        <v>28598553</v>
      </c>
      <c r="B357" s="1" t="s">
        <v>484</v>
      </c>
      <c r="C357" s="1" t="s">
        <v>674</v>
      </c>
      <c r="D357" s="39" t="s">
        <v>419</v>
      </c>
      <c r="E357" t="s">
        <v>686</v>
      </c>
    </row>
    <row r="358" spans="1:14" x14ac:dyDescent="0.3">
      <c r="A358" s="57">
        <v>28598987</v>
      </c>
      <c r="B358" s="1" t="s">
        <v>558</v>
      </c>
      <c r="C358" s="1" t="s">
        <v>375</v>
      </c>
      <c r="D358" s="39" t="s">
        <v>419</v>
      </c>
      <c r="E358" t="s">
        <v>181</v>
      </c>
    </row>
    <row r="360" spans="1:14" x14ac:dyDescent="0.3">
      <c r="A360">
        <v>28600767</v>
      </c>
      <c r="B360" t="s">
        <v>483</v>
      </c>
      <c r="C360" t="s">
        <v>158</v>
      </c>
      <c r="D360" t="s">
        <v>703</v>
      </c>
      <c r="E360" t="s">
        <v>214</v>
      </c>
    </row>
    <row r="361" spans="1:14" x14ac:dyDescent="0.3">
      <c r="A361">
        <v>28600952</v>
      </c>
      <c r="B361" t="s">
        <v>483</v>
      </c>
      <c r="C361" t="s">
        <v>210</v>
      </c>
      <c r="D361" t="s">
        <v>704</v>
      </c>
      <c r="E361" s="39" t="s">
        <v>214</v>
      </c>
    </row>
    <row r="362" spans="1:14" x14ac:dyDescent="0.3">
      <c r="A362">
        <v>28600808</v>
      </c>
      <c r="B362" t="s">
        <v>483</v>
      </c>
      <c r="C362" t="s">
        <v>273</v>
      </c>
      <c r="D362" t="s">
        <v>705</v>
      </c>
      <c r="E362" s="39" t="s">
        <v>214</v>
      </c>
    </row>
    <row r="363" spans="1:14" x14ac:dyDescent="0.3">
      <c r="A363">
        <v>28601484</v>
      </c>
      <c r="B363" t="s">
        <v>483</v>
      </c>
      <c r="C363" t="s">
        <v>215</v>
      </c>
      <c r="D363" t="s">
        <v>706</v>
      </c>
      <c r="E363" s="39" t="s">
        <v>214</v>
      </c>
    </row>
    <row r="364" spans="1:14" x14ac:dyDescent="0.3">
      <c r="A364">
        <v>28601521</v>
      </c>
      <c r="B364" t="s">
        <v>483</v>
      </c>
      <c r="C364" t="s">
        <v>286</v>
      </c>
      <c r="D364" t="s">
        <v>707</v>
      </c>
      <c r="E364" s="39" t="s">
        <v>214</v>
      </c>
    </row>
    <row r="365" spans="1:14" x14ac:dyDescent="0.3">
      <c r="A365">
        <v>28602271</v>
      </c>
      <c r="B365" t="s">
        <v>483</v>
      </c>
      <c r="C365" t="s">
        <v>286</v>
      </c>
      <c r="D365" t="s">
        <v>708</v>
      </c>
      <c r="E365" s="39" t="s">
        <v>214</v>
      </c>
    </row>
    <row r="366" spans="1:14" x14ac:dyDescent="0.3">
      <c r="A366">
        <v>28602236</v>
      </c>
      <c r="B366" t="s">
        <v>409</v>
      </c>
      <c r="C366" t="s">
        <v>570</v>
      </c>
      <c r="D366" t="s">
        <v>709</v>
      </c>
      <c r="E366" s="39" t="s">
        <v>214</v>
      </c>
    </row>
    <row r="367" spans="1:14" x14ac:dyDescent="0.3">
      <c r="A367">
        <v>28598546</v>
      </c>
      <c r="B367" t="s">
        <v>419</v>
      </c>
      <c r="C367" t="s">
        <v>438</v>
      </c>
      <c r="D367" t="s">
        <v>635</v>
      </c>
      <c r="E367" s="39" t="s">
        <v>557</v>
      </c>
    </row>
    <row r="368" spans="1:14" x14ac:dyDescent="0.3">
      <c r="A368">
        <v>28602187</v>
      </c>
      <c r="B368" t="s">
        <v>419</v>
      </c>
      <c r="C368" t="s">
        <v>372</v>
      </c>
      <c r="D368" t="s">
        <v>710</v>
      </c>
      <c r="E368" s="39" t="s">
        <v>214</v>
      </c>
    </row>
    <row r="369" spans="1:5" x14ac:dyDescent="0.3">
      <c r="A369">
        <v>28602234</v>
      </c>
      <c r="B369" t="s">
        <v>419</v>
      </c>
      <c r="C369" t="s">
        <v>420</v>
      </c>
      <c r="D369" t="s">
        <v>711</v>
      </c>
      <c r="E369" s="39" t="s">
        <v>214</v>
      </c>
    </row>
    <row r="371" spans="1:5" x14ac:dyDescent="0.3">
      <c r="A371">
        <v>28602885</v>
      </c>
      <c r="B371" t="s">
        <v>483</v>
      </c>
      <c r="C371" t="s">
        <v>248</v>
      </c>
      <c r="D371" t="s">
        <v>720</v>
      </c>
      <c r="E371" s="39" t="s">
        <v>214</v>
      </c>
    </row>
    <row r="372" spans="1:5" x14ac:dyDescent="0.3">
      <c r="A372">
        <v>28603189</v>
      </c>
      <c r="B372" t="s">
        <v>483</v>
      </c>
      <c r="C372" t="s">
        <v>248</v>
      </c>
      <c r="D372" t="s">
        <v>721</v>
      </c>
      <c r="E372" s="39" t="s">
        <v>214</v>
      </c>
    </row>
    <row r="373" spans="1:5" x14ac:dyDescent="0.3">
      <c r="A373">
        <v>28603931</v>
      </c>
      <c r="B373" t="s">
        <v>419</v>
      </c>
      <c r="C373" t="s">
        <v>713</v>
      </c>
      <c r="D373" t="s">
        <v>722</v>
      </c>
      <c r="E373" s="39" t="s">
        <v>214</v>
      </c>
    </row>
    <row r="374" spans="1:5" x14ac:dyDescent="0.3">
      <c r="A374">
        <v>28603140</v>
      </c>
      <c r="B374" t="s">
        <v>483</v>
      </c>
      <c r="C374" t="s">
        <v>210</v>
      </c>
      <c r="D374" t="s">
        <v>723</v>
      </c>
      <c r="E374" s="39" t="s">
        <v>214</v>
      </c>
    </row>
    <row r="376" spans="1:5" x14ac:dyDescent="0.3">
      <c r="A376">
        <v>28602921</v>
      </c>
      <c r="B376" t="s">
        <v>483</v>
      </c>
      <c r="C376" t="s">
        <v>140</v>
      </c>
      <c r="D376" t="s">
        <v>730</v>
      </c>
      <c r="E376" s="39" t="s">
        <v>214</v>
      </c>
    </row>
    <row r="377" spans="1:5" x14ac:dyDescent="0.3">
      <c r="A377">
        <v>28604528</v>
      </c>
      <c r="B377" t="s">
        <v>483</v>
      </c>
      <c r="C377" t="s">
        <v>248</v>
      </c>
      <c r="D377" t="s">
        <v>731</v>
      </c>
      <c r="E377" s="39" t="s">
        <v>214</v>
      </c>
    </row>
    <row r="378" spans="1:5" x14ac:dyDescent="0.3">
      <c r="A378">
        <v>28604556</v>
      </c>
      <c r="B378" t="s">
        <v>483</v>
      </c>
      <c r="C378" t="s">
        <v>272</v>
      </c>
      <c r="D378" t="s">
        <v>732</v>
      </c>
      <c r="E378" s="39" t="s">
        <v>214</v>
      </c>
    </row>
    <row r="379" spans="1:5" x14ac:dyDescent="0.3">
      <c r="A379">
        <v>28604554</v>
      </c>
      <c r="B379" t="s">
        <v>483</v>
      </c>
      <c r="C379" t="s">
        <v>286</v>
      </c>
      <c r="D379" t="s">
        <v>733</v>
      </c>
      <c r="E379" s="39" t="s">
        <v>214</v>
      </c>
    </row>
    <row r="380" spans="1:5" x14ac:dyDescent="0.3">
      <c r="A380">
        <v>28604786</v>
      </c>
      <c r="B380" t="s">
        <v>483</v>
      </c>
      <c r="C380" t="s">
        <v>158</v>
      </c>
      <c r="D380" t="s">
        <v>734</v>
      </c>
      <c r="E380" s="39" t="s">
        <v>214</v>
      </c>
    </row>
    <row r="381" spans="1:5" x14ac:dyDescent="0.3">
      <c r="A381">
        <v>28604561</v>
      </c>
      <c r="B381" t="s">
        <v>409</v>
      </c>
      <c r="C381" t="s">
        <v>436</v>
      </c>
      <c r="D381" t="s">
        <v>735</v>
      </c>
      <c r="E381" s="39" t="s">
        <v>214</v>
      </c>
    </row>
    <row r="382" spans="1:5" x14ac:dyDescent="0.3">
      <c r="A382">
        <v>28604784</v>
      </c>
      <c r="B382" t="s">
        <v>409</v>
      </c>
      <c r="C382" t="s">
        <v>349</v>
      </c>
      <c r="D382" t="s">
        <v>736</v>
      </c>
      <c r="E382" s="39" t="s">
        <v>214</v>
      </c>
    </row>
    <row r="383" spans="1:5" x14ac:dyDescent="0.3">
      <c r="A383">
        <v>28604864</v>
      </c>
      <c r="B383" t="s">
        <v>409</v>
      </c>
      <c r="C383" t="s">
        <v>347</v>
      </c>
      <c r="D383" t="s">
        <v>737</v>
      </c>
      <c r="E383" s="39" t="s">
        <v>214</v>
      </c>
    </row>
    <row r="384" spans="1:5" x14ac:dyDescent="0.3">
      <c r="A384">
        <v>28604840</v>
      </c>
      <c r="B384" t="s">
        <v>409</v>
      </c>
      <c r="C384" t="s">
        <v>410</v>
      </c>
      <c r="D384" t="s">
        <v>738</v>
      </c>
      <c r="E384" s="39" t="s">
        <v>214</v>
      </c>
    </row>
    <row r="385" spans="1:5" x14ac:dyDescent="0.3">
      <c r="A385">
        <v>28605104</v>
      </c>
      <c r="B385" t="s">
        <v>409</v>
      </c>
      <c r="C385" t="s">
        <v>347</v>
      </c>
      <c r="D385" t="s">
        <v>739</v>
      </c>
      <c r="E385" s="39" t="s">
        <v>214</v>
      </c>
    </row>
    <row r="386" spans="1:5" x14ac:dyDescent="0.3">
      <c r="A386">
        <v>28604905</v>
      </c>
      <c r="B386" t="s">
        <v>409</v>
      </c>
      <c r="C386" t="s">
        <v>348</v>
      </c>
      <c r="D386" t="s">
        <v>635</v>
      </c>
      <c r="E386" t="s">
        <v>181</v>
      </c>
    </row>
    <row r="387" spans="1:5" x14ac:dyDescent="0.3">
      <c r="A387">
        <v>28605069</v>
      </c>
      <c r="B387" t="s">
        <v>409</v>
      </c>
      <c r="C387" t="s">
        <v>436</v>
      </c>
      <c r="D387" t="s">
        <v>635</v>
      </c>
      <c r="E387" t="s">
        <v>748</v>
      </c>
    </row>
    <row r="388" spans="1:5" x14ac:dyDescent="0.3">
      <c r="A388">
        <v>28598546</v>
      </c>
      <c r="B388" t="s">
        <v>419</v>
      </c>
      <c r="C388" t="s">
        <v>438</v>
      </c>
      <c r="D388" t="s">
        <v>635</v>
      </c>
      <c r="E388" s="39" t="s">
        <v>748</v>
      </c>
    </row>
    <row r="389" spans="1:5" x14ac:dyDescent="0.3">
      <c r="A389">
        <v>28603486</v>
      </c>
      <c r="B389" t="s">
        <v>419</v>
      </c>
      <c r="C389" t="s">
        <v>712</v>
      </c>
      <c r="D389" t="s">
        <v>635</v>
      </c>
      <c r="E389" s="39" t="s">
        <v>181</v>
      </c>
    </row>
    <row r="390" spans="1:5" x14ac:dyDescent="0.3">
      <c r="A390">
        <v>28604135</v>
      </c>
      <c r="B390" t="s">
        <v>419</v>
      </c>
      <c r="C390" t="s">
        <v>371</v>
      </c>
      <c r="D390" t="s">
        <v>740</v>
      </c>
      <c r="E390" s="39" t="s">
        <v>214</v>
      </c>
    </row>
    <row r="391" spans="1:5" x14ac:dyDescent="0.3">
      <c r="A391">
        <v>28604505</v>
      </c>
      <c r="B391" t="s">
        <v>419</v>
      </c>
      <c r="C391" t="s">
        <v>713</v>
      </c>
      <c r="D391" t="s">
        <v>741</v>
      </c>
      <c r="E391" s="39" t="s">
        <v>214</v>
      </c>
    </row>
    <row r="392" spans="1:5" x14ac:dyDescent="0.3">
      <c r="A392">
        <v>28604442</v>
      </c>
      <c r="B392" t="s">
        <v>419</v>
      </c>
      <c r="C392" t="s">
        <v>713</v>
      </c>
      <c r="D392" t="s">
        <v>742</v>
      </c>
      <c r="E392" s="39" t="s">
        <v>214</v>
      </c>
    </row>
    <row r="393" spans="1:5" x14ac:dyDescent="0.3">
      <c r="A393">
        <v>28604547</v>
      </c>
      <c r="B393" t="s">
        <v>419</v>
      </c>
      <c r="C393" t="s">
        <v>724</v>
      </c>
      <c r="D393" t="s">
        <v>743</v>
      </c>
      <c r="E393" s="39" t="s">
        <v>214</v>
      </c>
    </row>
    <row r="394" spans="1:5" x14ac:dyDescent="0.3">
      <c r="A394">
        <v>28604529</v>
      </c>
      <c r="B394" t="s">
        <v>419</v>
      </c>
      <c r="C394" t="s">
        <v>370</v>
      </c>
      <c r="D394" t="s">
        <v>744</v>
      </c>
      <c r="E394" s="39" t="s">
        <v>214</v>
      </c>
    </row>
    <row r="395" spans="1:5" x14ac:dyDescent="0.3">
      <c r="A395">
        <v>28604614</v>
      </c>
      <c r="B395" t="s">
        <v>419</v>
      </c>
      <c r="C395" t="s">
        <v>713</v>
      </c>
      <c r="D395" t="s">
        <v>745</v>
      </c>
      <c r="E395" s="39" t="s">
        <v>214</v>
      </c>
    </row>
    <row r="396" spans="1:5" x14ac:dyDescent="0.3">
      <c r="A396">
        <v>28604601</v>
      </c>
      <c r="B396" t="s">
        <v>419</v>
      </c>
      <c r="C396" t="s">
        <v>713</v>
      </c>
      <c r="D396" t="s">
        <v>746</v>
      </c>
      <c r="E396" s="39" t="s">
        <v>214</v>
      </c>
    </row>
    <row r="397" spans="1:5" x14ac:dyDescent="0.3">
      <c r="A397">
        <v>28604841</v>
      </c>
      <c r="B397" t="s">
        <v>419</v>
      </c>
      <c r="C397" t="s">
        <v>725</v>
      </c>
      <c r="D397" t="s">
        <v>747</v>
      </c>
      <c r="E397" s="39" t="s">
        <v>214</v>
      </c>
    </row>
    <row r="398" spans="1:5" x14ac:dyDescent="0.3">
      <c r="A398">
        <v>28605419</v>
      </c>
      <c r="B398" t="s">
        <v>419</v>
      </c>
      <c r="C398" t="s">
        <v>713</v>
      </c>
      <c r="E398" s="39" t="s">
        <v>214</v>
      </c>
    </row>
    <row r="400" spans="1:5" x14ac:dyDescent="0.3">
      <c r="A400">
        <v>28602921</v>
      </c>
      <c r="B400" t="s">
        <v>483</v>
      </c>
      <c r="C400" t="s">
        <v>140</v>
      </c>
      <c r="D400" s="39" t="s">
        <v>181</v>
      </c>
    </row>
    <row r="401" spans="1:5" x14ac:dyDescent="0.3">
      <c r="A401">
        <v>28605683</v>
      </c>
      <c r="B401" t="s">
        <v>483</v>
      </c>
      <c r="C401" t="s">
        <v>140</v>
      </c>
      <c r="D401" s="39" t="s">
        <v>765</v>
      </c>
    </row>
    <row r="402" spans="1:5" x14ac:dyDescent="0.3">
      <c r="A402">
        <v>28605818</v>
      </c>
      <c r="B402" t="s">
        <v>483</v>
      </c>
      <c r="C402" t="s">
        <v>138</v>
      </c>
      <c r="D402" s="39" t="s">
        <v>766</v>
      </c>
    </row>
    <row r="403" spans="1:5" x14ac:dyDescent="0.3">
      <c r="A403">
        <v>28605879</v>
      </c>
      <c r="B403" t="s">
        <v>483</v>
      </c>
      <c r="C403" t="s">
        <v>210</v>
      </c>
      <c r="D403" s="39" t="s">
        <v>181</v>
      </c>
    </row>
    <row r="404" spans="1:5" x14ac:dyDescent="0.3">
      <c r="A404">
        <v>28605069</v>
      </c>
      <c r="B404" t="s">
        <v>409</v>
      </c>
      <c r="C404" t="s">
        <v>754</v>
      </c>
      <c r="D404" s="39" t="s">
        <v>181</v>
      </c>
      <c r="E404" s="39"/>
    </row>
    <row r="405" spans="1:5" x14ac:dyDescent="0.3">
      <c r="A405">
        <v>28605721</v>
      </c>
      <c r="B405" t="s">
        <v>409</v>
      </c>
      <c r="C405" t="s">
        <v>410</v>
      </c>
      <c r="D405" s="39" t="s">
        <v>181</v>
      </c>
      <c r="E405" s="39"/>
    </row>
    <row r="406" spans="1:5" x14ac:dyDescent="0.3">
      <c r="A406">
        <v>28605774</v>
      </c>
      <c r="B406" t="s">
        <v>409</v>
      </c>
      <c r="C406" t="s">
        <v>468</v>
      </c>
      <c r="D406" s="39" t="s">
        <v>767</v>
      </c>
    </row>
    <row r="407" spans="1:5" x14ac:dyDescent="0.3">
      <c r="A407">
        <v>28598546</v>
      </c>
      <c r="B407" t="s">
        <v>419</v>
      </c>
      <c r="C407" t="s">
        <v>438</v>
      </c>
      <c r="D407" s="39" t="s">
        <v>768</v>
      </c>
    </row>
    <row r="408" spans="1:5" x14ac:dyDescent="0.3">
      <c r="A408">
        <v>28604135</v>
      </c>
      <c r="B408" t="s">
        <v>419</v>
      </c>
      <c r="C408" t="s">
        <v>371</v>
      </c>
      <c r="D408" s="39" t="s">
        <v>181</v>
      </c>
      <c r="E408" s="39"/>
    </row>
    <row r="409" spans="1:5" x14ac:dyDescent="0.3">
      <c r="A409">
        <v>28605748</v>
      </c>
      <c r="B409" t="s">
        <v>419</v>
      </c>
      <c r="C409" t="s">
        <v>749</v>
      </c>
      <c r="D409" s="39" t="s">
        <v>769</v>
      </c>
    </row>
    <row r="410" spans="1:5" x14ac:dyDescent="0.3">
      <c r="A410">
        <v>28605745</v>
      </c>
      <c r="B410" t="s">
        <v>419</v>
      </c>
      <c r="C410" t="s">
        <v>750</v>
      </c>
      <c r="D410" s="39" t="s">
        <v>557</v>
      </c>
    </row>
    <row r="411" spans="1:5" x14ac:dyDescent="0.3">
      <c r="A411">
        <v>28605770</v>
      </c>
      <c r="B411" t="s">
        <v>419</v>
      </c>
      <c r="C411" t="s">
        <v>751</v>
      </c>
      <c r="D411" s="39" t="s">
        <v>770</v>
      </c>
    </row>
    <row r="412" spans="1:5" x14ac:dyDescent="0.3">
      <c r="A412">
        <v>28605771</v>
      </c>
      <c r="B412" t="s">
        <v>419</v>
      </c>
      <c r="C412" t="s">
        <v>752</v>
      </c>
      <c r="D412" s="39" t="s">
        <v>557</v>
      </c>
      <c r="E412" s="39"/>
    </row>
    <row r="413" spans="1:5" x14ac:dyDescent="0.3">
      <c r="A413">
        <v>28605761</v>
      </c>
      <c r="B413" t="s">
        <v>419</v>
      </c>
      <c r="C413" t="s">
        <v>377</v>
      </c>
      <c r="D413" s="39" t="s">
        <v>771</v>
      </c>
    </row>
    <row r="414" spans="1:5" x14ac:dyDescent="0.3">
      <c r="A414">
        <v>28605815</v>
      </c>
      <c r="B414" t="s">
        <v>419</v>
      </c>
      <c r="C414" t="s">
        <v>753</v>
      </c>
      <c r="D414" s="39" t="s">
        <v>181</v>
      </c>
    </row>
    <row r="416" spans="1:5" x14ac:dyDescent="0.3">
      <c r="A416">
        <v>28605683</v>
      </c>
      <c r="B416" t="s">
        <v>483</v>
      </c>
      <c r="C416" t="s">
        <v>140</v>
      </c>
      <c r="D416" t="s">
        <v>810</v>
      </c>
      <c r="E416" t="s">
        <v>178</v>
      </c>
    </row>
    <row r="417" spans="1:5" x14ac:dyDescent="0.3">
      <c r="A417">
        <v>28605818</v>
      </c>
      <c r="B417" t="s">
        <v>483</v>
      </c>
      <c r="C417" t="s">
        <v>138</v>
      </c>
      <c r="D417" t="s">
        <v>812</v>
      </c>
      <c r="E417" s="39" t="s">
        <v>178</v>
      </c>
    </row>
    <row r="418" spans="1:5" x14ac:dyDescent="0.3">
      <c r="A418">
        <v>28606258</v>
      </c>
      <c r="B418" t="s">
        <v>483</v>
      </c>
      <c r="C418" t="s">
        <v>158</v>
      </c>
      <c r="D418" t="s">
        <v>813</v>
      </c>
      <c r="E418" s="39" t="s">
        <v>178</v>
      </c>
    </row>
    <row r="419" spans="1:5" x14ac:dyDescent="0.3">
      <c r="A419">
        <v>28606156</v>
      </c>
      <c r="B419" t="s">
        <v>483</v>
      </c>
      <c r="C419" t="s">
        <v>159</v>
      </c>
      <c r="D419" t="s">
        <v>814</v>
      </c>
      <c r="E419" s="39" t="s">
        <v>178</v>
      </c>
    </row>
    <row r="420" spans="1:5" x14ac:dyDescent="0.3">
      <c r="A420">
        <v>28606259</v>
      </c>
      <c r="B420" t="s">
        <v>483</v>
      </c>
      <c r="C420" t="s">
        <v>140</v>
      </c>
      <c r="D420" t="s">
        <v>815</v>
      </c>
      <c r="E420" s="39" t="s">
        <v>178</v>
      </c>
    </row>
    <row r="421" spans="1:5" x14ac:dyDescent="0.3">
      <c r="A421">
        <v>28606532</v>
      </c>
      <c r="B421" t="s">
        <v>483</v>
      </c>
      <c r="C421" t="s">
        <v>248</v>
      </c>
      <c r="D421" t="s">
        <v>816</v>
      </c>
      <c r="E421" s="39" t="s">
        <v>178</v>
      </c>
    </row>
    <row r="422" spans="1:5" x14ac:dyDescent="0.3">
      <c r="A422">
        <v>28606618</v>
      </c>
      <c r="B422" t="s">
        <v>483</v>
      </c>
      <c r="C422" t="s">
        <v>772</v>
      </c>
      <c r="D422" t="s">
        <v>817</v>
      </c>
      <c r="E422" s="39" t="s">
        <v>178</v>
      </c>
    </row>
    <row r="423" spans="1:5" x14ac:dyDescent="0.3">
      <c r="A423">
        <v>28606654</v>
      </c>
      <c r="B423" t="s">
        <v>483</v>
      </c>
      <c r="C423" t="s">
        <v>138</v>
      </c>
      <c r="D423" t="s">
        <v>818</v>
      </c>
      <c r="E423" s="39" t="s">
        <v>178</v>
      </c>
    </row>
    <row r="424" spans="1:5" x14ac:dyDescent="0.3">
      <c r="A424">
        <v>28607205</v>
      </c>
      <c r="B424" t="s">
        <v>483</v>
      </c>
      <c r="C424" t="s">
        <v>203</v>
      </c>
      <c r="D424" t="s">
        <v>819</v>
      </c>
      <c r="E424" s="39" t="s">
        <v>178</v>
      </c>
    </row>
    <row r="425" spans="1:5" x14ac:dyDescent="0.3">
      <c r="A425">
        <v>28607192</v>
      </c>
      <c r="B425" t="s">
        <v>483</v>
      </c>
      <c r="C425" t="s">
        <v>461</v>
      </c>
      <c r="D425" t="s">
        <v>820</v>
      </c>
      <c r="E425" s="39" t="s">
        <v>178</v>
      </c>
    </row>
    <row r="426" spans="1:5" x14ac:dyDescent="0.3">
      <c r="A426">
        <v>28608085</v>
      </c>
      <c r="B426" t="s">
        <v>483</v>
      </c>
      <c r="C426" t="s">
        <v>210</v>
      </c>
      <c r="D426" t="s">
        <v>821</v>
      </c>
      <c r="E426" s="39" t="s">
        <v>178</v>
      </c>
    </row>
    <row r="427" spans="1:5" x14ac:dyDescent="0.3">
      <c r="A427">
        <v>28608435</v>
      </c>
      <c r="B427" t="s">
        <v>483</v>
      </c>
      <c r="C427" t="s">
        <v>210</v>
      </c>
      <c r="D427" t="s">
        <v>822</v>
      </c>
      <c r="E427" s="39" t="s">
        <v>178</v>
      </c>
    </row>
    <row r="428" spans="1:5" x14ac:dyDescent="0.3">
      <c r="A428">
        <v>28605774</v>
      </c>
      <c r="B428" t="s">
        <v>409</v>
      </c>
      <c r="C428" t="s">
        <v>468</v>
      </c>
      <c r="D428" t="s">
        <v>823</v>
      </c>
      <c r="E428" s="39" t="s">
        <v>178</v>
      </c>
    </row>
    <row r="429" spans="1:5" x14ac:dyDescent="0.3">
      <c r="A429">
        <v>28606253</v>
      </c>
      <c r="B429" t="s">
        <v>409</v>
      </c>
      <c r="C429" t="s">
        <v>347</v>
      </c>
      <c r="D429" t="s">
        <v>824</v>
      </c>
      <c r="E429" s="39" t="s">
        <v>178</v>
      </c>
    </row>
    <row r="430" spans="1:5" x14ac:dyDescent="0.3">
      <c r="A430">
        <v>28606648</v>
      </c>
      <c r="B430" t="s">
        <v>409</v>
      </c>
      <c r="C430" t="s">
        <v>351</v>
      </c>
      <c r="D430" t="s">
        <v>825</v>
      </c>
      <c r="E430" s="39" t="s">
        <v>178</v>
      </c>
    </row>
    <row r="431" spans="1:5" x14ac:dyDescent="0.3">
      <c r="A431">
        <v>28607208</v>
      </c>
      <c r="B431" t="s">
        <v>409</v>
      </c>
      <c r="C431" t="s">
        <v>468</v>
      </c>
      <c r="D431" t="s">
        <v>826</v>
      </c>
      <c r="E431" s="39" t="s">
        <v>178</v>
      </c>
    </row>
    <row r="432" spans="1:5" x14ac:dyDescent="0.3">
      <c r="A432">
        <v>28607211</v>
      </c>
      <c r="B432" t="s">
        <v>409</v>
      </c>
      <c r="C432" t="s">
        <v>347</v>
      </c>
      <c r="D432" t="s">
        <v>827</v>
      </c>
      <c r="E432" s="39" t="s">
        <v>178</v>
      </c>
    </row>
    <row r="433" spans="1:5" x14ac:dyDescent="0.3">
      <c r="A433">
        <v>28607771</v>
      </c>
      <c r="B433" t="s">
        <v>409</v>
      </c>
      <c r="C433" t="s">
        <v>351</v>
      </c>
      <c r="D433" t="s">
        <v>828</v>
      </c>
      <c r="E433" s="39" t="s">
        <v>178</v>
      </c>
    </row>
    <row r="434" spans="1:5" x14ac:dyDescent="0.3">
      <c r="A434">
        <v>28609037</v>
      </c>
      <c r="B434" t="s">
        <v>409</v>
      </c>
      <c r="C434" t="s">
        <v>773</v>
      </c>
      <c r="D434" t="s">
        <v>829</v>
      </c>
      <c r="E434" s="39" t="s">
        <v>178</v>
      </c>
    </row>
    <row r="435" spans="1:5" x14ac:dyDescent="0.3">
      <c r="A435">
        <v>28603486</v>
      </c>
      <c r="B435" t="s">
        <v>419</v>
      </c>
      <c r="C435" t="s">
        <v>712</v>
      </c>
      <c r="D435" t="s">
        <v>830</v>
      </c>
      <c r="E435" s="39" t="s">
        <v>178</v>
      </c>
    </row>
    <row r="436" spans="1:5" x14ac:dyDescent="0.3">
      <c r="A436">
        <v>28604135</v>
      </c>
      <c r="B436" t="s">
        <v>419</v>
      </c>
      <c r="C436" t="s">
        <v>371</v>
      </c>
      <c r="D436" t="s">
        <v>831</v>
      </c>
      <c r="E436" s="39" t="s">
        <v>178</v>
      </c>
    </row>
    <row r="437" spans="1:5" x14ac:dyDescent="0.3">
      <c r="A437">
        <v>28605761</v>
      </c>
      <c r="B437" t="s">
        <v>419</v>
      </c>
      <c r="C437" t="s">
        <v>377</v>
      </c>
      <c r="D437" t="s">
        <v>832</v>
      </c>
      <c r="E437" s="39" t="s">
        <v>178</v>
      </c>
    </row>
    <row r="438" spans="1:5" x14ac:dyDescent="0.3">
      <c r="A438">
        <v>28606183</v>
      </c>
      <c r="B438" t="s">
        <v>419</v>
      </c>
      <c r="C438" t="s">
        <v>371</v>
      </c>
      <c r="D438" t="s">
        <v>833</v>
      </c>
      <c r="E438" s="39" t="s">
        <v>178</v>
      </c>
    </row>
    <row r="439" spans="1:5" x14ac:dyDescent="0.3">
      <c r="A439">
        <v>28606638</v>
      </c>
      <c r="B439" t="s">
        <v>419</v>
      </c>
      <c r="C439" t="s">
        <v>373</v>
      </c>
      <c r="D439" t="s">
        <v>834</v>
      </c>
      <c r="E439" s="39" t="s">
        <v>178</v>
      </c>
    </row>
    <row r="440" spans="1:5" x14ac:dyDescent="0.3">
      <c r="A440">
        <v>28606643</v>
      </c>
      <c r="B440" t="s">
        <v>419</v>
      </c>
      <c r="C440" t="s">
        <v>371</v>
      </c>
      <c r="D440" t="s">
        <v>835</v>
      </c>
      <c r="E440" s="39" t="s">
        <v>178</v>
      </c>
    </row>
    <row r="441" spans="1:5" x14ac:dyDescent="0.3">
      <c r="A441">
        <v>28607252</v>
      </c>
      <c r="B441" t="s">
        <v>419</v>
      </c>
      <c r="C441" t="s">
        <v>370</v>
      </c>
      <c r="D441" t="s">
        <v>836</v>
      </c>
      <c r="E441" s="39" t="s">
        <v>178</v>
      </c>
    </row>
    <row r="442" spans="1:5" x14ac:dyDescent="0.3">
      <c r="A442">
        <v>28607212</v>
      </c>
      <c r="B442" t="s">
        <v>419</v>
      </c>
      <c r="C442" t="s">
        <v>470</v>
      </c>
      <c r="D442" t="s">
        <v>837</v>
      </c>
      <c r="E442" s="39" t="s">
        <v>178</v>
      </c>
    </row>
    <row r="443" spans="1:5" x14ac:dyDescent="0.3">
      <c r="A443">
        <v>28607217</v>
      </c>
      <c r="B443" t="s">
        <v>419</v>
      </c>
      <c r="C443" t="s">
        <v>420</v>
      </c>
      <c r="D443" t="s">
        <v>838</v>
      </c>
      <c r="E443" s="39" t="s">
        <v>178</v>
      </c>
    </row>
    <row r="444" spans="1:5" x14ac:dyDescent="0.3">
      <c r="A444">
        <v>28607635</v>
      </c>
      <c r="B444" t="s">
        <v>419</v>
      </c>
      <c r="C444" t="s">
        <v>370</v>
      </c>
      <c r="D444" t="s">
        <v>839</v>
      </c>
      <c r="E444" s="39" t="s">
        <v>178</v>
      </c>
    </row>
    <row r="445" spans="1:5" x14ac:dyDescent="0.3">
      <c r="A445">
        <v>28609007</v>
      </c>
      <c r="B445" t="s">
        <v>419</v>
      </c>
      <c r="C445" t="s">
        <v>640</v>
      </c>
      <c r="D445" t="s">
        <v>840</v>
      </c>
      <c r="E445" s="39" t="s">
        <v>178</v>
      </c>
    </row>
    <row r="446" spans="1:5" x14ac:dyDescent="0.3">
      <c r="A446">
        <v>28605748</v>
      </c>
      <c r="B446" t="s">
        <v>419</v>
      </c>
      <c r="C446" t="s">
        <v>749</v>
      </c>
      <c r="E446" t="s">
        <v>557</v>
      </c>
    </row>
    <row r="447" spans="1:5" x14ac:dyDescent="0.3">
      <c r="A447">
        <v>28605745</v>
      </c>
      <c r="B447" t="s">
        <v>419</v>
      </c>
      <c r="C447" t="s">
        <v>750</v>
      </c>
      <c r="E447" s="39" t="s">
        <v>557</v>
      </c>
    </row>
    <row r="448" spans="1:5" x14ac:dyDescent="0.3">
      <c r="A448">
        <v>28605770</v>
      </c>
      <c r="B448" t="s">
        <v>419</v>
      </c>
      <c r="C448" t="s">
        <v>751</v>
      </c>
      <c r="E448" s="39" t="s">
        <v>557</v>
      </c>
    </row>
    <row r="449" spans="1:5" x14ac:dyDescent="0.3">
      <c r="A449">
        <v>28605771</v>
      </c>
      <c r="B449" t="s">
        <v>419</v>
      </c>
      <c r="C449" t="s">
        <v>752</v>
      </c>
      <c r="E449" s="39" t="s">
        <v>557</v>
      </c>
    </row>
    <row r="450" spans="1:5" x14ac:dyDescent="0.3">
      <c r="A450">
        <v>28606462</v>
      </c>
      <c r="B450" t="s">
        <v>419</v>
      </c>
      <c r="C450" t="s">
        <v>750</v>
      </c>
      <c r="E450" s="39" t="s">
        <v>557</v>
      </c>
    </row>
    <row r="451" spans="1:5" x14ac:dyDescent="0.3">
      <c r="A451">
        <v>28606636</v>
      </c>
      <c r="B451" t="s">
        <v>419</v>
      </c>
      <c r="C451" t="s">
        <v>673</v>
      </c>
      <c r="E451" s="39" t="s">
        <v>557</v>
      </c>
    </row>
    <row r="452" spans="1:5" x14ac:dyDescent="0.3">
      <c r="A452">
        <v>28607197</v>
      </c>
      <c r="B452" t="s">
        <v>419</v>
      </c>
      <c r="C452" t="s">
        <v>713</v>
      </c>
      <c r="E452" s="39" t="s">
        <v>557</v>
      </c>
    </row>
    <row r="453" spans="1:5" x14ac:dyDescent="0.3">
      <c r="A453">
        <v>28607515</v>
      </c>
      <c r="B453" t="s">
        <v>419</v>
      </c>
      <c r="C453" t="s">
        <v>367</v>
      </c>
      <c r="E453" s="39" t="s">
        <v>557</v>
      </c>
    </row>
    <row r="454" spans="1:5" x14ac:dyDescent="0.3">
      <c r="A454">
        <v>28608148</v>
      </c>
      <c r="B454" t="s">
        <v>419</v>
      </c>
      <c r="C454" t="s">
        <v>775</v>
      </c>
      <c r="E454" s="39" t="s">
        <v>557</v>
      </c>
    </row>
    <row r="455" spans="1:5" x14ac:dyDescent="0.3">
      <c r="A455">
        <v>28608756</v>
      </c>
      <c r="B455" t="s">
        <v>419</v>
      </c>
      <c r="C455" t="s">
        <v>750</v>
      </c>
      <c r="E455" s="39" t="s">
        <v>557</v>
      </c>
    </row>
    <row r="456" spans="1:5" x14ac:dyDescent="0.3">
      <c r="A456">
        <v>28608721</v>
      </c>
      <c r="B456" t="s">
        <v>419</v>
      </c>
      <c r="C456" t="s">
        <v>749</v>
      </c>
      <c r="E456" s="39" t="s">
        <v>557</v>
      </c>
    </row>
    <row r="457" spans="1:5" x14ac:dyDescent="0.3">
      <c r="A457">
        <v>28608777</v>
      </c>
      <c r="B457" t="s">
        <v>419</v>
      </c>
      <c r="C457" t="s">
        <v>776</v>
      </c>
      <c r="E457" s="39" t="s">
        <v>557</v>
      </c>
    </row>
    <row r="458" spans="1:5" x14ac:dyDescent="0.3">
      <c r="A458">
        <v>28608789</v>
      </c>
      <c r="B458" t="s">
        <v>419</v>
      </c>
      <c r="C458" t="s">
        <v>777</v>
      </c>
      <c r="E458" s="39" t="s">
        <v>557</v>
      </c>
    </row>
    <row r="459" spans="1:5" x14ac:dyDescent="0.3">
      <c r="A459">
        <v>28609002</v>
      </c>
      <c r="B459" t="s">
        <v>419</v>
      </c>
      <c r="C459" t="s">
        <v>751</v>
      </c>
      <c r="E459" s="39" t="s">
        <v>557</v>
      </c>
    </row>
    <row r="460" spans="1:5" x14ac:dyDescent="0.3">
      <c r="A460">
        <v>28608993</v>
      </c>
      <c r="B460" t="s">
        <v>419</v>
      </c>
      <c r="C460" t="s">
        <v>778</v>
      </c>
      <c r="E460" s="39" t="s">
        <v>557</v>
      </c>
    </row>
    <row r="461" spans="1:5" x14ac:dyDescent="0.3">
      <c r="A461">
        <v>28608987</v>
      </c>
      <c r="B461" t="s">
        <v>419</v>
      </c>
      <c r="C461" t="s">
        <v>777</v>
      </c>
      <c r="E461" s="39" t="s">
        <v>557</v>
      </c>
    </row>
    <row r="462" spans="1:5" x14ac:dyDescent="0.3">
      <c r="A462">
        <v>28609003</v>
      </c>
      <c r="B462" t="s">
        <v>419</v>
      </c>
      <c r="C462" t="s">
        <v>779</v>
      </c>
      <c r="E462" s="39" t="s">
        <v>557</v>
      </c>
    </row>
    <row r="463" spans="1:5" x14ac:dyDescent="0.3">
      <c r="A463">
        <v>28609005</v>
      </c>
      <c r="B463" t="s">
        <v>419</v>
      </c>
      <c r="C463" t="s">
        <v>725</v>
      </c>
      <c r="E463" s="39" t="s">
        <v>557</v>
      </c>
    </row>
    <row r="464" spans="1:5" x14ac:dyDescent="0.3">
      <c r="A464">
        <v>28609006</v>
      </c>
      <c r="B464" t="s">
        <v>419</v>
      </c>
      <c r="C464" t="s">
        <v>780</v>
      </c>
      <c r="E464" s="39" t="s">
        <v>557</v>
      </c>
    </row>
    <row r="465" spans="1:5" x14ac:dyDescent="0.3">
      <c r="A465">
        <v>28609008</v>
      </c>
      <c r="B465" t="s">
        <v>419</v>
      </c>
      <c r="C465" t="s">
        <v>749</v>
      </c>
      <c r="E465" s="39" t="s">
        <v>557</v>
      </c>
    </row>
    <row r="466" spans="1:5" x14ac:dyDescent="0.3">
      <c r="A466">
        <v>28609144</v>
      </c>
      <c r="B466" t="s">
        <v>419</v>
      </c>
      <c r="C466" t="s">
        <v>367</v>
      </c>
      <c r="E466" s="39" t="s">
        <v>557</v>
      </c>
    </row>
    <row r="468" spans="1:5" x14ac:dyDescent="0.3">
      <c r="A468">
        <v>28609759</v>
      </c>
      <c r="B468" t="s">
        <v>483</v>
      </c>
      <c r="C468" t="s">
        <v>140</v>
      </c>
      <c r="D468" t="s">
        <v>849</v>
      </c>
      <c r="E468" t="s">
        <v>178</v>
      </c>
    </row>
    <row r="469" spans="1:5" x14ac:dyDescent="0.3">
      <c r="A469">
        <v>28609479</v>
      </c>
      <c r="B469" t="s">
        <v>483</v>
      </c>
      <c r="C469" t="s">
        <v>366</v>
      </c>
      <c r="D469" t="s">
        <v>850</v>
      </c>
      <c r="E469" s="39" t="s">
        <v>178</v>
      </c>
    </row>
    <row r="470" spans="1:5" x14ac:dyDescent="0.3">
      <c r="A470">
        <v>28610013</v>
      </c>
      <c r="B470" t="s">
        <v>483</v>
      </c>
      <c r="C470" t="s">
        <v>140</v>
      </c>
      <c r="D470" t="s">
        <v>851</v>
      </c>
      <c r="E470" s="39" t="s">
        <v>178</v>
      </c>
    </row>
    <row r="471" spans="1:5" x14ac:dyDescent="0.3">
      <c r="A471">
        <v>28609426</v>
      </c>
      <c r="B471" t="s">
        <v>409</v>
      </c>
      <c r="C471" t="s">
        <v>410</v>
      </c>
      <c r="D471" t="s">
        <v>852</v>
      </c>
      <c r="E471" s="39" t="s">
        <v>178</v>
      </c>
    </row>
    <row r="472" spans="1:5" x14ac:dyDescent="0.3">
      <c r="A472">
        <v>28605748</v>
      </c>
      <c r="B472" t="s">
        <v>419</v>
      </c>
      <c r="C472" t="s">
        <v>749</v>
      </c>
      <c r="D472" t="s">
        <v>853</v>
      </c>
      <c r="E472" s="39" t="s">
        <v>178</v>
      </c>
    </row>
    <row r="473" spans="1:5" x14ac:dyDescent="0.3">
      <c r="A473">
        <v>28605745</v>
      </c>
      <c r="B473" t="s">
        <v>419</v>
      </c>
      <c r="C473" t="s">
        <v>750</v>
      </c>
      <c r="D473" t="s">
        <v>854</v>
      </c>
      <c r="E473" s="39" t="s">
        <v>178</v>
      </c>
    </row>
    <row r="474" spans="1:5" x14ac:dyDescent="0.3">
      <c r="A474">
        <v>28605770</v>
      </c>
      <c r="B474" t="s">
        <v>419</v>
      </c>
      <c r="C474" t="s">
        <v>751</v>
      </c>
      <c r="D474" t="s">
        <v>855</v>
      </c>
      <c r="E474" s="39" t="s">
        <v>178</v>
      </c>
    </row>
    <row r="475" spans="1:5" x14ac:dyDescent="0.3">
      <c r="A475">
        <v>28605771</v>
      </c>
      <c r="B475" t="s">
        <v>419</v>
      </c>
      <c r="C475" t="s">
        <v>752</v>
      </c>
      <c r="D475" t="s">
        <v>856</v>
      </c>
      <c r="E475" s="39" t="s">
        <v>178</v>
      </c>
    </row>
    <row r="476" spans="1:5" x14ac:dyDescent="0.3">
      <c r="A476">
        <v>28606462</v>
      </c>
      <c r="B476" t="s">
        <v>419</v>
      </c>
      <c r="C476" t="s">
        <v>750</v>
      </c>
      <c r="D476" t="s">
        <v>857</v>
      </c>
      <c r="E476" s="39" t="s">
        <v>178</v>
      </c>
    </row>
    <row r="477" spans="1:5" x14ac:dyDescent="0.3">
      <c r="A477">
        <v>28606636</v>
      </c>
      <c r="B477" t="s">
        <v>419</v>
      </c>
      <c r="C477" t="s">
        <v>673</v>
      </c>
      <c r="D477" t="s">
        <v>858</v>
      </c>
      <c r="E477" s="39" t="s">
        <v>178</v>
      </c>
    </row>
    <row r="478" spans="1:5" x14ac:dyDescent="0.3">
      <c r="A478">
        <v>28607515</v>
      </c>
      <c r="B478" t="s">
        <v>419</v>
      </c>
      <c r="C478" t="s">
        <v>367</v>
      </c>
      <c r="D478" t="s">
        <v>859</v>
      </c>
      <c r="E478" s="39" t="s">
        <v>178</v>
      </c>
    </row>
    <row r="479" spans="1:5" x14ac:dyDescent="0.3">
      <c r="A479">
        <v>28608148</v>
      </c>
      <c r="B479" t="s">
        <v>419</v>
      </c>
      <c r="C479" t="s">
        <v>775</v>
      </c>
      <c r="D479" t="s">
        <v>860</v>
      </c>
      <c r="E479" s="39" t="s">
        <v>178</v>
      </c>
    </row>
    <row r="480" spans="1:5" x14ac:dyDescent="0.3">
      <c r="A480">
        <v>28608756</v>
      </c>
      <c r="B480" t="s">
        <v>419</v>
      </c>
      <c r="C480" t="s">
        <v>750</v>
      </c>
      <c r="D480" t="s">
        <v>861</v>
      </c>
      <c r="E480" s="39" t="s">
        <v>178</v>
      </c>
    </row>
    <row r="481" spans="1:5" x14ac:dyDescent="0.3">
      <c r="A481">
        <v>28608721</v>
      </c>
      <c r="B481" t="s">
        <v>419</v>
      </c>
      <c r="C481" t="s">
        <v>749</v>
      </c>
      <c r="D481" t="s">
        <v>862</v>
      </c>
      <c r="E481" s="39" t="s">
        <v>178</v>
      </c>
    </row>
    <row r="482" spans="1:5" x14ac:dyDescent="0.3">
      <c r="A482">
        <v>28608777</v>
      </c>
      <c r="B482" t="s">
        <v>419</v>
      </c>
      <c r="C482" t="s">
        <v>776</v>
      </c>
      <c r="D482" t="s">
        <v>863</v>
      </c>
      <c r="E482" s="39" t="s">
        <v>178</v>
      </c>
    </row>
    <row r="483" spans="1:5" x14ac:dyDescent="0.3">
      <c r="A483">
        <v>28608789</v>
      </c>
      <c r="B483" t="s">
        <v>419</v>
      </c>
      <c r="C483" t="s">
        <v>777</v>
      </c>
      <c r="D483" t="s">
        <v>864</v>
      </c>
      <c r="E483" s="39" t="s">
        <v>178</v>
      </c>
    </row>
    <row r="484" spans="1:5" x14ac:dyDescent="0.3">
      <c r="A484">
        <v>28609002</v>
      </c>
      <c r="B484" t="s">
        <v>419</v>
      </c>
      <c r="C484" t="s">
        <v>751</v>
      </c>
      <c r="D484" t="s">
        <v>865</v>
      </c>
      <c r="E484" s="39" t="s">
        <v>178</v>
      </c>
    </row>
    <row r="485" spans="1:5" x14ac:dyDescent="0.3">
      <c r="A485">
        <v>28608993</v>
      </c>
      <c r="B485" t="s">
        <v>419</v>
      </c>
      <c r="C485" t="s">
        <v>778</v>
      </c>
      <c r="D485" t="s">
        <v>866</v>
      </c>
      <c r="E485" s="39" t="s">
        <v>178</v>
      </c>
    </row>
    <row r="486" spans="1:5" x14ac:dyDescent="0.3">
      <c r="A486">
        <v>28608987</v>
      </c>
      <c r="B486" t="s">
        <v>419</v>
      </c>
      <c r="C486" t="s">
        <v>777</v>
      </c>
      <c r="D486" t="s">
        <v>867</v>
      </c>
      <c r="E486" s="39" t="s">
        <v>178</v>
      </c>
    </row>
    <row r="487" spans="1:5" x14ac:dyDescent="0.3">
      <c r="A487">
        <v>28609003</v>
      </c>
      <c r="B487" t="s">
        <v>419</v>
      </c>
      <c r="C487" t="s">
        <v>779</v>
      </c>
      <c r="D487" t="s">
        <v>868</v>
      </c>
      <c r="E487" s="39" t="s">
        <v>178</v>
      </c>
    </row>
    <row r="488" spans="1:5" x14ac:dyDescent="0.3">
      <c r="A488">
        <v>28609005</v>
      </c>
      <c r="B488" t="s">
        <v>419</v>
      </c>
      <c r="C488" t="s">
        <v>725</v>
      </c>
      <c r="D488" t="s">
        <v>869</v>
      </c>
      <c r="E488" s="39" t="s">
        <v>178</v>
      </c>
    </row>
    <row r="489" spans="1:5" x14ac:dyDescent="0.3">
      <c r="A489">
        <v>28609006</v>
      </c>
      <c r="B489" t="s">
        <v>419</v>
      </c>
      <c r="C489" t="s">
        <v>780</v>
      </c>
      <c r="D489" t="s">
        <v>870</v>
      </c>
      <c r="E489" s="39" t="s">
        <v>178</v>
      </c>
    </row>
    <row r="490" spans="1:5" x14ac:dyDescent="0.3">
      <c r="A490">
        <v>28609008</v>
      </c>
      <c r="B490" t="s">
        <v>419</v>
      </c>
      <c r="C490" t="s">
        <v>749</v>
      </c>
      <c r="D490" t="s">
        <v>874</v>
      </c>
      <c r="E490" s="39" t="s">
        <v>178</v>
      </c>
    </row>
    <row r="491" spans="1:5" x14ac:dyDescent="0.3">
      <c r="A491">
        <v>28609144</v>
      </c>
      <c r="B491" t="s">
        <v>419</v>
      </c>
      <c r="C491" t="s">
        <v>367</v>
      </c>
      <c r="D491" t="s">
        <v>871</v>
      </c>
      <c r="E491" s="39" t="s">
        <v>178</v>
      </c>
    </row>
    <row r="492" spans="1:5" x14ac:dyDescent="0.3">
      <c r="A492">
        <v>28609541</v>
      </c>
      <c r="B492" t="s">
        <v>419</v>
      </c>
      <c r="C492" t="s">
        <v>372</v>
      </c>
      <c r="D492" t="s">
        <v>635</v>
      </c>
      <c r="E492" s="39" t="s">
        <v>181</v>
      </c>
    </row>
    <row r="493" spans="1:5" x14ac:dyDescent="0.3">
      <c r="A493">
        <v>28609711</v>
      </c>
      <c r="B493" t="s">
        <v>419</v>
      </c>
      <c r="C493" t="s">
        <v>367</v>
      </c>
      <c r="D493" t="s">
        <v>872</v>
      </c>
      <c r="E493" s="39" t="s">
        <v>178</v>
      </c>
    </row>
    <row r="495" spans="1:5" x14ac:dyDescent="0.3">
      <c r="A495">
        <v>28609963</v>
      </c>
      <c r="B495" t="s">
        <v>483</v>
      </c>
      <c r="C495" t="s">
        <v>875</v>
      </c>
      <c r="D495" t="s">
        <v>881</v>
      </c>
      <c r="E495" s="39" t="s">
        <v>178</v>
      </c>
    </row>
    <row r="496" spans="1:5" x14ac:dyDescent="0.3">
      <c r="A496">
        <v>28610465</v>
      </c>
      <c r="B496" t="s">
        <v>483</v>
      </c>
      <c r="C496" t="s">
        <v>157</v>
      </c>
      <c r="D496" t="s">
        <v>882</v>
      </c>
      <c r="E496" s="39" t="s">
        <v>178</v>
      </c>
    </row>
    <row r="497" spans="1:5" x14ac:dyDescent="0.3">
      <c r="A497">
        <v>28609541</v>
      </c>
      <c r="B497" t="s">
        <v>419</v>
      </c>
      <c r="C497" t="s">
        <v>372</v>
      </c>
      <c r="D497" t="s">
        <v>635</v>
      </c>
      <c r="E497" s="39" t="s">
        <v>285</v>
      </c>
    </row>
    <row r="498" spans="1:5" x14ac:dyDescent="0.3">
      <c r="A498">
        <v>28610216</v>
      </c>
      <c r="B498" t="s">
        <v>419</v>
      </c>
      <c r="C498" t="s">
        <v>876</v>
      </c>
      <c r="D498" t="s">
        <v>635</v>
      </c>
      <c r="E498" s="39" t="s">
        <v>611</v>
      </c>
    </row>
    <row r="499" spans="1:5" x14ac:dyDescent="0.3">
      <c r="A499">
        <v>28610196</v>
      </c>
      <c r="B499" t="s">
        <v>419</v>
      </c>
      <c r="C499" t="s">
        <v>877</v>
      </c>
      <c r="D499" t="s">
        <v>883</v>
      </c>
      <c r="E499" s="39" t="s">
        <v>178</v>
      </c>
    </row>
    <row r="500" spans="1:5" x14ac:dyDescent="0.3">
      <c r="A500">
        <v>28610500</v>
      </c>
      <c r="B500" t="s">
        <v>419</v>
      </c>
      <c r="C500" t="s">
        <v>878</v>
      </c>
      <c r="D500" t="s">
        <v>884</v>
      </c>
      <c r="E500" s="39" t="s">
        <v>178</v>
      </c>
    </row>
    <row r="502" spans="1:5" x14ac:dyDescent="0.3">
      <c r="A502">
        <v>28610803</v>
      </c>
      <c r="B502" t="s">
        <v>483</v>
      </c>
      <c r="C502" t="s">
        <v>156</v>
      </c>
      <c r="D502" t="s">
        <v>635</v>
      </c>
      <c r="E502" t="s">
        <v>181</v>
      </c>
    </row>
    <row r="503" spans="1:5" x14ac:dyDescent="0.3">
      <c r="A503">
        <v>28610705</v>
      </c>
      <c r="B503" t="s">
        <v>409</v>
      </c>
      <c r="C503" t="s">
        <v>410</v>
      </c>
      <c r="D503" t="s">
        <v>887</v>
      </c>
      <c r="E503" t="s">
        <v>178</v>
      </c>
    </row>
    <row r="504" spans="1:5" x14ac:dyDescent="0.3">
      <c r="A504">
        <v>28609541</v>
      </c>
      <c r="B504" t="s">
        <v>419</v>
      </c>
      <c r="C504" t="s">
        <v>372</v>
      </c>
      <c r="D504" t="s">
        <v>635</v>
      </c>
      <c r="E504" s="39" t="s">
        <v>181</v>
      </c>
    </row>
    <row r="505" spans="1:5" x14ac:dyDescent="0.3">
      <c r="A505">
        <v>28610703</v>
      </c>
      <c r="B505" t="s">
        <v>419</v>
      </c>
      <c r="C505" t="s">
        <v>374</v>
      </c>
      <c r="D505" t="s">
        <v>888</v>
      </c>
      <c r="E505" s="39" t="s">
        <v>178</v>
      </c>
    </row>
    <row r="506" spans="1:5" x14ac:dyDescent="0.3">
      <c r="A506">
        <v>28610924</v>
      </c>
      <c r="B506" t="s">
        <v>419</v>
      </c>
      <c r="C506" t="s">
        <v>673</v>
      </c>
      <c r="D506" t="s">
        <v>889</v>
      </c>
      <c r="E506" s="39" t="s">
        <v>178</v>
      </c>
    </row>
    <row r="507" spans="1:5" x14ac:dyDescent="0.3">
      <c r="A507">
        <v>28610925</v>
      </c>
      <c r="B507" t="s">
        <v>419</v>
      </c>
      <c r="C507" t="s">
        <v>777</v>
      </c>
      <c r="D507" t="s">
        <v>890</v>
      </c>
      <c r="E507" s="39" t="s">
        <v>178</v>
      </c>
    </row>
    <row r="508" spans="1:5" x14ac:dyDescent="0.3">
      <c r="A508">
        <v>28610746</v>
      </c>
      <c r="B508" t="s">
        <v>419</v>
      </c>
      <c r="C508" t="s">
        <v>368</v>
      </c>
      <c r="D508" t="s">
        <v>891</v>
      </c>
      <c r="E508" s="39" t="s">
        <v>178</v>
      </c>
    </row>
    <row r="509" spans="1:5" x14ac:dyDescent="0.3">
      <c r="A509">
        <v>28611237</v>
      </c>
      <c r="B509" t="s">
        <v>419</v>
      </c>
      <c r="C509" t="s">
        <v>373</v>
      </c>
      <c r="D509" t="s">
        <v>635</v>
      </c>
      <c r="E509" s="39" t="s">
        <v>181</v>
      </c>
    </row>
    <row r="510" spans="1:5" x14ac:dyDescent="0.3">
      <c r="A510">
        <v>28611863</v>
      </c>
      <c r="B510" t="s">
        <v>419</v>
      </c>
      <c r="C510" t="s">
        <v>370</v>
      </c>
      <c r="D510" t="s">
        <v>892</v>
      </c>
      <c r="E510" s="39" t="s">
        <v>178</v>
      </c>
    </row>
    <row r="512" spans="1:5" x14ac:dyDescent="0.3">
      <c r="A512">
        <v>28612063</v>
      </c>
      <c r="B512" t="s">
        <v>483</v>
      </c>
      <c r="C512" t="s">
        <v>169</v>
      </c>
      <c r="D512" t="s">
        <v>1172</v>
      </c>
      <c r="E512" s="39" t="s">
        <v>178</v>
      </c>
    </row>
    <row r="513" spans="1:5" x14ac:dyDescent="0.3">
      <c r="A513">
        <v>28611993</v>
      </c>
      <c r="B513" t="s">
        <v>409</v>
      </c>
      <c r="C513" t="s">
        <v>349</v>
      </c>
      <c r="D513" t="s">
        <v>1173</v>
      </c>
      <c r="E513" s="39" t="s">
        <v>178</v>
      </c>
    </row>
    <row r="514" spans="1:5" x14ac:dyDescent="0.3">
      <c r="A514">
        <v>28612683</v>
      </c>
      <c r="B514" t="s">
        <v>409</v>
      </c>
      <c r="C514" t="s">
        <v>436</v>
      </c>
      <c r="D514" t="s">
        <v>1174</v>
      </c>
      <c r="E514" s="39" t="s">
        <v>178</v>
      </c>
    </row>
    <row r="515" spans="1:5" x14ac:dyDescent="0.3">
      <c r="A515">
        <v>28610216</v>
      </c>
      <c r="B515" t="s">
        <v>419</v>
      </c>
      <c r="C515" t="s">
        <v>876</v>
      </c>
      <c r="D515" t="s">
        <v>1175</v>
      </c>
      <c r="E515" s="39" t="s">
        <v>178</v>
      </c>
    </row>
    <row r="516" spans="1:5" x14ac:dyDescent="0.3">
      <c r="A516">
        <v>28612350</v>
      </c>
      <c r="B516" t="s">
        <v>419</v>
      </c>
      <c r="C516" t="s">
        <v>780</v>
      </c>
      <c r="D516" t="s">
        <v>635</v>
      </c>
      <c r="E516" s="39" t="s">
        <v>611</v>
      </c>
    </row>
    <row r="518" spans="1:5" x14ac:dyDescent="0.3">
      <c r="A518">
        <v>28612998</v>
      </c>
      <c r="B518" t="s">
        <v>483</v>
      </c>
      <c r="C518" t="s">
        <v>395</v>
      </c>
      <c r="D518" t="s">
        <v>1190</v>
      </c>
      <c r="E518" s="39" t="s">
        <v>178</v>
      </c>
    </row>
    <row r="519" spans="1:5" x14ac:dyDescent="0.3">
      <c r="A519">
        <v>28613204</v>
      </c>
      <c r="B519" t="s">
        <v>409</v>
      </c>
      <c r="C519" t="s">
        <v>410</v>
      </c>
      <c r="D519" t="s">
        <v>1191</v>
      </c>
      <c r="E519" s="39" t="s">
        <v>178</v>
      </c>
    </row>
    <row r="520" spans="1:5" x14ac:dyDescent="0.3">
      <c r="A520">
        <v>28613792</v>
      </c>
      <c r="B520" t="s">
        <v>409</v>
      </c>
      <c r="C520" t="s">
        <v>349</v>
      </c>
      <c r="D520" t="s">
        <v>1192</v>
      </c>
      <c r="E520" s="39" t="s">
        <v>178</v>
      </c>
    </row>
    <row r="521" spans="1:5" x14ac:dyDescent="0.3">
      <c r="A521">
        <v>28612350</v>
      </c>
      <c r="B521" t="s">
        <v>419</v>
      </c>
      <c r="C521" t="s">
        <v>780</v>
      </c>
      <c r="D521" t="s">
        <v>1193</v>
      </c>
      <c r="E521" s="39" t="s">
        <v>178</v>
      </c>
    </row>
    <row r="522" spans="1:5" x14ac:dyDescent="0.3">
      <c r="A522">
        <v>28613435</v>
      </c>
      <c r="B522" t="s">
        <v>419</v>
      </c>
      <c r="C522" t="s">
        <v>749</v>
      </c>
      <c r="D522" t="s">
        <v>1205</v>
      </c>
      <c r="E522" s="39" t="s">
        <v>178</v>
      </c>
    </row>
    <row r="523" spans="1:5" x14ac:dyDescent="0.3">
      <c r="A523">
        <v>28615187</v>
      </c>
      <c r="B523" t="s">
        <v>419</v>
      </c>
      <c r="C523" t="s">
        <v>878</v>
      </c>
      <c r="D523" t="s">
        <v>1194</v>
      </c>
      <c r="E523" s="39" t="s">
        <v>178</v>
      </c>
    </row>
    <row r="524" spans="1:5" x14ac:dyDescent="0.3">
      <c r="A524">
        <v>28615185</v>
      </c>
      <c r="B524" t="s">
        <v>419</v>
      </c>
      <c r="C524" t="s">
        <v>725</v>
      </c>
      <c r="D524" t="s">
        <v>1195</v>
      </c>
      <c r="E524" s="39" t="s">
        <v>178</v>
      </c>
    </row>
    <row r="525" spans="1:5" x14ac:dyDescent="0.3">
      <c r="A525">
        <v>28615186</v>
      </c>
      <c r="B525" t="s">
        <v>419</v>
      </c>
      <c r="C525" t="s">
        <v>750</v>
      </c>
      <c r="D525" t="s">
        <v>1196</v>
      </c>
      <c r="E525" s="39" t="s">
        <v>178</v>
      </c>
    </row>
    <row r="526" spans="1:5" x14ac:dyDescent="0.3">
      <c r="A526">
        <v>28615184</v>
      </c>
      <c r="B526" t="s">
        <v>419</v>
      </c>
      <c r="C526" t="s">
        <v>372</v>
      </c>
      <c r="D526" t="s">
        <v>1197</v>
      </c>
      <c r="E526" s="39" t="s">
        <v>178</v>
      </c>
    </row>
    <row r="527" spans="1:5" x14ac:dyDescent="0.3">
      <c r="A527">
        <v>28615235</v>
      </c>
      <c r="B527" t="s">
        <v>419</v>
      </c>
      <c r="C527" t="s">
        <v>1176</v>
      </c>
      <c r="D527" t="s">
        <v>1198</v>
      </c>
      <c r="E527" s="39" t="s">
        <v>178</v>
      </c>
    </row>
    <row r="528" spans="1:5" x14ac:dyDescent="0.3">
      <c r="A528">
        <v>28615234</v>
      </c>
      <c r="B528" t="s">
        <v>419</v>
      </c>
      <c r="C528" t="s">
        <v>1177</v>
      </c>
      <c r="D528" t="s">
        <v>1199</v>
      </c>
      <c r="E528" s="39" t="s">
        <v>178</v>
      </c>
    </row>
    <row r="529" spans="1:5" x14ac:dyDescent="0.3">
      <c r="A529">
        <v>28615233</v>
      </c>
      <c r="B529" t="s">
        <v>419</v>
      </c>
      <c r="C529" t="s">
        <v>751</v>
      </c>
      <c r="D529" t="s">
        <v>1200</v>
      </c>
      <c r="E529" s="39" t="s">
        <v>178</v>
      </c>
    </row>
    <row r="530" spans="1:5" x14ac:dyDescent="0.3">
      <c r="A530">
        <v>28615188</v>
      </c>
      <c r="B530" t="s">
        <v>419</v>
      </c>
      <c r="C530" t="s">
        <v>777</v>
      </c>
      <c r="D530" t="s">
        <v>1201</v>
      </c>
      <c r="E530" s="39" t="s">
        <v>178</v>
      </c>
    </row>
    <row r="531" spans="1:5" x14ac:dyDescent="0.3">
      <c r="A531">
        <v>28615238</v>
      </c>
      <c r="B531" t="s">
        <v>419</v>
      </c>
      <c r="C531" t="s">
        <v>1178</v>
      </c>
      <c r="D531" t="s">
        <v>1202</v>
      </c>
      <c r="E531" s="39" t="s">
        <v>178</v>
      </c>
    </row>
    <row r="532" spans="1:5" x14ac:dyDescent="0.3">
      <c r="A532">
        <v>28615237</v>
      </c>
      <c r="B532" t="s">
        <v>419</v>
      </c>
      <c r="C532" t="s">
        <v>674</v>
      </c>
      <c r="D532" t="s">
        <v>1203</v>
      </c>
      <c r="E532" s="39" t="s">
        <v>178</v>
      </c>
    </row>
    <row r="533" spans="1:5" x14ac:dyDescent="0.3">
      <c r="A533">
        <v>28615175</v>
      </c>
      <c r="B533" t="s">
        <v>419</v>
      </c>
      <c r="C533" t="s">
        <v>1179</v>
      </c>
      <c r="D533" t="s">
        <v>1206</v>
      </c>
      <c r="E533" s="39" t="s">
        <v>178</v>
      </c>
    </row>
    <row r="534" spans="1:5" x14ac:dyDescent="0.3">
      <c r="A534">
        <v>28615390</v>
      </c>
      <c r="B534" t="s">
        <v>419</v>
      </c>
      <c r="C534" t="s">
        <v>713</v>
      </c>
      <c r="D534" t="s">
        <v>1204</v>
      </c>
      <c r="E534" s="39" t="s">
        <v>178</v>
      </c>
    </row>
    <row r="536" spans="1:5" x14ac:dyDescent="0.3">
      <c r="A536">
        <v>28614917</v>
      </c>
      <c r="B536" t="s">
        <v>483</v>
      </c>
      <c r="C536" t="s">
        <v>158</v>
      </c>
      <c r="D536" t="s">
        <v>1215</v>
      </c>
      <c r="E536" s="39" t="s">
        <v>178</v>
      </c>
    </row>
    <row r="537" spans="1:5" x14ac:dyDescent="0.3">
      <c r="A537">
        <v>28614921</v>
      </c>
      <c r="B537" t="s">
        <v>483</v>
      </c>
      <c r="C537" t="s">
        <v>461</v>
      </c>
      <c r="D537" t="s">
        <v>1216</v>
      </c>
      <c r="E537" s="39" t="s">
        <v>178</v>
      </c>
    </row>
    <row r="538" spans="1:5" x14ac:dyDescent="0.3">
      <c r="A538">
        <v>28614918</v>
      </c>
      <c r="B538" t="s">
        <v>483</v>
      </c>
      <c r="C538" t="s">
        <v>395</v>
      </c>
      <c r="D538" t="s">
        <v>1217</v>
      </c>
      <c r="E538" s="39" t="s">
        <v>178</v>
      </c>
    </row>
    <row r="539" spans="1:5" x14ac:dyDescent="0.3">
      <c r="A539">
        <v>28615232</v>
      </c>
      <c r="B539" t="s">
        <v>483</v>
      </c>
      <c r="C539" t="s">
        <v>157</v>
      </c>
      <c r="D539" t="s">
        <v>1218</v>
      </c>
      <c r="E539" s="39" t="s">
        <v>178</v>
      </c>
    </row>
    <row r="540" spans="1:5" x14ac:dyDescent="0.3">
      <c r="A540">
        <v>28615171</v>
      </c>
      <c r="B540" t="s">
        <v>483</v>
      </c>
      <c r="C540" t="s">
        <v>772</v>
      </c>
      <c r="D540" t="s">
        <v>1219</v>
      </c>
      <c r="E540" s="39" t="s">
        <v>178</v>
      </c>
    </row>
    <row r="541" spans="1:5" x14ac:dyDescent="0.3">
      <c r="A541">
        <v>28616536</v>
      </c>
      <c r="B541" t="s">
        <v>483</v>
      </c>
      <c r="C541" t="s">
        <v>613</v>
      </c>
      <c r="D541" t="s">
        <v>1220</v>
      </c>
      <c r="E541" s="39" t="s">
        <v>178</v>
      </c>
    </row>
    <row r="542" spans="1:5" x14ac:dyDescent="0.3">
      <c r="A542">
        <v>28615236</v>
      </c>
      <c r="B542" t="s">
        <v>409</v>
      </c>
      <c r="C542" t="s">
        <v>349</v>
      </c>
      <c r="D542" t="s">
        <v>1221</v>
      </c>
      <c r="E542" s="39" t="s">
        <v>178</v>
      </c>
    </row>
    <row r="543" spans="1:5" x14ac:dyDescent="0.3">
      <c r="A543">
        <v>28615170</v>
      </c>
      <c r="B543" t="s">
        <v>409</v>
      </c>
      <c r="C543" t="s">
        <v>468</v>
      </c>
      <c r="D543" t="s">
        <v>1222</v>
      </c>
      <c r="E543" s="39" t="s">
        <v>178</v>
      </c>
    </row>
    <row r="544" spans="1:5" x14ac:dyDescent="0.3">
      <c r="A544">
        <v>28614922</v>
      </c>
      <c r="B544" t="s">
        <v>409</v>
      </c>
      <c r="C544" t="s">
        <v>347</v>
      </c>
      <c r="D544" t="s">
        <v>1223</v>
      </c>
      <c r="E544" s="39" t="s">
        <v>178</v>
      </c>
    </row>
    <row r="545" spans="1:5" x14ac:dyDescent="0.3">
      <c r="A545">
        <v>28616243</v>
      </c>
      <c r="B545" t="s">
        <v>409</v>
      </c>
      <c r="C545" t="s">
        <v>411</v>
      </c>
      <c r="D545" t="s">
        <v>635</v>
      </c>
      <c r="E545" s="39" t="s">
        <v>285</v>
      </c>
    </row>
    <row r="546" spans="1:5" x14ac:dyDescent="0.3">
      <c r="A546">
        <v>28615394</v>
      </c>
      <c r="B546" t="s">
        <v>409</v>
      </c>
      <c r="C546" t="s">
        <v>350</v>
      </c>
      <c r="D546" t="s">
        <v>1224</v>
      </c>
      <c r="E546" s="39" t="s">
        <v>178</v>
      </c>
    </row>
    <row r="547" spans="1:5" x14ac:dyDescent="0.3">
      <c r="A547">
        <v>28613176</v>
      </c>
      <c r="B547" t="s">
        <v>419</v>
      </c>
      <c r="C547" t="s">
        <v>371</v>
      </c>
      <c r="D547" t="s">
        <v>1257</v>
      </c>
      <c r="E547" s="39" t="s">
        <v>178</v>
      </c>
    </row>
    <row r="548" spans="1:5" x14ac:dyDescent="0.3">
      <c r="A548">
        <v>28614460</v>
      </c>
      <c r="B548" t="s">
        <v>419</v>
      </c>
      <c r="C548" t="s">
        <v>775</v>
      </c>
      <c r="D548" t="s">
        <v>635</v>
      </c>
      <c r="E548" s="39" t="s">
        <v>1258</v>
      </c>
    </row>
    <row r="549" spans="1:5" x14ac:dyDescent="0.3">
      <c r="A549">
        <v>28615895</v>
      </c>
      <c r="B549" t="s">
        <v>419</v>
      </c>
      <c r="C549" t="s">
        <v>367</v>
      </c>
      <c r="D549" t="s">
        <v>1225</v>
      </c>
      <c r="E549" s="39" t="s">
        <v>178</v>
      </c>
    </row>
    <row r="550" spans="1:5" x14ac:dyDescent="0.3">
      <c r="A550">
        <v>28616388</v>
      </c>
      <c r="B550" t="s">
        <v>419</v>
      </c>
      <c r="C550" t="s">
        <v>438</v>
      </c>
      <c r="D550" t="s">
        <v>1226</v>
      </c>
      <c r="E550" s="39" t="s">
        <v>178</v>
      </c>
    </row>
    <row r="551" spans="1:5" x14ac:dyDescent="0.3">
      <c r="A551">
        <v>28616391</v>
      </c>
      <c r="B551" t="s">
        <v>419</v>
      </c>
      <c r="C551" t="s">
        <v>368</v>
      </c>
      <c r="D551" t="s">
        <v>1227</v>
      </c>
      <c r="E551" s="39" t="s">
        <v>178</v>
      </c>
    </row>
    <row r="553" spans="1:5" x14ac:dyDescent="0.3">
      <c r="A553">
        <v>28617101</v>
      </c>
      <c r="B553" t="s">
        <v>483</v>
      </c>
      <c r="C553" t="s">
        <v>210</v>
      </c>
      <c r="D553" t="s">
        <v>1267</v>
      </c>
      <c r="E553" s="39" t="s">
        <v>178</v>
      </c>
    </row>
    <row r="554" spans="1:5" x14ac:dyDescent="0.3">
      <c r="A554">
        <v>28617013</v>
      </c>
      <c r="B554" t="s">
        <v>409</v>
      </c>
      <c r="C554" t="s">
        <v>570</v>
      </c>
      <c r="D554" t="s">
        <v>1268</v>
      </c>
      <c r="E554" s="39" t="s">
        <v>178</v>
      </c>
    </row>
    <row r="555" spans="1:5" x14ac:dyDescent="0.3">
      <c r="A555">
        <v>28617855</v>
      </c>
      <c r="B555" t="s">
        <v>409</v>
      </c>
      <c r="C555" t="s">
        <v>570</v>
      </c>
      <c r="D555" t="s">
        <v>1269</v>
      </c>
      <c r="E555" s="39" t="s">
        <v>178</v>
      </c>
    </row>
    <row r="556" spans="1:5" x14ac:dyDescent="0.3">
      <c r="A556">
        <v>28614460</v>
      </c>
      <c r="B556" t="s">
        <v>419</v>
      </c>
      <c r="C556" t="s">
        <v>775</v>
      </c>
      <c r="D556" t="s">
        <v>1270</v>
      </c>
      <c r="E556" s="39" t="s">
        <v>178</v>
      </c>
    </row>
    <row r="557" spans="1:5" x14ac:dyDescent="0.3">
      <c r="A557">
        <v>28616744</v>
      </c>
      <c r="B557" t="s">
        <v>419</v>
      </c>
      <c r="C557" t="s">
        <v>749</v>
      </c>
      <c r="D557" t="s">
        <v>1271</v>
      </c>
      <c r="E557" s="39" t="s">
        <v>178</v>
      </c>
    </row>
    <row r="558" spans="1:5" x14ac:dyDescent="0.3">
      <c r="A558">
        <v>28616953</v>
      </c>
      <c r="B558" t="s">
        <v>419</v>
      </c>
      <c r="C558" t="s">
        <v>713</v>
      </c>
      <c r="D558" t="s">
        <v>1272</v>
      </c>
      <c r="E558" s="39" t="s">
        <v>178</v>
      </c>
    </row>
    <row r="559" spans="1:5" x14ac:dyDescent="0.3">
      <c r="A559">
        <v>28617009</v>
      </c>
      <c r="B559" t="s">
        <v>419</v>
      </c>
      <c r="C559" t="s">
        <v>420</v>
      </c>
      <c r="D559" t="s">
        <v>1273</v>
      </c>
      <c r="E559" s="39" t="s">
        <v>178</v>
      </c>
    </row>
    <row r="560" spans="1:5" x14ac:dyDescent="0.3">
      <c r="A560">
        <v>28617993</v>
      </c>
      <c r="B560" t="s">
        <v>419</v>
      </c>
      <c r="C560" t="s">
        <v>780</v>
      </c>
      <c r="D560" t="s">
        <v>1274</v>
      </c>
      <c r="E560" s="39" t="s">
        <v>178</v>
      </c>
    </row>
    <row r="562" spans="1:5" x14ac:dyDescent="0.3">
      <c r="A562">
        <v>28618527</v>
      </c>
      <c r="B562" t="s">
        <v>483</v>
      </c>
      <c r="C562" t="s">
        <v>1275</v>
      </c>
      <c r="D562" t="s">
        <v>1276</v>
      </c>
      <c r="E562" s="39" t="s">
        <v>178</v>
      </c>
    </row>
    <row r="563" spans="1:5" x14ac:dyDescent="0.3">
      <c r="A563">
        <v>28618526</v>
      </c>
      <c r="B563" t="s">
        <v>419</v>
      </c>
      <c r="C563" t="s">
        <v>713</v>
      </c>
      <c r="D563" t="s">
        <v>1277</v>
      </c>
      <c r="E563" s="39" t="s">
        <v>178</v>
      </c>
    </row>
    <row r="565" spans="1:5" x14ac:dyDescent="0.3">
      <c r="A565">
        <v>28618946</v>
      </c>
      <c r="B565" t="s">
        <v>483</v>
      </c>
      <c r="C565" t="s">
        <v>167</v>
      </c>
      <c r="D565" t="s">
        <v>1290</v>
      </c>
      <c r="E565" s="39" t="s">
        <v>178</v>
      </c>
    </row>
    <row r="566" spans="1:5" x14ac:dyDescent="0.3">
      <c r="A566">
        <v>28618659</v>
      </c>
      <c r="B566" t="s">
        <v>419</v>
      </c>
      <c r="C566" t="s">
        <v>713</v>
      </c>
      <c r="D566" t="s">
        <v>1291</v>
      </c>
      <c r="E566" s="39" t="s">
        <v>178</v>
      </c>
    </row>
    <row r="567" spans="1:5" x14ac:dyDescent="0.3">
      <c r="A567">
        <v>28618851</v>
      </c>
      <c r="B567" t="s">
        <v>419</v>
      </c>
      <c r="C567" t="s">
        <v>367</v>
      </c>
      <c r="D567" t="s">
        <v>1292</v>
      </c>
      <c r="E567" s="39" t="s">
        <v>178</v>
      </c>
    </row>
    <row r="568" spans="1:5" x14ac:dyDescent="0.3">
      <c r="A568">
        <v>28618928</v>
      </c>
      <c r="B568" t="s">
        <v>419</v>
      </c>
      <c r="C568" t="s">
        <v>725</v>
      </c>
      <c r="D568" t="s">
        <v>1293</v>
      </c>
      <c r="E568" s="39" t="s">
        <v>178</v>
      </c>
    </row>
    <row r="569" spans="1:5" x14ac:dyDescent="0.3">
      <c r="A569">
        <v>28618929</v>
      </c>
      <c r="B569" t="s">
        <v>419</v>
      </c>
      <c r="C569" t="s">
        <v>1282</v>
      </c>
      <c r="D569" t="s">
        <v>635</v>
      </c>
      <c r="E569" s="39" t="s">
        <v>1297</v>
      </c>
    </row>
    <row r="570" spans="1:5" x14ac:dyDescent="0.3">
      <c r="A570">
        <v>28618945</v>
      </c>
      <c r="B570" t="s">
        <v>419</v>
      </c>
      <c r="C570" t="s">
        <v>372</v>
      </c>
      <c r="D570" t="s">
        <v>1295</v>
      </c>
      <c r="E570" s="39" t="s">
        <v>178</v>
      </c>
    </row>
    <row r="572" spans="1:5" x14ac:dyDescent="0.3">
      <c r="A572">
        <v>28621518</v>
      </c>
      <c r="B572" t="s">
        <v>483</v>
      </c>
      <c r="C572" t="s">
        <v>210</v>
      </c>
      <c r="D572" t="s">
        <v>635</v>
      </c>
      <c r="E572" s="39" t="s">
        <v>285</v>
      </c>
    </row>
    <row r="573" spans="1:5" x14ac:dyDescent="0.3">
      <c r="A573">
        <v>28621261</v>
      </c>
      <c r="B573" t="s">
        <v>409</v>
      </c>
      <c r="C573" t="s">
        <v>349</v>
      </c>
      <c r="D573" t="s">
        <v>1305</v>
      </c>
      <c r="E573" s="39" t="s">
        <v>178</v>
      </c>
    </row>
    <row r="574" spans="1:5" x14ac:dyDescent="0.3">
      <c r="A574">
        <v>28618929</v>
      </c>
      <c r="B574" t="s">
        <v>419</v>
      </c>
      <c r="C574" t="s">
        <v>1282</v>
      </c>
      <c r="D574" t="s">
        <v>1306</v>
      </c>
      <c r="E574" s="39" t="s">
        <v>178</v>
      </c>
    </row>
    <row r="575" spans="1:5" x14ac:dyDescent="0.3">
      <c r="A575">
        <v>28619778</v>
      </c>
      <c r="B575" t="s">
        <v>419</v>
      </c>
      <c r="C575" t="s">
        <v>673</v>
      </c>
      <c r="D575" t="s">
        <v>1307</v>
      </c>
      <c r="E575" s="39" t="s">
        <v>178</v>
      </c>
    </row>
    <row r="576" spans="1:5" x14ac:dyDescent="0.3">
      <c r="A576">
        <v>28619899</v>
      </c>
      <c r="B576" t="s">
        <v>419</v>
      </c>
      <c r="C576" t="s">
        <v>1176</v>
      </c>
      <c r="D576" t="s">
        <v>1308</v>
      </c>
      <c r="E576" s="39" t="s">
        <v>178</v>
      </c>
    </row>
    <row r="577" spans="1:5" x14ac:dyDescent="0.3">
      <c r="A577">
        <v>28620965</v>
      </c>
      <c r="B577" t="s">
        <v>419</v>
      </c>
      <c r="C577" t="s">
        <v>725</v>
      </c>
      <c r="D577" t="s">
        <v>1309</v>
      </c>
      <c r="E577" s="39" t="s">
        <v>178</v>
      </c>
    </row>
    <row r="578" spans="1:5" x14ac:dyDescent="0.3">
      <c r="A578">
        <v>28621255</v>
      </c>
      <c r="B578" t="s">
        <v>419</v>
      </c>
      <c r="C578" t="s">
        <v>780</v>
      </c>
      <c r="D578" t="s">
        <v>1310</v>
      </c>
      <c r="E578" s="39" t="s">
        <v>178</v>
      </c>
    </row>
    <row r="579" spans="1:5" x14ac:dyDescent="0.3">
      <c r="A579">
        <v>28621464</v>
      </c>
      <c r="B579" t="s">
        <v>419</v>
      </c>
      <c r="C579" t="s">
        <v>725</v>
      </c>
      <c r="D579" t="s">
        <v>1311</v>
      </c>
      <c r="E579" s="39" t="s">
        <v>178</v>
      </c>
    </row>
    <row r="580" spans="1:5" x14ac:dyDescent="0.3">
      <c r="A580">
        <v>28621465</v>
      </c>
      <c r="B580" t="s">
        <v>419</v>
      </c>
      <c r="C580" t="s">
        <v>780</v>
      </c>
      <c r="D580" t="s">
        <v>1312</v>
      </c>
      <c r="E580" s="39" t="s">
        <v>178</v>
      </c>
    </row>
    <row r="581" spans="1:5" x14ac:dyDescent="0.3">
      <c r="B581" t="s">
        <v>419</v>
      </c>
      <c r="C581" t="s">
        <v>1282</v>
      </c>
      <c r="D581" t="s">
        <v>1313</v>
      </c>
      <c r="E581" s="39" t="s">
        <v>178</v>
      </c>
    </row>
    <row r="584" spans="1:5" x14ac:dyDescent="0.3">
      <c r="A584">
        <v>28622221</v>
      </c>
      <c r="B584" t="s">
        <v>483</v>
      </c>
      <c r="C584" t="s">
        <v>286</v>
      </c>
      <c r="D584" t="s">
        <v>1333</v>
      </c>
      <c r="E584" s="39" t="s">
        <v>178</v>
      </c>
    </row>
    <row r="585" spans="1:5" x14ac:dyDescent="0.3">
      <c r="A585">
        <v>28622278</v>
      </c>
      <c r="B585" t="s">
        <v>409</v>
      </c>
      <c r="C585" t="s">
        <v>570</v>
      </c>
      <c r="D585" t="s">
        <v>635</v>
      </c>
      <c r="E585" t="s">
        <v>285</v>
      </c>
    </row>
    <row r="586" spans="1:5" x14ac:dyDescent="0.3">
      <c r="A586">
        <v>28621820</v>
      </c>
      <c r="B586" t="s">
        <v>409</v>
      </c>
      <c r="C586" t="s">
        <v>515</v>
      </c>
      <c r="D586" t="s">
        <v>1334</v>
      </c>
      <c r="E586" s="39" t="s">
        <v>178</v>
      </c>
    </row>
    <row r="587" spans="1:5" x14ac:dyDescent="0.3">
      <c r="A587">
        <v>28622267</v>
      </c>
      <c r="B587" t="s">
        <v>419</v>
      </c>
      <c r="C587" t="s">
        <v>1320</v>
      </c>
      <c r="D587" t="s">
        <v>1335</v>
      </c>
      <c r="E587" s="39" t="s">
        <v>178</v>
      </c>
    </row>
    <row r="588" spans="1:5" x14ac:dyDescent="0.3">
      <c r="A588">
        <v>28622266</v>
      </c>
      <c r="B588" t="s">
        <v>419</v>
      </c>
      <c r="C588" t="s">
        <v>1321</v>
      </c>
      <c r="D588" t="s">
        <v>1336</v>
      </c>
      <c r="E588" s="39" t="s">
        <v>178</v>
      </c>
    </row>
    <row r="589" spans="1:5" x14ac:dyDescent="0.3">
      <c r="A589">
        <v>28622265</v>
      </c>
      <c r="B589" t="s">
        <v>419</v>
      </c>
      <c r="C589" t="s">
        <v>1322</v>
      </c>
      <c r="D589" t="s">
        <v>1337</v>
      </c>
      <c r="E589" s="39" t="s">
        <v>178</v>
      </c>
    </row>
    <row r="591" spans="1:5" x14ac:dyDescent="0.3">
      <c r="A591">
        <v>28624252</v>
      </c>
      <c r="B591" t="s">
        <v>483</v>
      </c>
      <c r="C591" t="s">
        <v>140</v>
      </c>
      <c r="D591" t="s">
        <v>1355</v>
      </c>
      <c r="E591" s="39" t="s">
        <v>178</v>
      </c>
    </row>
    <row r="592" spans="1:5" x14ac:dyDescent="0.3">
      <c r="A592">
        <v>28622278</v>
      </c>
      <c r="B592" t="s">
        <v>409</v>
      </c>
      <c r="C592" t="s">
        <v>570</v>
      </c>
      <c r="D592" t="s">
        <v>635</v>
      </c>
      <c r="E592" s="39" t="s">
        <v>181</v>
      </c>
    </row>
    <row r="593" spans="1:5" x14ac:dyDescent="0.3">
      <c r="A593">
        <v>28623244</v>
      </c>
      <c r="B593" t="s">
        <v>409</v>
      </c>
      <c r="C593" t="s">
        <v>349</v>
      </c>
      <c r="D593" t="s">
        <v>1356</v>
      </c>
      <c r="E593" s="39" t="s">
        <v>178</v>
      </c>
    </row>
    <row r="594" spans="1:5" x14ac:dyDescent="0.3">
      <c r="A594">
        <v>28623230</v>
      </c>
      <c r="B594" t="s">
        <v>409</v>
      </c>
      <c r="C594" t="s">
        <v>773</v>
      </c>
      <c r="D594" t="s">
        <v>1357</v>
      </c>
      <c r="E594" s="39" t="s">
        <v>178</v>
      </c>
    </row>
    <row r="595" spans="1:5" x14ac:dyDescent="0.3">
      <c r="A595">
        <v>28623226</v>
      </c>
      <c r="B595" t="s">
        <v>409</v>
      </c>
      <c r="C595" t="s">
        <v>516</v>
      </c>
      <c r="D595" t="s">
        <v>1358</v>
      </c>
      <c r="E595" s="39" t="s">
        <v>178</v>
      </c>
    </row>
    <row r="596" spans="1:5" x14ac:dyDescent="0.3">
      <c r="A596">
        <v>28623232</v>
      </c>
      <c r="B596" t="s">
        <v>409</v>
      </c>
      <c r="C596" t="s">
        <v>348</v>
      </c>
      <c r="D596" t="s">
        <v>1359</v>
      </c>
      <c r="E596" s="39" t="s">
        <v>178</v>
      </c>
    </row>
    <row r="597" spans="1:5" x14ac:dyDescent="0.3">
      <c r="A597">
        <v>28623578</v>
      </c>
      <c r="B597" t="s">
        <v>409</v>
      </c>
      <c r="C597" t="s">
        <v>1342</v>
      </c>
      <c r="D597" t="s">
        <v>635</v>
      </c>
      <c r="E597" s="39" t="s">
        <v>181</v>
      </c>
    </row>
    <row r="598" spans="1:5" x14ac:dyDescent="0.3">
      <c r="A598">
        <v>28623818</v>
      </c>
      <c r="B598" t="s">
        <v>409</v>
      </c>
      <c r="C598" t="s">
        <v>348</v>
      </c>
      <c r="D598" t="s">
        <v>1360</v>
      </c>
      <c r="E598" s="39" t="s">
        <v>178</v>
      </c>
    </row>
    <row r="599" spans="1:5" x14ac:dyDescent="0.3">
      <c r="A599">
        <v>28624085</v>
      </c>
      <c r="B599" t="s">
        <v>409</v>
      </c>
      <c r="C599" t="s">
        <v>515</v>
      </c>
      <c r="D599" t="s">
        <v>635</v>
      </c>
      <c r="E599" s="39" t="s">
        <v>181</v>
      </c>
    </row>
    <row r="600" spans="1:5" x14ac:dyDescent="0.3">
      <c r="A600">
        <v>28624978</v>
      </c>
      <c r="B600" t="s">
        <v>409</v>
      </c>
      <c r="C600" t="s">
        <v>773</v>
      </c>
      <c r="D600" t="s">
        <v>1361</v>
      </c>
      <c r="E600" s="39" t="s">
        <v>178</v>
      </c>
    </row>
    <row r="601" spans="1:5" x14ac:dyDescent="0.3">
      <c r="A601">
        <v>28623227</v>
      </c>
      <c r="B601" t="s">
        <v>419</v>
      </c>
      <c r="C601" t="s">
        <v>367</v>
      </c>
      <c r="D601" t="s">
        <v>1362</v>
      </c>
      <c r="E601" s="39" t="s">
        <v>178</v>
      </c>
    </row>
    <row r="602" spans="1:5" x14ac:dyDescent="0.3">
      <c r="A602">
        <v>28625021</v>
      </c>
      <c r="B602" t="s">
        <v>419</v>
      </c>
      <c r="C602" t="s">
        <v>470</v>
      </c>
      <c r="D602" t="s">
        <v>1363</v>
      </c>
      <c r="E602" s="39" t="s">
        <v>178</v>
      </c>
    </row>
    <row r="604" spans="1:5" x14ac:dyDescent="0.3">
      <c r="A604">
        <v>28626120</v>
      </c>
      <c r="B604" t="s">
        <v>483</v>
      </c>
      <c r="C604" t="s">
        <v>210</v>
      </c>
      <c r="D604" t="s">
        <v>635</v>
      </c>
      <c r="E604" s="39" t="s">
        <v>181</v>
      </c>
    </row>
    <row r="605" spans="1:5" x14ac:dyDescent="0.3">
      <c r="A605">
        <v>28625901</v>
      </c>
      <c r="B605" t="s">
        <v>483</v>
      </c>
      <c r="C605" t="s">
        <v>169</v>
      </c>
      <c r="D605" t="s">
        <v>635</v>
      </c>
      <c r="E605" s="39" t="s">
        <v>181</v>
      </c>
    </row>
    <row r="606" spans="1:5" x14ac:dyDescent="0.3">
      <c r="A606">
        <v>28625907</v>
      </c>
      <c r="B606" t="s">
        <v>483</v>
      </c>
      <c r="C606" t="s">
        <v>210</v>
      </c>
      <c r="D606" t="s">
        <v>1401</v>
      </c>
      <c r="E606" s="39" t="s">
        <v>178</v>
      </c>
    </row>
    <row r="607" spans="1:5" x14ac:dyDescent="0.3">
      <c r="A607">
        <v>28622278</v>
      </c>
      <c r="B607" t="s">
        <v>409</v>
      </c>
      <c r="C607" t="s">
        <v>570</v>
      </c>
      <c r="D607" t="s">
        <v>635</v>
      </c>
      <c r="E607" s="39" t="s">
        <v>181</v>
      </c>
    </row>
    <row r="608" spans="1:5" x14ac:dyDescent="0.3">
      <c r="A608">
        <v>28624085</v>
      </c>
      <c r="B608" t="s">
        <v>409</v>
      </c>
      <c r="C608" t="s">
        <v>515</v>
      </c>
      <c r="D608" t="s">
        <v>635</v>
      </c>
      <c r="E608" s="39" t="s">
        <v>181</v>
      </c>
    </row>
    <row r="609" spans="1:5" x14ac:dyDescent="0.3">
      <c r="A609">
        <v>28625652</v>
      </c>
      <c r="B609" t="s">
        <v>409</v>
      </c>
      <c r="C609" t="s">
        <v>570</v>
      </c>
      <c r="D609" t="s">
        <v>635</v>
      </c>
      <c r="E609" s="39" t="s">
        <v>181</v>
      </c>
    </row>
    <row r="610" spans="1:5" x14ac:dyDescent="0.3">
      <c r="A610">
        <v>28625790</v>
      </c>
      <c r="B610" t="s">
        <v>419</v>
      </c>
      <c r="C610" t="s">
        <v>377</v>
      </c>
      <c r="D610" t="s">
        <v>1429</v>
      </c>
      <c r="E610"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4.4" x14ac:dyDescent="0.3"/>
  <sheetData>
    <row r="1" spans="1:8" x14ac:dyDescent="0.3">
      <c r="A1" s="39" t="s">
        <v>901</v>
      </c>
      <c r="G1">
        <f>SEARCH("&lt;",A1)</f>
        <v>16</v>
      </c>
      <c r="H1" t="str">
        <f>MID(A1,G1,100)</f>
        <v>&lt;aleksandrov.oo@novaposhta.ua&gt;</v>
      </c>
    </row>
    <row r="2" spans="1:8" x14ac:dyDescent="0.3">
      <c r="A2" s="39" t="s">
        <v>902</v>
      </c>
      <c r="G2" s="39">
        <f t="shared" ref="G2:G65" si="0">SEARCH("&lt;",A2)</f>
        <v>15</v>
      </c>
      <c r="H2" s="39" t="str">
        <f t="shared" ref="H2:H65" si="1">MID(A2,G2,100)</f>
        <v>&lt;anatiyenko.o@novaposhta.ua&gt;</v>
      </c>
    </row>
    <row r="3" spans="1:8" x14ac:dyDescent="0.3">
      <c r="A3" s="39" t="s">
        <v>903</v>
      </c>
      <c r="G3" s="39">
        <f t="shared" si="0"/>
        <v>10</v>
      </c>
      <c r="H3" s="39" t="str">
        <f t="shared" si="1"/>
        <v>&lt;baboi.m@novaposhta.ua&gt;</v>
      </c>
    </row>
    <row r="4" spans="1:8" x14ac:dyDescent="0.3">
      <c r="A4" s="39" t="s">
        <v>904</v>
      </c>
      <c r="G4" s="39">
        <f t="shared" si="0"/>
        <v>14</v>
      </c>
      <c r="H4" s="39" t="str">
        <f t="shared" si="1"/>
        <v>&lt;beregovuy.a@novaposhta.ua&gt;</v>
      </c>
    </row>
    <row r="5" spans="1:8" x14ac:dyDescent="0.3">
      <c r="A5" s="39" t="s">
        <v>905</v>
      </c>
      <c r="G5" s="39">
        <f t="shared" si="0"/>
        <v>15</v>
      </c>
      <c r="H5" s="39" t="str">
        <f t="shared" si="1"/>
        <v>&lt;biletskyi.or@novaposhta.ua&gt;</v>
      </c>
    </row>
    <row r="6" spans="1:8" x14ac:dyDescent="0.3">
      <c r="A6" s="39" t="s">
        <v>906</v>
      </c>
      <c r="G6" s="39">
        <f t="shared" si="0"/>
        <v>14</v>
      </c>
      <c r="H6" s="39" t="str">
        <f t="shared" si="1"/>
        <v>&lt;blahovska.e@novaposhta.ua&gt;</v>
      </c>
    </row>
    <row r="7" spans="1:8" x14ac:dyDescent="0.3">
      <c r="A7" s="39" t="s">
        <v>907</v>
      </c>
      <c r="G7" s="39">
        <f t="shared" si="0"/>
        <v>13</v>
      </c>
      <c r="H7" s="39" t="str">
        <f t="shared" si="1"/>
        <v>&lt;bogurska.o@novaposhta.ua&gt;</v>
      </c>
    </row>
    <row r="8" spans="1:8" x14ac:dyDescent="0.3">
      <c r="A8" s="39" t="s">
        <v>908</v>
      </c>
      <c r="G8" s="39">
        <f t="shared" si="0"/>
        <v>13</v>
      </c>
      <c r="H8" s="39" t="str">
        <f t="shared" si="1"/>
        <v>&lt;boshkova.u@novaposhta.ua&gt;</v>
      </c>
    </row>
    <row r="9" spans="1:8" x14ac:dyDescent="0.3">
      <c r="A9" s="39" t="s">
        <v>909</v>
      </c>
      <c r="G9" s="39">
        <f t="shared" si="0"/>
        <v>9</v>
      </c>
      <c r="H9" s="39" t="str">
        <f t="shared" si="1"/>
        <v>&lt;bova.v@novaposhta.ua&gt;</v>
      </c>
    </row>
    <row r="10" spans="1:8" x14ac:dyDescent="0.3">
      <c r="A10" s="39" t="s">
        <v>910</v>
      </c>
      <c r="G10" s="39">
        <f t="shared" si="0"/>
        <v>11</v>
      </c>
      <c r="H10" s="39" t="str">
        <f t="shared" si="1"/>
        <v>&lt;bugrim.a@novaposhta.ua&gt;</v>
      </c>
    </row>
    <row r="11" spans="1:8" x14ac:dyDescent="0.3">
      <c r="A11" s="39" t="s">
        <v>911</v>
      </c>
      <c r="G11" s="39">
        <f t="shared" si="0"/>
        <v>13</v>
      </c>
      <c r="H11" s="39" t="str">
        <f t="shared" si="1"/>
        <v>&lt;chekurda.o@novaposhta.ua&gt;</v>
      </c>
    </row>
    <row r="12" spans="1:8" x14ac:dyDescent="0.3">
      <c r="A12" s="39" t="s">
        <v>912</v>
      </c>
      <c r="G12" s="39">
        <f t="shared" si="0"/>
        <v>15</v>
      </c>
      <c r="H12" s="39" t="str">
        <f t="shared" si="1"/>
        <v>&lt;cherepnova.o@novaposhta.ua&gt;</v>
      </c>
    </row>
    <row r="13" spans="1:8" x14ac:dyDescent="0.3">
      <c r="A13" s="39" t="s">
        <v>913</v>
      </c>
      <c r="G13" s="39">
        <f t="shared" si="0"/>
        <v>16</v>
      </c>
      <c r="H13" s="39" t="str">
        <f t="shared" si="1"/>
        <v>&lt;chumachenko.o@novaposhta.ua&gt;</v>
      </c>
    </row>
    <row r="14" spans="1:8" x14ac:dyDescent="0.3">
      <c r="A14" s="39" t="s">
        <v>914</v>
      </c>
      <c r="G14" s="39">
        <f t="shared" si="0"/>
        <v>12</v>
      </c>
      <c r="H14" s="39" t="str">
        <f t="shared" si="1"/>
        <v>&lt;djachuk.s@novaposhta.ua&gt;</v>
      </c>
    </row>
    <row r="15" spans="1:8" x14ac:dyDescent="0.3">
      <c r="A15" s="39" t="s">
        <v>915</v>
      </c>
      <c r="G15" s="39">
        <f t="shared" si="0"/>
        <v>12</v>
      </c>
      <c r="H15" s="39" t="str">
        <f t="shared" si="1"/>
        <v>&lt;dmytruk.v@novaposhta.ua&gt;</v>
      </c>
    </row>
    <row r="16" spans="1:8" x14ac:dyDescent="0.3">
      <c r="A16" s="39" t="s">
        <v>916</v>
      </c>
      <c r="G16" s="39">
        <f t="shared" si="0"/>
        <v>13</v>
      </c>
      <c r="H16" s="39" t="str">
        <f t="shared" si="1"/>
        <v>&lt;dyrubaba.n@novaposhta.ua&gt;</v>
      </c>
    </row>
    <row r="17" spans="1:8" x14ac:dyDescent="0.3">
      <c r="A17" s="39" t="s">
        <v>917</v>
      </c>
      <c r="G17" s="39">
        <f t="shared" si="0"/>
        <v>10</v>
      </c>
      <c r="H17" s="39" t="str">
        <f t="shared" si="1"/>
        <v>&lt;dzhur.v@novaposhta.ua&gt;</v>
      </c>
    </row>
    <row r="18" spans="1:8" x14ac:dyDescent="0.3">
      <c r="A18" s="39" t="s">
        <v>918</v>
      </c>
      <c r="G18" s="39">
        <f t="shared" si="0"/>
        <v>9</v>
      </c>
      <c r="H18" s="39" t="str">
        <f t="shared" si="1"/>
        <v>&lt;edel.v@novaposhta.ua&gt;</v>
      </c>
    </row>
    <row r="19" spans="1:8" x14ac:dyDescent="0.3">
      <c r="A19" s="39" t="s">
        <v>919</v>
      </c>
      <c r="G19" s="39">
        <f t="shared" si="0"/>
        <v>12</v>
      </c>
      <c r="H19" s="39" t="str">
        <f t="shared" si="1"/>
        <v>&lt;ejgster.o@novaposhta.ua&gt;</v>
      </c>
    </row>
    <row r="20" spans="1:8" x14ac:dyDescent="0.3">
      <c r="A20" s="39" t="s">
        <v>920</v>
      </c>
      <c r="G20" s="39">
        <f t="shared" si="0"/>
        <v>14</v>
      </c>
      <c r="H20" s="39" t="str">
        <f t="shared" si="1"/>
        <v>&lt;emeljanov.r@novaposhta.ua&gt;</v>
      </c>
    </row>
    <row r="21" spans="1:8" x14ac:dyDescent="0.3">
      <c r="A21" s="39" t="s">
        <v>921</v>
      </c>
      <c r="G21" s="39">
        <f t="shared" si="0"/>
        <v>11</v>
      </c>
      <c r="H21" s="39" t="str">
        <f t="shared" si="1"/>
        <v>&lt;fisun.ie@novaposhta.ua&gt;</v>
      </c>
    </row>
    <row r="22" spans="1:8" x14ac:dyDescent="0.3">
      <c r="A22" s="39" t="s">
        <v>922</v>
      </c>
      <c r="G22" s="39">
        <f t="shared" si="0"/>
        <v>11</v>
      </c>
      <c r="H22" s="39" t="str">
        <f t="shared" si="1"/>
        <v>&lt;frunze.a@novaposhta.ua&gt;</v>
      </c>
    </row>
    <row r="23" spans="1:8" x14ac:dyDescent="0.3">
      <c r="A23" s="39" t="s">
        <v>923</v>
      </c>
      <c r="G23" s="39">
        <f t="shared" si="0"/>
        <v>11</v>
      </c>
      <c r="H23" s="39" t="str">
        <f t="shared" si="1"/>
        <v>&lt;gabrus.r@novaposhta.ua&gt;</v>
      </c>
    </row>
    <row r="24" spans="1:8" x14ac:dyDescent="0.3">
      <c r="A24" s="39" t="s">
        <v>924</v>
      </c>
      <c r="G24" s="39">
        <f t="shared" si="0"/>
        <v>11</v>
      </c>
      <c r="H24" s="39" t="str">
        <f t="shared" si="1"/>
        <v>&lt;gerega.o@novaposhta.ua&gt;</v>
      </c>
    </row>
    <row r="25" spans="1:8" x14ac:dyDescent="0.3">
      <c r="A25" s="39" t="s">
        <v>925</v>
      </c>
      <c r="G25" s="39">
        <f t="shared" si="0"/>
        <v>11</v>
      </c>
      <c r="H25" s="39" t="str">
        <f t="shared" si="1"/>
        <v>&lt;glebov.i@novaposhta.ua&gt;</v>
      </c>
    </row>
    <row r="26" spans="1:8" x14ac:dyDescent="0.3">
      <c r="A26" s="39" t="s">
        <v>926</v>
      </c>
      <c r="G26" s="39">
        <f t="shared" si="0"/>
        <v>13</v>
      </c>
      <c r="H26" s="39" t="str">
        <f t="shared" si="1"/>
        <v>&lt;glushko.io@novaposhta.ua&gt;</v>
      </c>
    </row>
    <row r="27" spans="1:8" x14ac:dyDescent="0.3">
      <c r="A27" s="39" t="s">
        <v>927</v>
      </c>
      <c r="G27" s="39">
        <f t="shared" si="0"/>
        <v>12</v>
      </c>
      <c r="H27" s="39" t="str">
        <f t="shared" si="1"/>
        <v>&lt;golovko.s@novaposhta.ua&gt;</v>
      </c>
    </row>
    <row r="28" spans="1:8" x14ac:dyDescent="0.3">
      <c r="A28" s="39" t="s">
        <v>928</v>
      </c>
      <c r="G28" s="39">
        <f t="shared" si="0"/>
        <v>11</v>
      </c>
      <c r="H28" s="39" t="str">
        <f t="shared" si="1"/>
        <v>&lt;gonak.ya@novaposhta.ua&gt;</v>
      </c>
    </row>
    <row r="29" spans="1:8" x14ac:dyDescent="0.3">
      <c r="A29" s="39" t="s">
        <v>929</v>
      </c>
      <c r="G29" s="39">
        <f t="shared" si="0"/>
        <v>18</v>
      </c>
      <c r="H29" s="39" t="str">
        <f t="shared" si="1"/>
        <v>&lt;goncharenko.vyu@novaposhta.ua&gt;</v>
      </c>
    </row>
    <row r="30" spans="1:8" x14ac:dyDescent="0.3">
      <c r="A30" s="39" t="s">
        <v>930</v>
      </c>
      <c r="G30" s="39">
        <f t="shared" si="0"/>
        <v>9</v>
      </c>
      <c r="H30" s="39" t="str">
        <f t="shared" si="1"/>
        <v>&lt;gorb.a@novaposhta.ua&gt;</v>
      </c>
    </row>
    <row r="31" spans="1:8" x14ac:dyDescent="0.3">
      <c r="A31" s="39" t="s">
        <v>931</v>
      </c>
      <c r="G31" s="39">
        <f t="shared" si="0"/>
        <v>14</v>
      </c>
      <c r="H31" s="39" t="str">
        <f t="shared" si="1"/>
        <v>&lt;goretskyj.a@novaposhta.ua&gt;</v>
      </c>
    </row>
    <row r="32" spans="1:8" x14ac:dyDescent="0.3">
      <c r="A32" s="39" t="s">
        <v>932</v>
      </c>
      <c r="G32" s="39">
        <f t="shared" si="0"/>
        <v>15</v>
      </c>
      <c r="H32" s="39" t="str">
        <f t="shared" si="1"/>
        <v>&lt;gorkavchuk.r@novaposhta.ua&gt;</v>
      </c>
    </row>
    <row r="33" spans="1:8" x14ac:dyDescent="0.3">
      <c r="A33" s="39" t="s">
        <v>933</v>
      </c>
      <c r="G33" s="39">
        <f t="shared" si="0"/>
        <v>10</v>
      </c>
      <c r="H33" s="39" t="str">
        <f t="shared" si="1"/>
        <v>&lt;gurev.v@novaposhta.ua&gt;</v>
      </c>
    </row>
    <row r="34" spans="1:8" x14ac:dyDescent="0.3">
      <c r="A34" s="39" t="s">
        <v>934</v>
      </c>
      <c r="G34" s="39">
        <f t="shared" si="0"/>
        <v>13</v>
      </c>
      <c r="H34" s="39" t="str">
        <f t="shared" si="1"/>
        <v>&lt;huraskin.a@novaposhta.ua&gt;</v>
      </c>
    </row>
    <row r="35" spans="1:8" x14ac:dyDescent="0.3">
      <c r="A35" s="39" t="s">
        <v>935</v>
      </c>
      <c r="G35" s="39">
        <f t="shared" si="0"/>
        <v>11</v>
      </c>
      <c r="H35" s="39" t="str">
        <f t="shared" si="1"/>
        <v>&lt;hyrman.z@novaposhta.ua&gt;</v>
      </c>
    </row>
    <row r="36" spans="1:8" x14ac:dyDescent="0.3">
      <c r="A36" s="39" t="s">
        <v>936</v>
      </c>
      <c r="G36" s="39">
        <f t="shared" si="0"/>
        <v>11</v>
      </c>
      <c r="H36" s="39" t="str">
        <f t="shared" si="1"/>
        <v>&lt;ivaniv.o@novaposhta.ua&gt;</v>
      </c>
    </row>
    <row r="37" spans="1:8" x14ac:dyDescent="0.3">
      <c r="A37" s="39" t="s">
        <v>937</v>
      </c>
      <c r="G37" s="39">
        <f t="shared" si="0"/>
        <v>13</v>
      </c>
      <c r="H37" s="39" t="str">
        <f t="shared" si="1"/>
        <v>&lt;iziumets.v@novaposhta.ua&gt;</v>
      </c>
    </row>
    <row r="38" spans="1:8" x14ac:dyDescent="0.3">
      <c r="A38" s="39" t="s">
        <v>938</v>
      </c>
      <c r="G38" s="39">
        <f t="shared" si="0"/>
        <v>14</v>
      </c>
      <c r="H38" s="39" t="str">
        <f t="shared" si="1"/>
        <v>&lt;jarovuj.i.v@novaposhta.ua&gt;</v>
      </c>
    </row>
    <row r="39" spans="1:8" x14ac:dyDescent="0.3">
      <c r="A39" s="39" t="s">
        <v>939</v>
      </c>
      <c r="G39" s="39">
        <f t="shared" si="0"/>
        <v>14</v>
      </c>
      <c r="H39" s="39" t="str">
        <f t="shared" si="1"/>
        <v>&lt;kapliyeva.y@novaposhta.ua&gt;</v>
      </c>
    </row>
    <row r="40" spans="1:8" x14ac:dyDescent="0.3">
      <c r="A40" s="39" t="s">
        <v>940</v>
      </c>
      <c r="G40" s="39">
        <f t="shared" si="0"/>
        <v>10</v>
      </c>
      <c r="H40" s="39" t="str">
        <f t="shared" si="1"/>
        <v>&lt;kasko.i@novaposhta.ua&gt;</v>
      </c>
    </row>
    <row r="41" spans="1:8" x14ac:dyDescent="0.3">
      <c r="A41" s="39" t="s">
        <v>941</v>
      </c>
      <c r="G41" s="39">
        <f t="shared" si="0"/>
        <v>16</v>
      </c>
      <c r="H41" s="39" t="str">
        <f t="shared" si="1"/>
        <v>&lt;kharchenko.my@novaposhta.ua&gt;</v>
      </c>
    </row>
    <row r="42" spans="1:8" x14ac:dyDescent="0.3">
      <c r="A42" s="39" t="s">
        <v>942</v>
      </c>
      <c r="G42" s="39">
        <f t="shared" si="0"/>
        <v>16</v>
      </c>
      <c r="H42" s="39" t="str">
        <f t="shared" si="1"/>
        <v>&lt;kharkavlyuk.a@novaposhta.ua&gt;</v>
      </c>
    </row>
    <row r="43" spans="1:8" x14ac:dyDescent="0.3">
      <c r="A43" s="39" t="s">
        <v>943</v>
      </c>
      <c r="G43" s="39">
        <f t="shared" si="0"/>
        <v>16</v>
      </c>
      <c r="H43" s="39" t="str">
        <f t="shared" si="1"/>
        <v>&lt;kobylyanska.y@novaposhta.ua&gt;</v>
      </c>
    </row>
    <row r="44" spans="1:8" x14ac:dyDescent="0.3">
      <c r="A44" s="39" t="s">
        <v>944</v>
      </c>
      <c r="G44" s="39">
        <f t="shared" si="0"/>
        <v>13</v>
      </c>
      <c r="H44" s="39" t="str">
        <f t="shared" si="1"/>
        <v>&lt;konevych.a@novaposhta.ua&gt;</v>
      </c>
    </row>
    <row r="45" spans="1:8" x14ac:dyDescent="0.3">
      <c r="A45" s="39" t="s">
        <v>945</v>
      </c>
      <c r="G45" s="39">
        <f t="shared" si="0"/>
        <v>14</v>
      </c>
      <c r="H45" s="39" t="str">
        <f t="shared" si="1"/>
        <v>&lt;konovalov.g@novaposhta.ua&gt;</v>
      </c>
    </row>
    <row r="46" spans="1:8" x14ac:dyDescent="0.3">
      <c r="A46" s="39" t="s">
        <v>946</v>
      </c>
      <c r="G46" s="39">
        <f t="shared" si="0"/>
        <v>13</v>
      </c>
      <c r="H46" s="39" t="str">
        <f t="shared" si="1"/>
        <v>&lt;korytniy.m@novaposhta.ua&gt;</v>
      </c>
    </row>
    <row r="47" spans="1:8" x14ac:dyDescent="0.3">
      <c r="A47" s="39" t="s">
        <v>947</v>
      </c>
      <c r="G47" s="39">
        <f t="shared" si="0"/>
        <v>10</v>
      </c>
      <c r="H47" s="39" t="str">
        <f t="shared" si="1"/>
        <v>&lt;korzh.l@novaposhta.ua&gt;</v>
      </c>
    </row>
    <row r="48" spans="1:8" x14ac:dyDescent="0.3">
      <c r="A48" s="39" t="s">
        <v>948</v>
      </c>
      <c r="G48" s="39">
        <f t="shared" si="0"/>
        <v>15</v>
      </c>
      <c r="H48" s="39" t="str">
        <f t="shared" si="1"/>
        <v>&lt;kovalchuk.im@novaposhta.ua&gt;</v>
      </c>
    </row>
    <row r="49" spans="1:8" x14ac:dyDescent="0.3">
      <c r="A49" s="39" t="s">
        <v>949</v>
      </c>
      <c r="G49" s="39">
        <f t="shared" si="0"/>
        <v>14</v>
      </c>
      <c r="H49" s="39" t="str">
        <f t="shared" si="1"/>
        <v>&lt;kovalenko.b@novaposhta.ua&gt;</v>
      </c>
    </row>
    <row r="50" spans="1:8" x14ac:dyDescent="0.3">
      <c r="A50" s="39" t="s">
        <v>950</v>
      </c>
      <c r="G50" s="39">
        <f t="shared" si="0"/>
        <v>15</v>
      </c>
      <c r="H50" s="39" t="str">
        <f t="shared" si="1"/>
        <v>&lt;kovalenko.do@novaposhta.ua&gt;</v>
      </c>
    </row>
    <row r="51" spans="1:8" x14ac:dyDescent="0.3">
      <c r="A51" s="39" t="s">
        <v>951</v>
      </c>
      <c r="G51" s="39">
        <f t="shared" si="0"/>
        <v>14</v>
      </c>
      <c r="H51" s="39" t="str">
        <f t="shared" si="1"/>
        <v>&lt;kovalenko.y@novaposhta.ua&gt;</v>
      </c>
    </row>
    <row r="52" spans="1:8" x14ac:dyDescent="0.3">
      <c r="A52" s="39" t="s">
        <v>952</v>
      </c>
      <c r="G52" s="39">
        <f t="shared" si="0"/>
        <v>11</v>
      </c>
      <c r="H52" s="39" t="str">
        <f t="shared" si="1"/>
        <v>&lt;kovtok.r@novaposhta.ua&gt;</v>
      </c>
    </row>
    <row r="53" spans="1:8" x14ac:dyDescent="0.3">
      <c r="A53" s="39" t="s">
        <v>953</v>
      </c>
      <c r="G53" s="39">
        <f t="shared" si="0"/>
        <v>13</v>
      </c>
      <c r="H53" s="39" t="str">
        <f t="shared" si="1"/>
        <v>&lt;kravtsov.a@novaposhta.ua&gt;</v>
      </c>
    </row>
    <row r="54" spans="1:8" x14ac:dyDescent="0.3">
      <c r="A54" s="39" t="s">
        <v>954</v>
      </c>
      <c r="G54" s="39">
        <f t="shared" si="0"/>
        <v>11</v>
      </c>
      <c r="H54" s="39" t="str">
        <f t="shared" si="1"/>
        <v>&lt;kudlaj.o@novaposhta.ua&gt;</v>
      </c>
    </row>
    <row r="55" spans="1:8" x14ac:dyDescent="0.3">
      <c r="A55" s="39" t="s">
        <v>955</v>
      </c>
      <c r="G55" s="39">
        <f t="shared" si="0"/>
        <v>13</v>
      </c>
      <c r="H55" s="39" t="str">
        <f t="shared" si="1"/>
        <v>&lt;kuzalova.o@novaposhta.ua&gt;</v>
      </c>
    </row>
    <row r="56" spans="1:8" x14ac:dyDescent="0.3">
      <c r="A56" s="39" t="s">
        <v>956</v>
      </c>
      <c r="G56" s="39">
        <f t="shared" si="0"/>
        <v>13</v>
      </c>
      <c r="H56" s="39" t="str">
        <f t="shared" si="1"/>
        <v>&lt;lipinska.o@novaposhta.ua&gt;</v>
      </c>
    </row>
    <row r="57" spans="1:8" x14ac:dyDescent="0.3">
      <c r="A57" s="39" t="s">
        <v>957</v>
      </c>
      <c r="G57" s="39">
        <f t="shared" si="0"/>
        <v>11</v>
      </c>
      <c r="H57" s="39" t="str">
        <f t="shared" si="1"/>
        <v>&lt;lozova.m@novaposhta.ua&gt;</v>
      </c>
    </row>
    <row r="58" spans="1:8" x14ac:dyDescent="0.3">
      <c r="A58" s="39" t="s">
        <v>958</v>
      </c>
      <c r="G58" s="39">
        <f t="shared" si="0"/>
        <v>12</v>
      </c>
      <c r="H58" s="39" t="str">
        <f t="shared" si="1"/>
        <v>&lt;lusenko.n@novaposhta.ua&gt;</v>
      </c>
    </row>
    <row r="59" spans="1:8" x14ac:dyDescent="0.3">
      <c r="A59" s="39" t="s">
        <v>959</v>
      </c>
      <c r="G59" s="39">
        <f t="shared" si="0"/>
        <v>15</v>
      </c>
      <c r="H59" s="39" t="str">
        <f t="shared" si="1"/>
        <v>&lt;malovanyi.yu@novaposhta.ua&gt;</v>
      </c>
    </row>
    <row r="60" spans="1:8" x14ac:dyDescent="0.3">
      <c r="A60" s="39" t="s">
        <v>960</v>
      </c>
      <c r="G60" s="39">
        <f t="shared" si="0"/>
        <v>12</v>
      </c>
      <c r="H60" s="39" t="str">
        <f t="shared" si="1"/>
        <v>&lt;marinov.e@novaposhta.ua&gt;</v>
      </c>
    </row>
    <row r="61" spans="1:8" x14ac:dyDescent="0.3">
      <c r="A61" s="39" t="s">
        <v>961</v>
      </c>
      <c r="G61" s="39">
        <f t="shared" si="0"/>
        <v>12</v>
      </c>
      <c r="H61" s="39" t="str">
        <f t="shared" si="1"/>
        <v>&lt;marshak.d@novaposhta.ua&gt;</v>
      </c>
    </row>
    <row r="62" spans="1:8" x14ac:dyDescent="0.3">
      <c r="A62" s="39" t="s">
        <v>962</v>
      </c>
      <c r="G62" s="39">
        <f t="shared" si="0"/>
        <v>11</v>
      </c>
      <c r="H62" s="39" t="str">
        <f t="shared" si="1"/>
        <v>&lt;melnyk.r@novaposhta.ua&gt;</v>
      </c>
    </row>
    <row r="63" spans="1:8" x14ac:dyDescent="0.3">
      <c r="A63" s="39" t="s">
        <v>963</v>
      </c>
      <c r="G63" s="39">
        <f t="shared" si="0"/>
        <v>14</v>
      </c>
      <c r="H63" s="39" t="str">
        <f t="shared" si="1"/>
        <v>&lt;mischenko.o@novaposhta.ua&gt;</v>
      </c>
    </row>
    <row r="64" spans="1:8" x14ac:dyDescent="0.3">
      <c r="A64" s="39" t="s">
        <v>964</v>
      </c>
      <c r="G64" s="39">
        <f t="shared" si="0"/>
        <v>13</v>
      </c>
      <c r="H64" s="39" t="str">
        <f t="shared" si="1"/>
        <v>&lt;motorniy.v@novaposhta.ua&gt;</v>
      </c>
    </row>
    <row r="65" spans="1:8" x14ac:dyDescent="0.3">
      <c r="A65" s="39" t="s">
        <v>965</v>
      </c>
      <c r="G65" s="39">
        <f t="shared" si="0"/>
        <v>13</v>
      </c>
      <c r="H65" s="39" t="str">
        <f t="shared" si="1"/>
        <v>&lt;muravyov.o@novaposhta.ua&gt;</v>
      </c>
    </row>
    <row r="66" spans="1:8" x14ac:dyDescent="0.3">
      <c r="A66" s="39" t="s">
        <v>966</v>
      </c>
      <c r="G66" s="39">
        <f t="shared" ref="G66:G129" si="2">SEARCH("&lt;",A66)</f>
        <v>16</v>
      </c>
      <c r="H66" s="39" t="str">
        <f t="shared" ref="H66:H129" si="3">MID(A66,G66,100)</f>
        <v>&lt;myhajlevych.v@novaposhta.ua&gt;</v>
      </c>
    </row>
    <row r="67" spans="1:8" x14ac:dyDescent="0.3">
      <c r="A67" s="39" t="s">
        <v>967</v>
      </c>
      <c r="G67" s="39">
        <f t="shared" si="2"/>
        <v>12</v>
      </c>
      <c r="H67" s="39" t="str">
        <f t="shared" si="3"/>
        <v>&lt;oliinyk.d@novaposhta.ua&gt;</v>
      </c>
    </row>
    <row r="68" spans="1:8" x14ac:dyDescent="0.3">
      <c r="A68" s="39" t="s">
        <v>968</v>
      </c>
      <c r="G68" s="39">
        <f t="shared" si="2"/>
        <v>16</v>
      </c>
      <c r="H68" s="39" t="str">
        <f t="shared" si="3"/>
        <v>&lt;onyshchenko.d@novaposhta.ua&gt;</v>
      </c>
    </row>
    <row r="69" spans="1:8" x14ac:dyDescent="0.3">
      <c r="A69" s="39" t="s">
        <v>969</v>
      </c>
      <c r="G69" s="39">
        <f t="shared" si="2"/>
        <v>9</v>
      </c>
      <c r="H69" s="39" t="str">
        <f t="shared" si="3"/>
        <v>&lt;orap.s@novaposhta.ua&gt;</v>
      </c>
    </row>
    <row r="70" spans="1:8" x14ac:dyDescent="0.3">
      <c r="A70" s="39" t="s">
        <v>970</v>
      </c>
      <c r="G70" s="39">
        <f t="shared" si="2"/>
        <v>16</v>
      </c>
      <c r="H70" s="39" t="str">
        <f t="shared" si="3"/>
        <v>&lt;paraschenko.d@novaposhta.ua&gt;</v>
      </c>
    </row>
    <row r="71" spans="1:8" x14ac:dyDescent="0.3">
      <c r="A71" s="39" t="s">
        <v>971</v>
      </c>
      <c r="G71" s="39">
        <f t="shared" si="2"/>
        <v>10</v>
      </c>
      <c r="H71" s="39" t="str">
        <f t="shared" si="3"/>
        <v>&lt;pazij.e@novaposhta.ua&gt;</v>
      </c>
    </row>
    <row r="72" spans="1:8" x14ac:dyDescent="0.3">
      <c r="A72" s="39" t="s">
        <v>972</v>
      </c>
      <c r="G72" s="39">
        <f t="shared" si="2"/>
        <v>10</v>
      </c>
      <c r="H72" s="39" t="str">
        <f t="shared" si="3"/>
        <v>&lt;pedko.i@novaposhta.ua&gt;</v>
      </c>
    </row>
    <row r="73" spans="1:8" x14ac:dyDescent="0.3">
      <c r="A73" s="39" t="s">
        <v>973</v>
      </c>
      <c r="G73" s="39">
        <f t="shared" si="2"/>
        <v>14</v>
      </c>
      <c r="H73" s="39" t="str">
        <f t="shared" si="3"/>
        <v>&lt;podolyaka.v@novaposhta.ua&gt;</v>
      </c>
    </row>
    <row r="74" spans="1:8" x14ac:dyDescent="0.3">
      <c r="A74" s="39" t="s">
        <v>974</v>
      </c>
      <c r="G74" s="39">
        <f t="shared" si="2"/>
        <v>16</v>
      </c>
      <c r="H74" s="39" t="str">
        <f t="shared" si="3"/>
        <v>&lt;polivanchuk.m@novaposhta.ua&gt;</v>
      </c>
    </row>
    <row r="75" spans="1:8" x14ac:dyDescent="0.3">
      <c r="A75" s="39" t="s">
        <v>975</v>
      </c>
      <c r="G75" s="39">
        <f t="shared" si="2"/>
        <v>13</v>
      </c>
      <c r="H75" s="39" t="str">
        <f t="shared" si="3"/>
        <v>&lt;prihodko.p@novaposhta.ua&gt;</v>
      </c>
    </row>
    <row r="76" spans="1:8" x14ac:dyDescent="0.3">
      <c r="A76" s="39" t="s">
        <v>976</v>
      </c>
      <c r="G76" s="39">
        <f t="shared" si="2"/>
        <v>13</v>
      </c>
      <c r="H76" s="39" t="str">
        <f t="shared" si="3"/>
        <v>&lt;prokopoe.a@novaposhta.ua&gt;</v>
      </c>
    </row>
    <row r="77" spans="1:8" x14ac:dyDescent="0.3">
      <c r="A77" s="39" t="s">
        <v>977</v>
      </c>
      <c r="G77" s="39">
        <f t="shared" si="2"/>
        <v>14</v>
      </c>
      <c r="H77" s="39" t="str">
        <f t="shared" si="3"/>
        <v>&lt;prybylova.i@novaposhta.ua&gt;</v>
      </c>
    </row>
    <row r="78" spans="1:8" x14ac:dyDescent="0.3">
      <c r="A78" s="39" t="s">
        <v>978</v>
      </c>
      <c r="G78" s="39">
        <f t="shared" si="2"/>
        <v>13</v>
      </c>
      <c r="H78" s="39" t="str">
        <f t="shared" si="3"/>
        <v>&lt;putilina.k@novaposhta.ua&gt;</v>
      </c>
    </row>
    <row r="79" spans="1:8" x14ac:dyDescent="0.3">
      <c r="A79" s="39" t="s">
        <v>979</v>
      </c>
      <c r="G79" s="39">
        <f t="shared" si="2"/>
        <v>12</v>
      </c>
      <c r="H79" s="39" t="str">
        <f t="shared" si="3"/>
        <v>&lt;pylypuk.a@novaposhta.ua&gt;</v>
      </c>
    </row>
    <row r="80" spans="1:8" x14ac:dyDescent="0.3">
      <c r="A80" s="39" t="s">
        <v>980</v>
      </c>
      <c r="G80" s="39">
        <f t="shared" si="2"/>
        <v>11</v>
      </c>
      <c r="H80" s="39" t="str">
        <f t="shared" si="3"/>
        <v>&lt;rahuba.m@novaposhta.ua&gt;</v>
      </c>
    </row>
    <row r="81" spans="1:8" x14ac:dyDescent="0.3">
      <c r="A81" s="39" t="s">
        <v>981</v>
      </c>
      <c r="G81" s="39">
        <f t="shared" si="2"/>
        <v>12</v>
      </c>
      <c r="H81" s="39" t="str">
        <f t="shared" si="3"/>
        <v>&lt;romanov.a@novaposhta.ua&gt;</v>
      </c>
    </row>
    <row r="82" spans="1:8" x14ac:dyDescent="0.3">
      <c r="A82" s="39" t="s">
        <v>982</v>
      </c>
      <c r="G82" s="39">
        <f t="shared" si="2"/>
        <v>12</v>
      </c>
      <c r="H82" s="39" t="str">
        <f t="shared" si="3"/>
        <v>&lt;rylenko.v@novaposhta.ua&gt;</v>
      </c>
    </row>
    <row r="83" spans="1:8" x14ac:dyDescent="0.3">
      <c r="A83" s="39" t="s">
        <v>983</v>
      </c>
      <c r="G83" s="39">
        <f t="shared" si="2"/>
        <v>14</v>
      </c>
      <c r="H83" s="39" t="str">
        <f t="shared" si="3"/>
        <v>&lt;rymarchuk.o@novaposhta.ua&gt;</v>
      </c>
    </row>
    <row r="84" spans="1:8" x14ac:dyDescent="0.3">
      <c r="A84" s="39" t="s">
        <v>984</v>
      </c>
      <c r="G84" s="39">
        <f t="shared" si="2"/>
        <v>14</v>
      </c>
      <c r="H84" s="39" t="str">
        <f t="shared" si="3"/>
        <v>&lt;samodurov.d@novaposhta.ua&gt;</v>
      </c>
    </row>
    <row r="85" spans="1:8" x14ac:dyDescent="0.3">
      <c r="A85" s="39" t="s">
        <v>985</v>
      </c>
      <c r="G85" s="39">
        <f t="shared" si="2"/>
        <v>12</v>
      </c>
      <c r="H85" s="39" t="str">
        <f t="shared" si="3"/>
        <v>&lt;samohin.v@novaposhta.ua&gt;</v>
      </c>
    </row>
    <row r="86" spans="1:8" x14ac:dyDescent="0.3">
      <c r="A86" s="39" t="s">
        <v>986</v>
      </c>
      <c r="G86" s="39">
        <f t="shared" si="2"/>
        <v>10</v>
      </c>
      <c r="H86" s="39" t="str">
        <f t="shared" si="3"/>
        <v>&lt;sasaj.s@novaposhta.ua&gt;</v>
      </c>
    </row>
    <row r="87" spans="1:8" x14ac:dyDescent="0.3">
      <c r="A87" s="39" t="s">
        <v>987</v>
      </c>
      <c r="G87" s="39">
        <f t="shared" si="2"/>
        <v>11</v>
      </c>
      <c r="H87" s="39" t="str">
        <f t="shared" si="3"/>
        <v>&lt;shajda.i@novaposhta.ua&gt;</v>
      </c>
    </row>
    <row r="88" spans="1:8" x14ac:dyDescent="0.3">
      <c r="A88" s="39" t="s">
        <v>988</v>
      </c>
      <c r="G88" s="39">
        <f t="shared" si="2"/>
        <v>13</v>
      </c>
      <c r="H88" s="39" t="str">
        <f t="shared" si="3"/>
        <v>&lt;shapoval.s@novaposhta.ua&gt;</v>
      </c>
    </row>
    <row r="89" spans="1:8" x14ac:dyDescent="0.3">
      <c r="A89" s="39" t="s">
        <v>989</v>
      </c>
      <c r="G89" s="39">
        <f t="shared" si="2"/>
        <v>12</v>
      </c>
      <c r="H89" s="39" t="str">
        <f t="shared" si="3"/>
        <v>&lt;shapran.s@novaposhta.ua&gt;</v>
      </c>
    </row>
    <row r="90" spans="1:8" x14ac:dyDescent="0.3">
      <c r="A90" s="39" t="s">
        <v>990</v>
      </c>
      <c r="G90" s="39">
        <f t="shared" si="2"/>
        <v>13</v>
      </c>
      <c r="H90" s="39" t="str">
        <f t="shared" si="3"/>
        <v>&lt;shevchuk.s@novaposhta.ua&gt;</v>
      </c>
    </row>
    <row r="91" spans="1:8" x14ac:dyDescent="0.3">
      <c r="A91" s="39" t="s">
        <v>991</v>
      </c>
      <c r="G91" s="39">
        <f t="shared" si="2"/>
        <v>12</v>
      </c>
      <c r="H91" s="39" t="str">
        <f t="shared" si="3"/>
        <v>&lt;shlapak.m@novaposhta.ua&gt;</v>
      </c>
    </row>
    <row r="92" spans="1:8" x14ac:dyDescent="0.3">
      <c r="A92" s="39" t="s">
        <v>992</v>
      </c>
      <c r="G92" s="39">
        <f t="shared" si="2"/>
        <v>10</v>
      </c>
      <c r="H92" s="39" t="str">
        <f t="shared" si="3"/>
        <v>&lt;shved.v@novaposhta.ua&gt;</v>
      </c>
    </row>
    <row r="93" spans="1:8" x14ac:dyDescent="0.3">
      <c r="A93" s="39" t="s">
        <v>993</v>
      </c>
      <c r="G93" s="39">
        <f t="shared" si="2"/>
        <v>16</v>
      </c>
      <c r="H93" s="39" t="str">
        <f t="shared" si="3"/>
        <v>&lt;shvydchenko.o@novaposhta.ua&gt;</v>
      </c>
    </row>
    <row r="94" spans="1:8" x14ac:dyDescent="0.3">
      <c r="A94" s="39" t="s">
        <v>994</v>
      </c>
      <c r="G94" s="39">
        <f t="shared" si="2"/>
        <v>14</v>
      </c>
      <c r="H94" s="39" t="str">
        <f t="shared" si="3"/>
        <v>&lt;shyshanov.o@novaposhta.ua&gt;</v>
      </c>
    </row>
    <row r="95" spans="1:8" x14ac:dyDescent="0.3">
      <c r="A95" s="39" t="s">
        <v>995</v>
      </c>
      <c r="G95" s="39">
        <f t="shared" si="2"/>
        <v>10</v>
      </c>
      <c r="H95" s="39" t="str">
        <f t="shared" si="3"/>
        <v>&lt;simon.o@novaposhta.ua&gt;</v>
      </c>
    </row>
    <row r="96" spans="1:8" x14ac:dyDescent="0.3">
      <c r="A96" s="39" t="s">
        <v>996</v>
      </c>
      <c r="G96" s="39">
        <f t="shared" si="2"/>
        <v>15</v>
      </c>
      <c r="H96" s="39" t="str">
        <f t="shared" si="3"/>
        <v>&lt;smiianenko.d@novaposhta.ua&gt;</v>
      </c>
    </row>
    <row r="97" spans="1:8" x14ac:dyDescent="0.3">
      <c r="A97" s="39" t="s">
        <v>997</v>
      </c>
      <c r="G97" s="39">
        <f t="shared" si="2"/>
        <v>14</v>
      </c>
      <c r="H97" s="39" t="str">
        <f t="shared" si="3"/>
        <v>&lt;sokolova.vm@novaposhta.ua&gt;</v>
      </c>
    </row>
    <row r="98" spans="1:8" x14ac:dyDescent="0.3">
      <c r="A98" s="39" t="s">
        <v>998</v>
      </c>
      <c r="G98" s="39">
        <f t="shared" si="2"/>
        <v>13</v>
      </c>
      <c r="H98" s="39" t="str">
        <f t="shared" si="3"/>
        <v>&lt;solovyov.y@novaposhta.ua&gt;</v>
      </c>
    </row>
    <row r="99" spans="1:8" x14ac:dyDescent="0.3">
      <c r="A99" s="39" t="s">
        <v>999</v>
      </c>
      <c r="G99" s="39">
        <f t="shared" si="2"/>
        <v>11</v>
      </c>
      <c r="H99" s="39" t="str">
        <f t="shared" si="3"/>
        <v>&lt;strypa.t@novaposhta.ua&gt;</v>
      </c>
    </row>
    <row r="100" spans="1:8" x14ac:dyDescent="0.3">
      <c r="A100" s="39" t="s">
        <v>1000</v>
      </c>
      <c r="G100" s="39">
        <f t="shared" si="2"/>
        <v>13</v>
      </c>
      <c r="H100" s="39" t="str">
        <f t="shared" si="3"/>
        <v>&lt;suprunov.o@novaposhta.ua&gt;</v>
      </c>
    </row>
    <row r="101" spans="1:8" x14ac:dyDescent="0.3">
      <c r="A101" s="39" t="s">
        <v>1001</v>
      </c>
      <c r="G101" s="39">
        <f t="shared" si="2"/>
        <v>13</v>
      </c>
      <c r="H101" s="39" t="str">
        <f t="shared" si="3"/>
        <v>&lt;symonov.sv@novaposhta.ua&gt;</v>
      </c>
    </row>
    <row r="102" spans="1:8" x14ac:dyDescent="0.3">
      <c r="A102" s="39" t="s">
        <v>1002</v>
      </c>
      <c r="G102" s="39">
        <f t="shared" si="2"/>
        <v>14</v>
      </c>
      <c r="H102" s="39" t="str">
        <f t="shared" si="3"/>
        <v>&lt;tafiychuk.e@novaposhta.ua&gt;</v>
      </c>
    </row>
    <row r="103" spans="1:8" x14ac:dyDescent="0.3">
      <c r="A103" s="39" t="s">
        <v>1003</v>
      </c>
      <c r="G103" s="39">
        <f t="shared" si="2"/>
        <v>15</v>
      </c>
      <c r="H103" s="39" t="str">
        <f t="shared" si="3"/>
        <v>&lt;ternavskij.o@novaposhta.ua&gt;</v>
      </c>
    </row>
    <row r="104" spans="1:8" x14ac:dyDescent="0.3">
      <c r="A104" s="39" t="s">
        <v>1004</v>
      </c>
      <c r="G104" s="39">
        <f t="shared" si="2"/>
        <v>15</v>
      </c>
      <c r="H104" s="39" t="str">
        <f t="shared" si="3"/>
        <v>&lt;tjutjunnyk.t@novaposhta.ua&gt;</v>
      </c>
    </row>
    <row r="105" spans="1:8" x14ac:dyDescent="0.3">
      <c r="A105" s="39" t="s">
        <v>1005</v>
      </c>
      <c r="G105" s="39">
        <f t="shared" si="2"/>
        <v>13</v>
      </c>
      <c r="H105" s="39" t="str">
        <f t="shared" si="3"/>
        <v>&lt;tkachuk.yu@novaposhta.ua&gt;</v>
      </c>
    </row>
    <row r="106" spans="1:8" x14ac:dyDescent="0.3">
      <c r="A106" s="39" t="s">
        <v>1006</v>
      </c>
      <c r="G106" s="39">
        <f t="shared" si="2"/>
        <v>15</v>
      </c>
      <c r="H106" s="39" t="str">
        <f t="shared" si="3"/>
        <v>&lt;tonkogolos.r@novaposhta.ua&gt;</v>
      </c>
    </row>
    <row r="107" spans="1:8" x14ac:dyDescent="0.3">
      <c r="A107" s="39" t="s">
        <v>1007</v>
      </c>
      <c r="G107" s="39">
        <f t="shared" si="2"/>
        <v>12</v>
      </c>
      <c r="H107" s="39" t="str">
        <f t="shared" si="3"/>
        <v>&lt;topchak.d@novaposhta.ua&gt;</v>
      </c>
    </row>
    <row r="108" spans="1:8" x14ac:dyDescent="0.3">
      <c r="A108" s="39" t="s">
        <v>1008</v>
      </c>
      <c r="G108" s="39">
        <f t="shared" si="2"/>
        <v>14</v>
      </c>
      <c r="H108" s="39" t="str">
        <f t="shared" si="3"/>
        <v>&lt;vartanova.g@novaposhta.ua&gt;</v>
      </c>
    </row>
    <row r="109" spans="1:8" x14ac:dyDescent="0.3">
      <c r="A109" s="39" t="s">
        <v>1009</v>
      </c>
      <c r="G109" s="39">
        <f t="shared" si="2"/>
        <v>16</v>
      </c>
      <c r="H109" s="39" t="str">
        <f t="shared" si="3"/>
        <v>&lt;voinalovych.o@novaposhta.ua&gt;</v>
      </c>
    </row>
    <row r="110" spans="1:8" x14ac:dyDescent="0.3">
      <c r="A110" s="39" t="s">
        <v>1010</v>
      </c>
      <c r="G110" s="39">
        <f t="shared" si="2"/>
        <v>9</v>
      </c>
      <c r="H110" s="39" t="str">
        <f t="shared" si="3"/>
        <v>&lt;vojt.a@novaposhta.ua&gt;</v>
      </c>
    </row>
    <row r="111" spans="1:8" x14ac:dyDescent="0.3">
      <c r="A111" s="39" t="s">
        <v>1011</v>
      </c>
      <c r="G111" s="39">
        <f t="shared" si="2"/>
        <v>13</v>
      </c>
      <c r="H111" s="39" t="str">
        <f t="shared" si="3"/>
        <v>&lt;volochai.r@novaposhta.ua&gt;</v>
      </c>
    </row>
    <row r="112" spans="1:8" x14ac:dyDescent="0.3">
      <c r="A112" s="39" t="s">
        <v>1012</v>
      </c>
      <c r="G112" s="39">
        <f t="shared" si="2"/>
        <v>10</v>
      </c>
      <c r="H112" s="39" t="str">
        <f t="shared" si="3"/>
        <v>&lt;vovk.ye@novaposhta.ua&gt;</v>
      </c>
    </row>
    <row r="113" spans="1:8" x14ac:dyDescent="0.3">
      <c r="A113" s="39" t="s">
        <v>1013</v>
      </c>
      <c r="G113" s="39">
        <f t="shared" si="2"/>
        <v>13</v>
      </c>
      <c r="H113" s="39" t="str">
        <f t="shared" si="3"/>
        <v>&lt;vozniuk.sa@novaposhta.ua&gt;</v>
      </c>
    </row>
    <row r="114" spans="1:8" x14ac:dyDescent="0.3">
      <c r="A114" s="39" t="s">
        <v>1014</v>
      </c>
      <c r="G114" s="39">
        <f t="shared" si="2"/>
        <v>15</v>
      </c>
      <c r="H114" s="39" t="str">
        <f t="shared" si="3"/>
        <v>&lt;yermolenko.o@novaposhta.ua&gt;</v>
      </c>
    </row>
    <row r="115" spans="1:8" x14ac:dyDescent="0.3">
      <c r="A115" s="39" t="s">
        <v>1015</v>
      </c>
      <c r="G115" s="39">
        <f t="shared" si="2"/>
        <v>16</v>
      </c>
      <c r="H115" s="39" t="str">
        <f t="shared" si="3"/>
        <v>&lt;zadorozhnyi.p@novaposhta.ua&gt;</v>
      </c>
    </row>
    <row r="116" spans="1:8" x14ac:dyDescent="0.3">
      <c r="A116" s="39" t="s">
        <v>1016</v>
      </c>
      <c r="G116" s="39">
        <f t="shared" si="2"/>
        <v>16</v>
      </c>
      <c r="H116" s="39" t="str">
        <f t="shared" si="3"/>
        <v>&lt;zhavoronkov.m@novaposhta.ua&gt;</v>
      </c>
    </row>
    <row r="117" spans="1:8" x14ac:dyDescent="0.3">
      <c r="A117" s="39" t="s">
        <v>1017</v>
      </c>
      <c r="G117" s="39">
        <f t="shared" si="2"/>
        <v>14</v>
      </c>
      <c r="H117" s="39" t="str">
        <f t="shared" si="3"/>
        <v>&lt;zinishyn.dg@novaposhta.ua&gt;</v>
      </c>
    </row>
    <row r="118" spans="1:8" x14ac:dyDescent="0.3">
      <c r="A118" s="39" t="s">
        <v>1018</v>
      </c>
      <c r="G118" s="39">
        <f t="shared" si="2"/>
        <v>10</v>
      </c>
      <c r="H118" s="39" t="str">
        <f t="shared" si="3"/>
        <v>&lt;zykov.m@np.ua&gt;</v>
      </c>
    </row>
    <row r="119" spans="1:8" x14ac:dyDescent="0.3">
      <c r="A119" s="39" t="s">
        <v>1019</v>
      </c>
      <c r="G119" s="39">
        <f t="shared" si="2"/>
        <v>25</v>
      </c>
      <c r="H119" s="39" t="str">
        <f t="shared" si="3"/>
        <v>&lt;aheiev.a@forpost-system.com&gt;</v>
      </c>
    </row>
    <row r="120" spans="1:8" x14ac:dyDescent="0.3">
      <c r="A120" s="39" t="s">
        <v>1020</v>
      </c>
      <c r="G120" s="39">
        <f t="shared" si="2"/>
        <v>17</v>
      </c>
      <c r="H120" s="39" t="str">
        <f t="shared" si="3"/>
        <v>&lt;agilov.o@novaposhta.ua&gt;</v>
      </c>
    </row>
    <row r="121" spans="1:8" x14ac:dyDescent="0.3">
      <c r="A121" s="39" t="s">
        <v>1021</v>
      </c>
      <c r="G121" s="39">
        <f t="shared" si="2"/>
        <v>18</v>
      </c>
      <c r="H121" s="39" t="str">
        <f t="shared" si="3"/>
        <v>&lt;alekseev.sv@novaposhta.ua&gt;</v>
      </c>
    </row>
    <row r="122" spans="1:8" x14ac:dyDescent="0.3">
      <c r="A122" s="39" t="s">
        <v>1022</v>
      </c>
      <c r="G122" s="39">
        <f t="shared" si="2"/>
        <v>15</v>
      </c>
      <c r="H122" s="39" t="str">
        <f t="shared" si="3"/>
        <v>&lt;krupela.a@novaposhta.ua&gt;</v>
      </c>
    </row>
    <row r="123" spans="1:8" x14ac:dyDescent="0.3">
      <c r="A123" s="39" t="s">
        <v>1023</v>
      </c>
      <c r="G123" s="39">
        <f t="shared" si="2"/>
        <v>18</v>
      </c>
      <c r="H123" s="39" t="str">
        <f t="shared" si="3"/>
        <v>&lt;bajramova.a@novaposhta.ua&gt;</v>
      </c>
    </row>
    <row r="124" spans="1:8" x14ac:dyDescent="0.3">
      <c r="A124" s="39" t="s">
        <v>1024</v>
      </c>
      <c r="G124" s="39">
        <f t="shared" si="2"/>
        <v>18</v>
      </c>
      <c r="H124" s="39" t="str">
        <f t="shared" si="3"/>
        <v>&lt;backumenko.i@novaposhta.ua&gt;</v>
      </c>
    </row>
    <row r="125" spans="1:8" x14ac:dyDescent="0.3">
      <c r="A125" s="39" t="s">
        <v>1025</v>
      </c>
      <c r="G125" s="39">
        <f t="shared" si="2"/>
        <v>33</v>
      </c>
      <c r="H125" s="39" t="str">
        <f t="shared" si="3"/>
        <v>&lt;baranetska.ya@novaposhta.ua&gt;</v>
      </c>
    </row>
    <row r="126" spans="1:8" x14ac:dyDescent="0.3">
      <c r="A126" s="39" t="s">
        <v>1026</v>
      </c>
      <c r="G126" s="39">
        <f t="shared" si="2"/>
        <v>31</v>
      </c>
      <c r="H126" s="39" t="str">
        <f t="shared" si="3"/>
        <v>&lt;baranov.a@forpost-system.com&gt;</v>
      </c>
    </row>
    <row r="127" spans="1:8" x14ac:dyDescent="0.3">
      <c r="A127" s="39" t="s">
        <v>1027</v>
      </c>
      <c r="G127" s="39">
        <f t="shared" si="2"/>
        <v>20</v>
      </c>
      <c r="H127" s="39" t="str">
        <f t="shared" si="3"/>
        <v>&lt;batechko.o@novaposhta.ua&gt;</v>
      </c>
    </row>
    <row r="128" spans="1:8" x14ac:dyDescent="0.3">
      <c r="A128" s="39" t="s">
        <v>1028</v>
      </c>
      <c r="G128" s="39">
        <f t="shared" si="2"/>
        <v>24</v>
      </c>
      <c r="H128" s="39" t="str">
        <f t="shared" si="3"/>
        <v>&lt;berezutskiy.k@novaposhta.ua&gt;</v>
      </c>
    </row>
    <row r="129" spans="1:8" x14ac:dyDescent="0.3">
      <c r="A129" s="39" t="s">
        <v>1029</v>
      </c>
      <c r="G129" s="39">
        <f t="shared" si="2"/>
        <v>16</v>
      </c>
      <c r="H129" s="39" t="str">
        <f t="shared" si="3"/>
        <v>&lt;bessarab.i@novaposhta.ua&gt;</v>
      </c>
    </row>
    <row r="130" spans="1:8" x14ac:dyDescent="0.3">
      <c r="A130" s="39" t="s">
        <v>1030</v>
      </c>
      <c r="G130" s="39">
        <f t="shared" ref="G130:G193" si="4">SEARCH("&lt;",A130)</f>
        <v>33</v>
      </c>
      <c r="H130" s="39" t="str">
        <f t="shared" ref="H130:H193" si="5">MID(A130,G130,100)</f>
        <v>&lt;belkin.o@forpost-system.com&gt;</v>
      </c>
    </row>
    <row r="131" spans="1:8" x14ac:dyDescent="0.3">
      <c r="A131" s="39" t="s">
        <v>1031</v>
      </c>
      <c r="G131" s="39">
        <f t="shared" si="4"/>
        <v>15</v>
      </c>
      <c r="H131" s="39" t="str">
        <f t="shared" si="5"/>
        <v>&lt;bystryk.yu@novaposhta.ua&gt;</v>
      </c>
    </row>
    <row r="132" spans="1:8" x14ac:dyDescent="0.3">
      <c r="A132" s="39" t="s">
        <v>1032</v>
      </c>
      <c r="G132" s="39">
        <f t="shared" si="4"/>
        <v>34</v>
      </c>
      <c r="H132" s="39" t="str">
        <f t="shared" si="5"/>
        <v>&lt;bohoutdinova.m@forpost-system.com&gt;</v>
      </c>
    </row>
    <row r="133" spans="1:8" x14ac:dyDescent="0.3">
      <c r="A133" s="39" t="s">
        <v>1033</v>
      </c>
      <c r="G133" s="39">
        <f t="shared" si="4"/>
        <v>14</v>
      </c>
      <c r="H133" s="39" t="str">
        <f t="shared" si="5"/>
        <v>&lt;bodyako.a@novaposhta.ua&gt;</v>
      </c>
    </row>
    <row r="134" spans="1:8" x14ac:dyDescent="0.3">
      <c r="A134" s="39" t="s">
        <v>1034</v>
      </c>
      <c r="G134" s="39">
        <f t="shared" si="4"/>
        <v>14</v>
      </c>
      <c r="H134" s="39" t="str">
        <f t="shared" si="5"/>
        <v>&lt;bozhek.a@novaposhta.ua&gt;</v>
      </c>
    </row>
    <row r="135" spans="1:8" x14ac:dyDescent="0.3">
      <c r="A135" s="39" t="s">
        <v>1035</v>
      </c>
      <c r="G135" s="39">
        <f t="shared" si="4"/>
        <v>15</v>
      </c>
      <c r="H135" s="39" t="str">
        <f t="shared" si="5"/>
        <v>&lt;bozhko.b@novaposhta.ua&gt;</v>
      </c>
    </row>
    <row r="136" spans="1:8" x14ac:dyDescent="0.3">
      <c r="A136" s="39" t="s">
        <v>1036</v>
      </c>
      <c r="G136" s="39">
        <f t="shared" si="4"/>
        <v>18</v>
      </c>
      <c r="H136" s="39" t="str">
        <f t="shared" si="5"/>
        <v>&lt;bordonos.ov@novaposhta.ua&gt;</v>
      </c>
    </row>
    <row r="137" spans="1:8" x14ac:dyDescent="0.3">
      <c r="A137" s="39" t="s">
        <v>1037</v>
      </c>
      <c r="G137" s="39">
        <f t="shared" si="4"/>
        <v>21</v>
      </c>
      <c r="H137" s="39" t="str">
        <f t="shared" si="5"/>
        <v>&lt;braslavec.n@novaposhta.ua&gt;</v>
      </c>
    </row>
    <row r="138" spans="1:8" x14ac:dyDescent="0.3">
      <c r="A138" s="39" t="s">
        <v>1038</v>
      </c>
      <c r="G138" s="39">
        <f t="shared" si="4"/>
        <v>13</v>
      </c>
      <c r="H138" s="39" t="str">
        <f t="shared" si="5"/>
        <v>&lt;budak.j@novaposhta.ua&gt;</v>
      </c>
    </row>
    <row r="139" spans="1:8" x14ac:dyDescent="0.3">
      <c r="A139" s="39" t="s">
        <v>1039</v>
      </c>
      <c r="G139" s="39">
        <f t="shared" si="4"/>
        <v>18</v>
      </c>
      <c r="H139" s="39" t="str">
        <f t="shared" si="5"/>
        <v>&lt;bursuk.s@novaposhta.ua&gt;</v>
      </c>
    </row>
    <row r="140" spans="1:8" x14ac:dyDescent="0.3">
      <c r="A140" s="39" t="s">
        <v>1040</v>
      </c>
      <c r="G140" s="39">
        <f t="shared" si="4"/>
        <v>25</v>
      </c>
      <c r="H140" s="39" t="str">
        <f t="shared" si="5"/>
        <v>&lt;burtsev.g@forpost-system.com&gt;</v>
      </c>
    </row>
    <row r="141" spans="1:8" x14ac:dyDescent="0.3">
      <c r="A141" s="39" t="s">
        <v>1041</v>
      </c>
      <c r="G141" s="39">
        <f t="shared" si="4"/>
        <v>14</v>
      </c>
      <c r="H141" s="39" t="str">
        <f t="shared" si="5"/>
        <v>&lt;burjak.t@novaposhta.ua&gt;</v>
      </c>
    </row>
    <row r="142" spans="1:8" x14ac:dyDescent="0.3">
      <c r="A142" s="39" t="s">
        <v>1042</v>
      </c>
      <c r="G142" s="39">
        <f t="shared" si="4"/>
        <v>31</v>
      </c>
      <c r="H142" s="39" t="str">
        <f t="shared" si="5"/>
        <v>&lt;vasylitskyi.v@forpost-system.com&gt;</v>
      </c>
    </row>
    <row r="143" spans="1:8" x14ac:dyDescent="0.3">
      <c r="A143" s="39" t="s">
        <v>1043</v>
      </c>
      <c r="G143" s="39">
        <f t="shared" si="4"/>
        <v>18</v>
      </c>
      <c r="H143" s="39" t="str">
        <f t="shared" si="5"/>
        <v>&lt;vashko.o@novaposhta.ua&gt;</v>
      </c>
    </row>
    <row r="144" spans="1:8" x14ac:dyDescent="0.3">
      <c r="A144" s="39" t="s">
        <v>1044</v>
      </c>
      <c r="G144" s="39">
        <f t="shared" si="4"/>
        <v>21</v>
      </c>
      <c r="H144" s="39" t="str">
        <f t="shared" si="5"/>
        <v>&lt;vdovychenko.j@novaposhta.ua&gt;</v>
      </c>
    </row>
    <row r="145" spans="1:8" x14ac:dyDescent="0.3">
      <c r="A145" s="39" t="s">
        <v>1045</v>
      </c>
      <c r="G145" s="39">
        <f t="shared" si="4"/>
        <v>32</v>
      </c>
      <c r="H145" s="39" t="str">
        <f t="shared" si="5"/>
        <v>&lt;vynohradna.n@forpost-system.com&gt;</v>
      </c>
    </row>
    <row r="146" spans="1:8" x14ac:dyDescent="0.3">
      <c r="A146" s="39" t="s">
        <v>1046</v>
      </c>
      <c r="G146" s="39">
        <f t="shared" si="4"/>
        <v>17</v>
      </c>
      <c r="H146" s="39" t="str">
        <f t="shared" si="5"/>
        <v>&lt;vysotskyj.i@novaposhta.ua&gt;</v>
      </c>
    </row>
    <row r="147" spans="1:8" x14ac:dyDescent="0.3">
      <c r="A147" s="39" t="s">
        <v>1047</v>
      </c>
      <c r="G147" s="39">
        <f t="shared" si="4"/>
        <v>18</v>
      </c>
      <c r="H147" s="39" t="str">
        <f t="shared" si="5"/>
        <v>&lt;voloska.t@novaposhta.ua&gt;</v>
      </c>
    </row>
    <row r="148" spans="1:8" x14ac:dyDescent="0.3">
      <c r="A148" s="39" t="s">
        <v>1048</v>
      </c>
      <c r="G148" s="39">
        <f t="shared" si="4"/>
        <v>21</v>
      </c>
      <c r="H148" s="39" t="str">
        <f t="shared" si="5"/>
        <v>&lt;vorotelyak.k@novaposhta.ua&gt;</v>
      </c>
    </row>
    <row r="149" spans="1:8" x14ac:dyDescent="0.3">
      <c r="A149" s="39" t="s">
        <v>1049</v>
      </c>
      <c r="G149" s="39">
        <f t="shared" si="4"/>
        <v>16</v>
      </c>
      <c r="H149" s="39" t="str">
        <f t="shared" si="5"/>
        <v>&lt;gvozd.v@novaposhta.ua&gt;</v>
      </c>
    </row>
    <row r="150" spans="1:8" x14ac:dyDescent="0.3">
      <c r="A150" s="39" t="s">
        <v>1050</v>
      </c>
      <c r="G150" s="39">
        <f t="shared" si="4"/>
        <v>20</v>
      </c>
      <c r="H150" s="39" t="str">
        <f t="shared" si="5"/>
        <v>&lt;gerovskyj.a@novaposhta.ua&gt;</v>
      </c>
    </row>
    <row r="151" spans="1:8" x14ac:dyDescent="0.3">
      <c r="A151" s="39" t="s">
        <v>1051</v>
      </c>
      <c r="G151" s="39">
        <f t="shared" si="4"/>
        <v>19</v>
      </c>
      <c r="H151" s="39" t="str">
        <f t="shared" si="5"/>
        <v>&lt;gonchar.ov@novaposhta.ua&gt;</v>
      </c>
    </row>
    <row r="152" spans="1:8" x14ac:dyDescent="0.3">
      <c r="A152" s="39" t="s">
        <v>1052</v>
      </c>
      <c r="G152" s="39">
        <f t="shared" si="4"/>
        <v>23</v>
      </c>
      <c r="H152" s="39" t="str">
        <f t="shared" si="5"/>
        <v>&lt;gonchar.o@novaposhta.ua&gt;</v>
      </c>
    </row>
    <row r="153" spans="1:8" x14ac:dyDescent="0.3">
      <c r="A153" s="39" t="s">
        <v>1053</v>
      </c>
      <c r="G153" s="39">
        <f t="shared" si="4"/>
        <v>21</v>
      </c>
      <c r="H153" s="39" t="str">
        <f t="shared" si="5"/>
        <v>&lt;goncharov.v@novaposhta.ua&gt;</v>
      </c>
    </row>
    <row r="154" spans="1:8" x14ac:dyDescent="0.3">
      <c r="A154" s="39" t="s">
        <v>1054</v>
      </c>
      <c r="G154" s="39">
        <f t="shared" si="4"/>
        <v>16</v>
      </c>
      <c r="H154" s="39" t="str">
        <f t="shared" si="5"/>
        <v>&lt;goculyak.ov@novaposhta.ua&gt;</v>
      </c>
    </row>
    <row r="155" spans="1:8" x14ac:dyDescent="0.3">
      <c r="A155" s="39" t="s">
        <v>1055</v>
      </c>
      <c r="G155" s="39">
        <f t="shared" si="4"/>
        <v>29</v>
      </c>
      <c r="H155" s="39" t="str">
        <f t="shared" si="5"/>
        <v>&lt;hryshkov.s@forpost-system.com&gt;</v>
      </c>
    </row>
    <row r="156" spans="1:8" x14ac:dyDescent="0.3">
      <c r="A156" s="39" t="s">
        <v>1056</v>
      </c>
      <c r="G156" s="39" t="e">
        <f t="shared" si="4"/>
        <v>#VALUE!</v>
      </c>
      <c r="H156" s="39" t="e">
        <f t="shared" si="5"/>
        <v>#VALUE!</v>
      </c>
    </row>
    <row r="157" spans="1:8" x14ac:dyDescent="0.3">
      <c r="A157" s="39" t="s">
        <v>1057</v>
      </c>
      <c r="G157" s="39">
        <f t="shared" si="4"/>
        <v>25</v>
      </c>
      <c r="H157" s="39" t="str">
        <f t="shared" si="5"/>
        <v>&lt;danylko.r@forpost-system.com&gt;</v>
      </c>
    </row>
    <row r="158" spans="1:8" x14ac:dyDescent="0.3">
      <c r="A158" s="39" t="s">
        <v>1058</v>
      </c>
      <c r="G158" s="39">
        <f t="shared" si="4"/>
        <v>35</v>
      </c>
      <c r="H158" s="39" t="str">
        <f t="shared" si="5"/>
        <v>&lt;dvorovyj.o@forpost-system.com&gt;</v>
      </c>
    </row>
    <row r="159" spans="1:8" x14ac:dyDescent="0.3">
      <c r="A159" s="39" t="s">
        <v>1059</v>
      </c>
      <c r="G159" s="39">
        <f t="shared" si="4"/>
        <v>16</v>
      </c>
      <c r="H159" s="39" t="str">
        <f t="shared" si="5"/>
        <v>&lt;denysko.o@novaposhta.ua&gt;</v>
      </c>
    </row>
    <row r="160" spans="1:8" x14ac:dyDescent="0.3">
      <c r="A160" s="39" t="s">
        <v>1060</v>
      </c>
      <c r="G160" s="39">
        <f t="shared" si="4"/>
        <v>16</v>
      </c>
      <c r="H160" s="39" t="str">
        <f t="shared" si="5"/>
        <v>&lt;dzherypa.r@novaposhta.ua&gt;</v>
      </c>
    </row>
    <row r="161" spans="1:8" x14ac:dyDescent="0.3">
      <c r="A161" s="39" t="s">
        <v>1061</v>
      </c>
      <c r="G161" s="39">
        <f t="shared" si="4"/>
        <v>16</v>
      </c>
      <c r="H161" s="39" t="str">
        <f t="shared" si="5"/>
        <v>&lt;dubenko.d@novaposhta.ua&gt;</v>
      </c>
    </row>
    <row r="162" spans="1:8" x14ac:dyDescent="0.3">
      <c r="A162" s="39" t="s">
        <v>1062</v>
      </c>
      <c r="G162" s="39">
        <f t="shared" si="4"/>
        <v>22</v>
      </c>
      <c r="H162" s="39" t="str">
        <f t="shared" si="5"/>
        <v>&lt;yevstratov.o@novaposhta.ua&gt;</v>
      </c>
    </row>
    <row r="163" spans="1:8" x14ac:dyDescent="0.3">
      <c r="A163" s="39" t="s">
        <v>1063</v>
      </c>
      <c r="G163" s="39">
        <f t="shared" si="4"/>
        <v>29</v>
      </c>
      <c r="H163" s="39" t="str">
        <f t="shared" si="5"/>
        <v>&lt;yevtieieva.o@forpost-system.com&gt;</v>
      </c>
    </row>
    <row r="164" spans="1:8" x14ac:dyDescent="0.3">
      <c r="A164" s="39" t="s">
        <v>1064</v>
      </c>
      <c r="G164" s="39">
        <f t="shared" si="4"/>
        <v>16</v>
      </c>
      <c r="H164" s="39" t="str">
        <f t="shared" si="5"/>
        <v>&lt;yegorova.o@novaposhta.ua&gt;</v>
      </c>
    </row>
    <row r="165" spans="1:8" x14ac:dyDescent="0.3">
      <c r="A165" s="39" t="s">
        <v>1065</v>
      </c>
      <c r="G165" s="39">
        <f t="shared" si="4"/>
        <v>17</v>
      </c>
      <c r="H165" s="39" t="str">
        <f t="shared" si="5"/>
        <v>&lt;gerebnoy.d@novaposhta.ua&gt;</v>
      </c>
    </row>
    <row r="166" spans="1:8" x14ac:dyDescent="0.3">
      <c r="A166" s="39" t="s">
        <v>1066</v>
      </c>
      <c r="G166" s="39">
        <f t="shared" si="4"/>
        <v>33</v>
      </c>
      <c r="H166" s="39" t="str">
        <f t="shared" si="5"/>
        <v>&lt;zahorodnii.s@forpost-system.com&gt;</v>
      </c>
    </row>
    <row r="167" spans="1:8" x14ac:dyDescent="0.3">
      <c r="A167" s="39" t="s">
        <v>1067</v>
      </c>
      <c r="G167" s="39">
        <f t="shared" si="4"/>
        <v>22</v>
      </c>
      <c r="H167" s="39" t="str">
        <f t="shared" si="5"/>
        <v>&lt;zaichykova.ye@novaposhta.ua&gt;</v>
      </c>
    </row>
    <row r="168" spans="1:8" x14ac:dyDescent="0.3">
      <c r="A168" s="39" t="s">
        <v>1068</v>
      </c>
      <c r="G168" s="39">
        <f t="shared" si="4"/>
        <v>14</v>
      </c>
      <c r="H168" s="39" t="str">
        <f t="shared" si="5"/>
        <v>&lt;zaloga.yu@novaposhta.ua&gt;</v>
      </c>
    </row>
    <row r="169" spans="1:8" x14ac:dyDescent="0.3">
      <c r="A169" s="39" t="s">
        <v>1069</v>
      </c>
      <c r="G169" s="39">
        <f t="shared" si="4"/>
        <v>27</v>
      </c>
      <c r="H169" s="39" t="str">
        <f t="shared" si="5"/>
        <v>&lt;zarudna.n@forpost-system.com&gt;</v>
      </c>
    </row>
    <row r="170" spans="1:8" x14ac:dyDescent="0.3">
      <c r="A170" s="39" t="s">
        <v>1070</v>
      </c>
      <c r="G170" s="39">
        <f t="shared" si="4"/>
        <v>33</v>
      </c>
      <c r="H170" s="39" t="str">
        <f t="shared" si="5"/>
        <v>&lt;zasuha.v@forpost-system.com&gt;</v>
      </c>
    </row>
    <row r="171" spans="1:8" x14ac:dyDescent="0.3">
      <c r="A171" s="39" t="s">
        <v>1071</v>
      </c>
      <c r="G171" s="39">
        <f t="shared" si="4"/>
        <v>18</v>
      </c>
      <c r="H171" s="39" t="str">
        <f t="shared" si="5"/>
        <v>&lt;zakharova.m@novaposhta.ua&gt;</v>
      </c>
    </row>
    <row r="172" spans="1:8" x14ac:dyDescent="0.3">
      <c r="A172" s="39" t="s">
        <v>1072</v>
      </c>
      <c r="G172" s="39">
        <f t="shared" si="4"/>
        <v>15</v>
      </c>
      <c r="H172" s="39" t="str">
        <f t="shared" si="5"/>
        <v>&lt;zelent.n@novaposhta.ua&gt;</v>
      </c>
    </row>
    <row r="173" spans="1:8" x14ac:dyDescent="0.3">
      <c r="A173" s="39" t="s">
        <v>1073</v>
      </c>
      <c r="G173" s="39">
        <f t="shared" si="4"/>
        <v>31</v>
      </c>
      <c r="H173" s="39" t="str">
        <f t="shared" si="5"/>
        <v>&lt;ivanchenko.yu@forpost-system.com&gt;</v>
      </c>
    </row>
    <row r="174" spans="1:8" x14ac:dyDescent="0.3">
      <c r="A174" s="39" t="s">
        <v>1074</v>
      </c>
      <c r="G174" s="39">
        <f t="shared" si="4"/>
        <v>29</v>
      </c>
      <c r="H174" s="39" t="str">
        <f t="shared" si="5"/>
        <v>&lt;ivanchenko.y@forpost-system.com&gt;</v>
      </c>
    </row>
    <row r="175" spans="1:8" x14ac:dyDescent="0.3">
      <c r="A175" s="39" t="s">
        <v>1075</v>
      </c>
      <c r="G175" s="39">
        <f t="shared" si="4"/>
        <v>19</v>
      </c>
      <c r="H175" s="39" t="str">
        <f t="shared" si="5"/>
        <v>&lt;ivanchyshyn.ai@novaposhta.ua&gt;</v>
      </c>
    </row>
    <row r="176" spans="1:8" x14ac:dyDescent="0.3">
      <c r="A176" s="39" t="s">
        <v>1076</v>
      </c>
      <c r="G176" s="39">
        <f t="shared" si="4"/>
        <v>18</v>
      </c>
      <c r="H176" s="39" t="str">
        <f t="shared" si="5"/>
        <v>&lt;kazimirov.e@novaposhta.ua&gt;</v>
      </c>
    </row>
    <row r="177" spans="1:8" x14ac:dyDescent="0.3">
      <c r="A177" s="39" t="s">
        <v>1077</v>
      </c>
      <c r="G177" s="39">
        <f t="shared" si="4"/>
        <v>13</v>
      </c>
      <c r="H177" s="39" t="str">
        <f t="shared" si="5"/>
        <v>&lt;kior.d@novaposhta.ua&gt;</v>
      </c>
    </row>
    <row r="178" spans="1:8" x14ac:dyDescent="0.3">
      <c r="A178" s="39" t="s">
        <v>1078</v>
      </c>
      <c r="G178" s="39">
        <f t="shared" si="4"/>
        <v>19</v>
      </c>
      <c r="H178" s="39" t="str">
        <f t="shared" si="5"/>
        <v>&lt;kovalenko.mm@novaposhta.ua&gt;</v>
      </c>
    </row>
    <row r="179" spans="1:8" x14ac:dyDescent="0.3">
      <c r="A179" s="39" t="s">
        <v>1079</v>
      </c>
      <c r="G179" s="39">
        <f t="shared" si="4"/>
        <v>18</v>
      </c>
      <c r="H179" s="39" t="str">
        <f t="shared" si="5"/>
        <v>&lt;kovalov.ss@novaposhta.ua&gt;</v>
      </c>
    </row>
    <row r="180" spans="1:8" x14ac:dyDescent="0.3">
      <c r="A180" s="39" t="s">
        <v>1080</v>
      </c>
      <c r="G180" s="39">
        <f t="shared" si="4"/>
        <v>15</v>
      </c>
      <c r="H180" s="39" t="str">
        <f t="shared" si="5"/>
        <v>&lt;kolenko.i@novaposhta.ua&gt;</v>
      </c>
    </row>
    <row r="181" spans="1:8" x14ac:dyDescent="0.3">
      <c r="A181" s="39" t="s">
        <v>1081</v>
      </c>
      <c r="G181" s="39">
        <f t="shared" si="4"/>
        <v>19</v>
      </c>
      <c r="H181" s="39" t="str">
        <f t="shared" si="5"/>
        <v>&lt;korpanec.a@novaposhta.ua&gt;</v>
      </c>
    </row>
    <row r="182" spans="1:8" x14ac:dyDescent="0.3">
      <c r="A182" s="39" t="s">
        <v>1082</v>
      </c>
      <c r="G182" s="39">
        <f t="shared" si="4"/>
        <v>16</v>
      </c>
      <c r="H182" s="39" t="str">
        <f t="shared" si="5"/>
        <v>&lt;kosenko.d@novaposhta.ua&gt;</v>
      </c>
    </row>
    <row r="183" spans="1:8" x14ac:dyDescent="0.3">
      <c r="A183" s="39" t="s">
        <v>1083</v>
      </c>
      <c r="G183" s="39">
        <f t="shared" si="4"/>
        <v>33</v>
      </c>
      <c r="H183" s="39" t="str">
        <f t="shared" si="5"/>
        <v>&lt;kokhanivska.a@forpost-system.com&gt;</v>
      </c>
    </row>
    <row r="184" spans="1:8" x14ac:dyDescent="0.3">
      <c r="A184" s="39" t="s">
        <v>1084</v>
      </c>
      <c r="G184" s="39">
        <f t="shared" si="4"/>
        <v>16</v>
      </c>
      <c r="H184" s="39" t="str">
        <f t="shared" si="5"/>
        <v>&lt;koshel.s@novaposhta.ua&gt;</v>
      </c>
    </row>
    <row r="185" spans="1:8" x14ac:dyDescent="0.3">
      <c r="A185" s="39" t="s">
        <v>1085</v>
      </c>
      <c r="G185" s="39">
        <f t="shared" si="4"/>
        <v>16</v>
      </c>
      <c r="H185" s="39" t="str">
        <f t="shared" si="5"/>
        <v>&lt;kravchik.y@novaposhta.ua&gt;</v>
      </c>
    </row>
    <row r="186" spans="1:8" x14ac:dyDescent="0.3">
      <c r="A186" s="39" t="s">
        <v>1086</v>
      </c>
      <c r="G186" s="39">
        <f t="shared" si="4"/>
        <v>26</v>
      </c>
      <c r="H186" s="39" t="str">
        <f t="shared" si="5"/>
        <v>&lt;kramar.h@forpost-system.com&gt;</v>
      </c>
    </row>
    <row r="187" spans="1:8" x14ac:dyDescent="0.3">
      <c r="A187" s="39" t="s">
        <v>1087</v>
      </c>
      <c r="G187" s="39">
        <f t="shared" si="4"/>
        <v>16</v>
      </c>
      <c r="H187" s="39" t="str">
        <f t="shared" si="5"/>
        <v>&lt;kudelin.a@novaposhta.ua&gt;</v>
      </c>
    </row>
    <row r="188" spans="1:8" x14ac:dyDescent="0.3">
      <c r="A188" s="39" t="s">
        <v>1088</v>
      </c>
      <c r="G188" s="39">
        <f t="shared" si="4"/>
        <v>19</v>
      </c>
      <c r="H188" s="39" t="str">
        <f t="shared" si="5"/>
        <v>&lt;kuznetsov.o@novaposhta.ua&gt;</v>
      </c>
    </row>
    <row r="189" spans="1:8" x14ac:dyDescent="0.3">
      <c r="A189" s="39" t="s">
        <v>1089</v>
      </c>
      <c r="G189" s="39">
        <f t="shared" si="4"/>
        <v>22</v>
      </c>
      <c r="H189" s="39" t="str">
        <f t="shared" si="5"/>
        <v>&lt;kuzminsky.b@novaposhta.ua&gt;</v>
      </c>
    </row>
    <row r="190" spans="1:8" x14ac:dyDescent="0.3">
      <c r="A190" s="39" t="s">
        <v>1090</v>
      </c>
      <c r="G190" s="39">
        <f t="shared" si="4"/>
        <v>16</v>
      </c>
      <c r="H190" s="39" t="str">
        <f t="shared" si="5"/>
        <v>&lt;kulesha.a@novaposhta.ua&gt;</v>
      </c>
    </row>
    <row r="191" spans="1:8" x14ac:dyDescent="0.3">
      <c r="A191" s="39" t="s">
        <v>1091</v>
      </c>
      <c r="G191" s="39">
        <f t="shared" si="4"/>
        <v>18</v>
      </c>
      <c r="H191" s="39" t="str">
        <f t="shared" si="5"/>
        <v>&lt;ladygin.m@novaposhta.ua&gt;</v>
      </c>
    </row>
    <row r="192" spans="1:8" x14ac:dyDescent="0.3">
      <c r="A192" s="39" t="s">
        <v>1092</v>
      </c>
      <c r="G192" s="39">
        <f t="shared" si="4"/>
        <v>18</v>
      </c>
      <c r="H192" s="39" t="str">
        <f t="shared" si="5"/>
        <v>&lt;lapshynov.d@novaposhta.ua&gt;</v>
      </c>
    </row>
    <row r="193" spans="1:8" x14ac:dyDescent="0.3">
      <c r="A193" s="39" t="s">
        <v>1093</v>
      </c>
      <c r="G193" s="39">
        <f t="shared" si="4"/>
        <v>24</v>
      </c>
      <c r="H193" s="39" t="str">
        <f t="shared" si="5"/>
        <v>&lt;lebedeva.yu@forpost-system.com&gt;</v>
      </c>
    </row>
    <row r="194" spans="1:8" x14ac:dyDescent="0.3">
      <c r="A194" s="39" t="s">
        <v>1094</v>
      </c>
      <c r="G194" s="39">
        <f t="shared" ref="G194:G257" si="6">SEARCH("&lt;",A194)</f>
        <v>20</v>
      </c>
      <c r="H194" s="39" t="str">
        <f t="shared" ref="H194:H257" si="7">MID(A194,G194,100)</f>
        <v>&lt;lisovskyi.s@novaposhta.ua&gt;</v>
      </c>
    </row>
    <row r="195" spans="1:8" x14ac:dyDescent="0.3">
      <c r="A195" s="39" t="s">
        <v>1095</v>
      </c>
      <c r="G195" s="39">
        <f t="shared" si="6"/>
        <v>15</v>
      </c>
      <c r="H195" s="39" t="str">
        <f t="shared" si="7"/>
        <v>&lt;lodin.p@novaposhta.ua&gt;</v>
      </c>
    </row>
    <row r="196" spans="1:8" x14ac:dyDescent="0.3">
      <c r="A196" s="39" t="s">
        <v>1096</v>
      </c>
      <c r="G196" s="39">
        <f t="shared" si="6"/>
        <v>29</v>
      </c>
      <c r="H196" s="39" t="str">
        <f t="shared" si="7"/>
        <v>&lt;lyutoeva.i@forpost-system.com&gt;</v>
      </c>
    </row>
    <row r="197" spans="1:8" x14ac:dyDescent="0.3">
      <c r="A197" s="39" t="s">
        <v>1097</v>
      </c>
      <c r="G197" s="39">
        <f t="shared" si="6"/>
        <v>19</v>
      </c>
      <c r="H197" s="39" t="str">
        <f t="shared" si="7"/>
        <v>&lt;makarenko.sv@novaposhta.ua&gt;</v>
      </c>
    </row>
    <row r="198" spans="1:8" x14ac:dyDescent="0.3">
      <c r="A198" s="39" t="s">
        <v>1098</v>
      </c>
      <c r="G198" s="39">
        <f t="shared" si="6"/>
        <v>17</v>
      </c>
      <c r="H198" s="39" t="str">
        <f t="shared" si="7"/>
        <v>&lt;makarchuk.v@novaposhta.ua&gt;</v>
      </c>
    </row>
    <row r="199" spans="1:8" x14ac:dyDescent="0.3">
      <c r="A199" s="39" t="s">
        <v>1099</v>
      </c>
      <c r="G199" s="39">
        <f t="shared" si="6"/>
        <v>16</v>
      </c>
      <c r="H199" s="39" t="str">
        <f t="shared" si="7"/>
        <v>&lt;markiv.a@novaposhta.ua&gt;</v>
      </c>
    </row>
    <row r="200" spans="1:8" x14ac:dyDescent="0.3">
      <c r="A200" s="39" t="s">
        <v>1100</v>
      </c>
      <c r="G200" s="39">
        <f t="shared" si="6"/>
        <v>16</v>
      </c>
      <c r="H200" s="39" t="str">
        <f t="shared" si="7"/>
        <v>&lt;martynyuk.o@novaposhta.ua&gt;</v>
      </c>
    </row>
    <row r="201" spans="1:8" x14ac:dyDescent="0.3">
      <c r="A201" s="39" t="s">
        <v>1101</v>
      </c>
      <c r="G201" s="39">
        <f t="shared" si="6"/>
        <v>31</v>
      </c>
      <c r="H201" s="39" t="str">
        <f t="shared" si="7"/>
        <v>&lt;maslovska.o@novaposhta.ua&gt;</v>
      </c>
    </row>
    <row r="202" spans="1:8" x14ac:dyDescent="0.3">
      <c r="A202" s="39" t="s">
        <v>1102</v>
      </c>
      <c r="G202" s="39">
        <f t="shared" si="6"/>
        <v>28</v>
      </c>
      <c r="H202" s="39" t="str">
        <f t="shared" si="7"/>
        <v>&lt;Mahinich.O@forpost-system.com&gt;</v>
      </c>
    </row>
    <row r="203" spans="1:8" x14ac:dyDescent="0.3">
      <c r="A203" s="39" t="s">
        <v>1103</v>
      </c>
      <c r="G203" s="39">
        <f t="shared" si="6"/>
        <v>19</v>
      </c>
      <c r="H203" s="39" t="str">
        <f t="shared" si="7"/>
        <v>&lt;medvedkov.a@novaposhta.ua&gt;</v>
      </c>
    </row>
    <row r="204" spans="1:8" x14ac:dyDescent="0.3">
      <c r="A204" s="39" t="s">
        <v>1104</v>
      </c>
      <c r="G204" s="39">
        <f t="shared" si="6"/>
        <v>28</v>
      </c>
      <c r="H204" s="39" t="str">
        <f t="shared" si="7"/>
        <v>&lt;medviedieva.i@forpost-system.com&gt;</v>
      </c>
    </row>
    <row r="205" spans="1:8" x14ac:dyDescent="0.3">
      <c r="A205" s="39" t="s">
        <v>1105</v>
      </c>
      <c r="G205" s="39">
        <f t="shared" si="6"/>
        <v>16</v>
      </c>
      <c r="H205" s="39" t="str">
        <f t="shared" si="7"/>
        <v>&lt;mykytchuk.i@novaposhta.ua&gt;</v>
      </c>
    </row>
    <row r="206" spans="1:8" x14ac:dyDescent="0.3">
      <c r="A206" s="39" t="s">
        <v>1106</v>
      </c>
      <c r="G206" s="39">
        <f t="shared" si="6"/>
        <v>16</v>
      </c>
      <c r="H206" s="39" t="str">
        <f t="shared" si="7"/>
        <v>&lt;myronych.p@novaposhta.ua&gt;</v>
      </c>
    </row>
    <row r="207" spans="1:8" x14ac:dyDescent="0.3">
      <c r="A207" s="39" t="s">
        <v>1107</v>
      </c>
      <c r="G207" s="39">
        <f t="shared" si="6"/>
        <v>18</v>
      </c>
      <c r="H207" s="39" t="str">
        <f t="shared" si="7"/>
        <v>&lt;moiseenko.o@novaposhta.ua&gt;</v>
      </c>
    </row>
    <row r="208" spans="1:8" x14ac:dyDescent="0.3">
      <c r="A208" s="39" t="s">
        <v>1108</v>
      </c>
      <c r="G208" s="39">
        <f t="shared" si="6"/>
        <v>17</v>
      </c>
      <c r="H208" s="39" t="str">
        <f t="shared" si="7"/>
        <v>&lt;moiseev.a@novaposhta.ua&gt;</v>
      </c>
    </row>
    <row r="209" spans="1:8" x14ac:dyDescent="0.3">
      <c r="A209" s="39" t="s">
        <v>1109</v>
      </c>
      <c r="G209" s="39">
        <f t="shared" si="6"/>
        <v>20</v>
      </c>
      <c r="H209" s="39" t="str">
        <f t="shared" si="7"/>
        <v>&lt;moskalenko.r@novaposhta.ua&gt;</v>
      </c>
    </row>
    <row r="210" spans="1:8" x14ac:dyDescent="0.3">
      <c r="A210" s="39" t="s">
        <v>1110</v>
      </c>
      <c r="G210" s="39">
        <f t="shared" si="6"/>
        <v>33</v>
      </c>
      <c r="H210" s="39" t="str">
        <f t="shared" si="7"/>
        <v>&lt;nahorna.s@novaposhta.ua&gt;</v>
      </c>
    </row>
    <row r="211" spans="1:8" x14ac:dyDescent="0.3">
      <c r="A211" s="39" t="s">
        <v>1111</v>
      </c>
      <c r="G211" s="39">
        <f t="shared" si="6"/>
        <v>19</v>
      </c>
      <c r="H211" s="39" t="str">
        <f t="shared" si="7"/>
        <v>&lt;jeliseeva.n@novaposhta.ua&gt;</v>
      </c>
    </row>
    <row r="212" spans="1:8" x14ac:dyDescent="0.3">
      <c r="A212" s="39" t="s">
        <v>1112</v>
      </c>
      <c r="G212" s="39">
        <f t="shared" si="6"/>
        <v>23</v>
      </c>
      <c r="H212" s="39" t="str">
        <f t="shared" si="7"/>
        <v>&lt;nevirkovec.v@novaposhta.ua&gt;</v>
      </c>
    </row>
    <row r="213" spans="1:8" x14ac:dyDescent="0.3">
      <c r="A213" s="39" t="s">
        <v>1113</v>
      </c>
      <c r="G213" s="39">
        <f t="shared" si="6"/>
        <v>33</v>
      </c>
      <c r="H213" s="39" t="str">
        <f t="shared" si="7"/>
        <v>&lt;nedashkivska.l@forpost-system.com&gt;</v>
      </c>
    </row>
    <row r="214" spans="1:8" x14ac:dyDescent="0.3">
      <c r="A214" s="39" t="s">
        <v>1114</v>
      </c>
      <c r="G214" s="39">
        <f t="shared" si="6"/>
        <v>17</v>
      </c>
      <c r="H214" s="39" t="str">
        <f t="shared" si="7"/>
        <v>&lt;nedbaylo.a@novaposhta.ua&gt;</v>
      </c>
    </row>
    <row r="215" spans="1:8" x14ac:dyDescent="0.3">
      <c r="A215" s="39" t="s">
        <v>1115</v>
      </c>
      <c r="G215" s="39">
        <f t="shared" si="6"/>
        <v>35</v>
      </c>
      <c r="H215" s="39" t="str">
        <f t="shared" si="7"/>
        <v>&lt;obmetytsia.v@forpost-system.com&gt;</v>
      </c>
    </row>
    <row r="216" spans="1:8" x14ac:dyDescent="0.3">
      <c r="A216" s="39" t="s">
        <v>1116</v>
      </c>
      <c r="G216" s="39">
        <f t="shared" si="6"/>
        <v>32</v>
      </c>
      <c r="H216" s="39" t="str">
        <f t="shared" si="7"/>
        <v>&lt;ovsiannikova.n@forpost-system.com&gt;</v>
      </c>
    </row>
    <row r="217" spans="1:8" x14ac:dyDescent="0.3">
      <c r="A217" s="39" t="s">
        <v>1117</v>
      </c>
      <c r="G217" s="39">
        <f t="shared" si="6"/>
        <v>22</v>
      </c>
      <c r="H217" s="39" t="str">
        <f t="shared" si="7"/>
        <v>&lt;ogorodnyk.v@novaposhta.ua&gt;</v>
      </c>
    </row>
    <row r="218" spans="1:8" x14ac:dyDescent="0.3">
      <c r="A218" s="39" t="s">
        <v>1118</v>
      </c>
      <c r="G218" s="39">
        <f t="shared" si="6"/>
        <v>18</v>
      </c>
      <c r="H218" s="39" t="str">
        <f t="shared" si="7"/>
        <v>&lt;oleksjuk.m@novaposhta.ua&gt;</v>
      </c>
    </row>
    <row r="219" spans="1:8" x14ac:dyDescent="0.3">
      <c r="A219" s="39" t="s">
        <v>1119</v>
      </c>
      <c r="G219" s="39">
        <f t="shared" si="6"/>
        <v>15</v>
      </c>
      <c r="H219" s="39" t="str">
        <f t="shared" si="7"/>
        <v>&lt;olefir.v@novaposhta.ua&gt;</v>
      </c>
    </row>
    <row r="220" spans="1:8" x14ac:dyDescent="0.3">
      <c r="A220" s="39" t="s">
        <v>1120</v>
      </c>
      <c r="G220" s="39">
        <f t="shared" si="6"/>
        <v>19</v>
      </c>
      <c r="H220" s="39" t="str">
        <f t="shared" si="7"/>
        <v>&lt;parhomenko.e@novaposhta.ua&gt;</v>
      </c>
    </row>
    <row r="221" spans="1:8" x14ac:dyDescent="0.3">
      <c r="A221" s="39" t="s">
        <v>1121</v>
      </c>
      <c r="G221" s="39">
        <f t="shared" si="6"/>
        <v>21</v>
      </c>
      <c r="H221" s="39" t="str">
        <f t="shared" si="7"/>
        <v>&lt;pereviznyk.v@novaposhta.ua&gt;</v>
      </c>
    </row>
    <row r="222" spans="1:8" x14ac:dyDescent="0.3">
      <c r="A222" s="39" t="s">
        <v>1122</v>
      </c>
      <c r="G222" s="39">
        <f t="shared" si="6"/>
        <v>20</v>
      </c>
      <c r="H222" s="39" t="str">
        <f t="shared" si="7"/>
        <v>&lt;pinchuk.o@novaposhta.ua&gt;</v>
      </c>
    </row>
    <row r="223" spans="1:8" x14ac:dyDescent="0.3">
      <c r="A223" s="39" t="s">
        <v>1123</v>
      </c>
      <c r="G223" s="39">
        <f t="shared" si="6"/>
        <v>22</v>
      </c>
      <c r="H223" s="39" t="str">
        <f t="shared" si="7"/>
        <v>&lt;plavskiy.v@novaposhta.ua&gt;</v>
      </c>
    </row>
    <row r="224" spans="1:8" x14ac:dyDescent="0.3">
      <c r="A224" s="39" t="s">
        <v>1124</v>
      </c>
      <c r="G224" s="39">
        <f t="shared" si="6"/>
        <v>15</v>
      </c>
      <c r="H224" s="39" t="str">
        <f t="shared" si="7"/>
        <v>&lt;podiuk.m@novaposhta.ua&gt;</v>
      </c>
    </row>
    <row r="225" spans="1:8" x14ac:dyDescent="0.3">
      <c r="A225" s="39" t="s">
        <v>1125</v>
      </c>
      <c r="G225" s="39">
        <f t="shared" si="6"/>
        <v>15</v>
      </c>
      <c r="H225" s="39" t="str">
        <f t="shared" si="7"/>
        <v>&lt;poleshko.i@novaposhta.ua&gt;</v>
      </c>
    </row>
    <row r="226" spans="1:8" x14ac:dyDescent="0.3">
      <c r="A226" s="39" t="s">
        <v>1126</v>
      </c>
      <c r="G226" s="39">
        <f t="shared" si="6"/>
        <v>14</v>
      </c>
      <c r="H226" s="39" t="str">
        <f t="shared" si="7"/>
        <v>&lt;popov.a@novaposhta.ua&gt;</v>
      </c>
    </row>
    <row r="227" spans="1:8" x14ac:dyDescent="0.3">
      <c r="A227" s="39" t="s">
        <v>1127</v>
      </c>
      <c r="G227" s="39">
        <f t="shared" si="6"/>
        <v>17</v>
      </c>
      <c r="H227" s="39" t="str">
        <f t="shared" si="7"/>
        <v>&lt;priumak.o@novaposhta.ua&gt;</v>
      </c>
    </row>
    <row r="228" spans="1:8" x14ac:dyDescent="0.3">
      <c r="A228" s="39" t="s">
        <v>1128</v>
      </c>
      <c r="G228" s="39">
        <f t="shared" si="6"/>
        <v>16</v>
      </c>
      <c r="H228" s="39" t="str">
        <f t="shared" si="7"/>
        <v>&lt;vrabii.i@novaposhta.ua&gt;</v>
      </c>
    </row>
    <row r="229" spans="1:8" x14ac:dyDescent="0.3">
      <c r="A229" s="39" t="s">
        <v>1129</v>
      </c>
      <c r="G229" s="39">
        <f t="shared" si="6"/>
        <v>15</v>
      </c>
      <c r="H229" s="39" t="str">
        <f t="shared" si="7"/>
        <v>&lt;prytula.y@novaposhta.ua&gt;</v>
      </c>
    </row>
    <row r="230" spans="1:8" x14ac:dyDescent="0.3">
      <c r="A230" s="39" t="s">
        <v>1130</v>
      </c>
      <c r="G230" s="39">
        <f t="shared" si="6"/>
        <v>29</v>
      </c>
      <c r="H230" s="39" t="str">
        <f t="shared" si="7"/>
        <v>&lt;prykhodko.i@forpost-system.com&gt;</v>
      </c>
    </row>
    <row r="231" spans="1:8" x14ac:dyDescent="0.3">
      <c r="A231" s="39" t="s">
        <v>1131</v>
      </c>
      <c r="G231" s="39">
        <f t="shared" si="6"/>
        <v>19</v>
      </c>
      <c r="H231" s="39" t="str">
        <f t="shared" si="7"/>
        <v>&lt;prokofiev.r@novaposhta.ua&gt;</v>
      </c>
    </row>
    <row r="232" spans="1:8" x14ac:dyDescent="0.3">
      <c r="A232" s="39" t="s">
        <v>1132</v>
      </c>
      <c r="G232" s="39">
        <f t="shared" si="6"/>
        <v>17</v>
      </c>
      <c r="H232" s="39" t="str">
        <f t="shared" si="7"/>
        <v>&lt;purtov.o@novaposhta.ua&gt;</v>
      </c>
    </row>
    <row r="233" spans="1:8" x14ac:dyDescent="0.3">
      <c r="A233" s="39" t="s">
        <v>1133</v>
      </c>
      <c r="G233" s="39">
        <f t="shared" si="6"/>
        <v>16</v>
      </c>
      <c r="H233" s="39" t="str">
        <f t="shared" si="7"/>
        <v>&lt;rebryk.b@novaposhta.ua&gt;</v>
      </c>
    </row>
    <row r="234" spans="1:8" x14ac:dyDescent="0.3">
      <c r="A234" s="39" t="s">
        <v>1134</v>
      </c>
      <c r="G234" s="39">
        <f t="shared" si="6"/>
        <v>17</v>
      </c>
      <c r="H234" s="39" t="str">
        <f t="shared" si="7"/>
        <v>&lt;rybalko.a@novaposhta.ua&gt;</v>
      </c>
    </row>
    <row r="235" spans="1:8" x14ac:dyDescent="0.3">
      <c r="A235" s="39" t="s">
        <v>1135</v>
      </c>
      <c r="G235" s="39">
        <f t="shared" si="6"/>
        <v>17</v>
      </c>
      <c r="H235" s="39" t="str">
        <f t="shared" si="7"/>
        <v>&lt;romanjuk.s@novaposhta.ua&gt;</v>
      </c>
    </row>
    <row r="236" spans="1:8" x14ac:dyDescent="0.3">
      <c r="A236" s="39" t="s">
        <v>1136</v>
      </c>
      <c r="G236" s="39">
        <f t="shared" si="6"/>
        <v>19</v>
      </c>
      <c r="H236" s="39" t="str">
        <f t="shared" si="7"/>
        <v>&lt;romenskyj.a@novaposhta.ua&gt;</v>
      </c>
    </row>
    <row r="237" spans="1:8" x14ac:dyDescent="0.3">
      <c r="A237" s="39" t="s">
        <v>1137</v>
      </c>
      <c r="G237" s="39">
        <f t="shared" si="6"/>
        <v>28</v>
      </c>
      <c r="H237" s="39" t="str">
        <f t="shared" si="7"/>
        <v>&lt;ruban.o@forpost-system.com&gt;</v>
      </c>
    </row>
    <row r="238" spans="1:8" x14ac:dyDescent="0.3">
      <c r="A238" s="39" t="s">
        <v>1138</v>
      </c>
      <c r="G238" s="39">
        <f t="shared" si="6"/>
        <v>17</v>
      </c>
      <c r="H238" s="39" t="str">
        <f t="shared" si="7"/>
        <v>&lt;savinova.l@novaposhta.ua&gt;</v>
      </c>
    </row>
    <row r="239" spans="1:8" x14ac:dyDescent="0.3">
      <c r="A239" s="39" t="s">
        <v>1139</v>
      </c>
      <c r="G239" s="39">
        <f t="shared" si="6"/>
        <v>21</v>
      </c>
      <c r="H239" s="39" t="str">
        <f t="shared" si="7"/>
        <v>&lt;sadovnichenko.r@novaposhta.ua&gt;</v>
      </c>
    </row>
    <row r="240" spans="1:8" x14ac:dyDescent="0.3">
      <c r="A240" s="39" t="s">
        <v>1140</v>
      </c>
      <c r="G240" s="39">
        <f t="shared" si="6"/>
        <v>17</v>
      </c>
      <c r="H240" s="39" t="str">
        <f t="shared" si="7"/>
        <v>&lt;samarina.om@novaposhta.ua&gt;</v>
      </c>
    </row>
    <row r="241" spans="1:8" x14ac:dyDescent="0.3">
      <c r="A241" s="39" t="s">
        <v>1141</v>
      </c>
      <c r="G241" s="39">
        <f t="shared" si="6"/>
        <v>18</v>
      </c>
      <c r="H241" s="39" t="str">
        <f t="shared" si="7"/>
        <v>&lt;sarabun.v@novaposhta.ua&gt;</v>
      </c>
    </row>
    <row r="242" spans="1:8" x14ac:dyDescent="0.3">
      <c r="A242" s="39" t="s">
        <v>1142</v>
      </c>
      <c r="G242" s="39">
        <f t="shared" si="6"/>
        <v>22</v>
      </c>
      <c r="H242" s="39" t="str">
        <f t="shared" si="7"/>
        <v>&lt;andriichenko.s@novaposhta.ua&gt;</v>
      </c>
    </row>
    <row r="243" spans="1:8" x14ac:dyDescent="0.3">
      <c r="A243" s="39" t="s">
        <v>1143</v>
      </c>
      <c r="G243" s="39">
        <f t="shared" si="6"/>
        <v>16</v>
      </c>
      <c r="H243" s="39" t="str">
        <f t="shared" si="7"/>
        <v>&lt;sierikov.y@novaposhta.ua&gt;</v>
      </c>
    </row>
    <row r="244" spans="1:8" x14ac:dyDescent="0.3">
      <c r="A244" s="39" t="s">
        <v>1144</v>
      </c>
      <c r="G244" s="39">
        <f t="shared" si="6"/>
        <v>31</v>
      </c>
      <c r="H244" s="39" t="str">
        <f t="shared" si="7"/>
        <v>&lt;simochenko.v@forpost-system.com&gt;</v>
      </c>
    </row>
    <row r="245" spans="1:8" x14ac:dyDescent="0.3">
      <c r="A245" s="39" t="s">
        <v>1145</v>
      </c>
      <c r="G245" s="39">
        <f t="shared" si="6"/>
        <v>20</v>
      </c>
      <c r="H245" s="39" t="str">
        <f t="shared" si="7"/>
        <v>&lt;skrypnyk.v@novaposhta.ua&gt;</v>
      </c>
    </row>
    <row r="246" spans="1:8" x14ac:dyDescent="0.3">
      <c r="A246" s="39" t="s">
        <v>1146</v>
      </c>
      <c r="G246" s="39">
        <f t="shared" si="6"/>
        <v>20</v>
      </c>
      <c r="H246" s="39" t="str">
        <f t="shared" si="7"/>
        <v>&lt;servicedesk@novaposhta.ua&gt;</v>
      </c>
    </row>
    <row r="247" spans="1:8" x14ac:dyDescent="0.3">
      <c r="A247" s="39" t="s">
        <v>1147</v>
      </c>
      <c r="G247" s="39">
        <f t="shared" si="6"/>
        <v>21</v>
      </c>
      <c r="H247" s="39" t="str">
        <f t="shared" si="7"/>
        <v>&lt;sosnyckyj.o@novaposhta.ua&gt;</v>
      </c>
    </row>
    <row r="248" spans="1:8" x14ac:dyDescent="0.3">
      <c r="A248" s="39" t="s">
        <v>1148</v>
      </c>
      <c r="G248" s="39">
        <f t="shared" si="6"/>
        <v>15</v>
      </c>
      <c r="H248" s="39" t="str">
        <f t="shared" si="7"/>
        <v>&lt;stets.d@novaposhta.ua&gt;</v>
      </c>
    </row>
    <row r="249" spans="1:8" x14ac:dyDescent="0.3">
      <c r="A249" s="39" t="s">
        <v>1149</v>
      </c>
      <c r="G249" s="39">
        <f t="shared" si="6"/>
        <v>32</v>
      </c>
      <c r="H249" s="39" t="str">
        <f t="shared" si="7"/>
        <v>&lt;tymoshenko.r@forpost-system.com&gt;</v>
      </c>
    </row>
    <row r="250" spans="1:8" x14ac:dyDescent="0.3">
      <c r="A250" s="39" t="s">
        <v>1150</v>
      </c>
      <c r="G250" s="39">
        <f t="shared" si="6"/>
        <v>30</v>
      </c>
      <c r="H250" s="39" t="str">
        <f t="shared" si="7"/>
        <v>&lt;tikhonov.va@novaposhta.ua&gt;</v>
      </c>
    </row>
    <row r="251" spans="1:8" x14ac:dyDescent="0.3">
      <c r="A251" s="39" t="s">
        <v>1151</v>
      </c>
      <c r="G251" s="39">
        <f t="shared" si="6"/>
        <v>17</v>
      </c>
      <c r="H251" s="39" t="str">
        <f t="shared" si="7"/>
        <v>&lt;zyl.y@novaposhta.ua&gt;</v>
      </c>
    </row>
    <row r="252" spans="1:8" x14ac:dyDescent="0.3">
      <c r="A252" s="39" t="s">
        <v>1152</v>
      </c>
      <c r="G252" s="39">
        <f t="shared" si="6"/>
        <v>20</v>
      </c>
      <c r="H252" s="39" t="str">
        <f t="shared" si="7"/>
        <v>&lt;tretiak.o@novaposhta.ua&gt;</v>
      </c>
    </row>
    <row r="253" spans="1:8" x14ac:dyDescent="0.3">
      <c r="A253" s="39" t="s">
        <v>1153</v>
      </c>
      <c r="G253" s="39">
        <f t="shared" si="6"/>
        <v>31</v>
      </c>
      <c r="H253" s="39" t="str">
        <f t="shared" si="7"/>
        <v>&lt;tril.v@forpost-system.com&gt;</v>
      </c>
    </row>
    <row r="254" spans="1:8" x14ac:dyDescent="0.3">
      <c r="A254" s="39" t="s">
        <v>1154</v>
      </c>
      <c r="G254" s="39">
        <f t="shared" si="6"/>
        <v>13</v>
      </c>
      <c r="H254" s="39" t="str">
        <f t="shared" si="7"/>
        <v>&lt;tuz.s@novaposhta.ua&gt;</v>
      </c>
    </row>
    <row r="255" spans="1:8" x14ac:dyDescent="0.3">
      <c r="A255" s="39" t="s">
        <v>1155</v>
      </c>
      <c r="G255" s="39">
        <f t="shared" si="6"/>
        <v>13</v>
      </c>
      <c r="H255" s="39" t="str">
        <f t="shared" si="7"/>
        <v>&lt;turyk.o@novaposhta.ua&gt;</v>
      </c>
    </row>
    <row r="256" spans="1:8" x14ac:dyDescent="0.3">
      <c r="A256" s="39" t="s">
        <v>1156</v>
      </c>
      <c r="G256" s="39">
        <f t="shared" si="6"/>
        <v>15</v>
      </c>
      <c r="H256" s="39" t="str">
        <f t="shared" si="7"/>
        <v>&lt;khylja.v@novaposhta.ua&gt;</v>
      </c>
    </row>
    <row r="257" spans="1:8" x14ac:dyDescent="0.3">
      <c r="A257" s="39" t="s">
        <v>1157</v>
      </c>
      <c r="G257" s="39">
        <f t="shared" si="6"/>
        <v>16</v>
      </c>
      <c r="H257" s="39" t="str">
        <f t="shared" si="7"/>
        <v>&lt;hreschik.s@novaposhta.ua&gt;</v>
      </c>
    </row>
    <row r="258" spans="1:8" x14ac:dyDescent="0.3">
      <c r="A258" s="39" t="s">
        <v>1158</v>
      </c>
      <c r="G258" s="39">
        <f t="shared" ref="G258:G271" si="8">SEARCH("&lt;",A258)</f>
        <v>15</v>
      </c>
      <c r="H258" s="39" t="str">
        <f t="shared" ref="H258:H271" si="9">MID(A258,G258,100)</f>
        <v>&lt;cubran.r@novaposhta.ua&gt;</v>
      </c>
    </row>
    <row r="259" spans="1:8" x14ac:dyDescent="0.3">
      <c r="A259" s="39" t="s">
        <v>1159</v>
      </c>
      <c r="G259" s="39">
        <f t="shared" si="8"/>
        <v>30</v>
      </c>
      <c r="H259" s="39" t="str">
        <f t="shared" si="9"/>
        <v>&lt;chausova.l@forpost-system.com&gt;</v>
      </c>
    </row>
    <row r="260" spans="1:8" x14ac:dyDescent="0.3">
      <c r="A260" s="39" t="s">
        <v>1160</v>
      </c>
      <c r="G260" s="39">
        <f t="shared" si="8"/>
        <v>22</v>
      </c>
      <c r="H260" s="39" t="str">
        <f t="shared" si="9"/>
        <v>&lt;cherepnova.v@novaposhta.ua&gt;</v>
      </c>
    </row>
    <row r="261" spans="1:8" x14ac:dyDescent="0.3">
      <c r="A261" s="39" t="s">
        <v>1161</v>
      </c>
      <c r="G261" s="39">
        <f t="shared" si="8"/>
        <v>20</v>
      </c>
      <c r="H261" s="39" t="str">
        <f t="shared" si="9"/>
        <v>&lt;cherlenok.g@novaposhta.ua&gt;</v>
      </c>
    </row>
    <row r="262" spans="1:8" x14ac:dyDescent="0.3">
      <c r="A262" s="39" t="s">
        <v>1162</v>
      </c>
      <c r="G262" s="39">
        <f t="shared" si="8"/>
        <v>14</v>
      </c>
      <c r="H262" s="39" t="str">
        <f t="shared" si="9"/>
        <v>&lt;chunys.p@novaposhta.ua&gt;</v>
      </c>
    </row>
    <row r="263" spans="1:8" x14ac:dyDescent="0.3">
      <c r="A263" s="39" t="s">
        <v>1163</v>
      </c>
      <c r="G263" s="39">
        <f t="shared" si="8"/>
        <v>20</v>
      </c>
      <c r="H263" s="39" t="str">
        <f t="shared" si="9"/>
        <v>&lt;shevchenko.a@novaposhta.ua&gt;</v>
      </c>
    </row>
    <row r="264" spans="1:8" x14ac:dyDescent="0.3">
      <c r="A264" s="39" t="s">
        <v>1164</v>
      </c>
      <c r="G264" s="39">
        <f t="shared" si="8"/>
        <v>18</v>
      </c>
      <c r="H264" s="39" t="str">
        <f t="shared" si="9"/>
        <v>&lt;shevchenko.ds@novaposhta.ua&gt;</v>
      </c>
    </row>
    <row r="265" spans="1:8" x14ac:dyDescent="0.3">
      <c r="A265" s="39" t="s">
        <v>1165</v>
      </c>
      <c r="G265" s="39">
        <f t="shared" si="8"/>
        <v>21</v>
      </c>
      <c r="H265" s="39" t="str">
        <f t="shared" si="9"/>
        <v>&lt;shevchenko.oo2@novaposhta.ua&gt;</v>
      </c>
    </row>
    <row r="266" spans="1:8" x14ac:dyDescent="0.3">
      <c r="A266" s="39" t="s">
        <v>1166</v>
      </c>
      <c r="G266" s="39">
        <f t="shared" si="8"/>
        <v>16</v>
      </c>
      <c r="H266" s="39" t="str">
        <f t="shared" si="9"/>
        <v>&lt;shevchenko.u@novaposhta.ua&gt;</v>
      </c>
    </row>
    <row r="267" spans="1:8" x14ac:dyDescent="0.3">
      <c r="A267" s="39" t="s">
        <v>1167</v>
      </c>
      <c r="G267" s="39">
        <f t="shared" si="8"/>
        <v>17</v>
      </c>
      <c r="H267" s="39" t="str">
        <f t="shared" si="9"/>
        <v>&lt;shelemon.t@novaposhta.ua&gt;</v>
      </c>
    </row>
    <row r="268" spans="1:8" x14ac:dyDescent="0.3">
      <c r="A268" s="39" t="s">
        <v>1168</v>
      </c>
      <c r="G268" s="39">
        <f t="shared" si="8"/>
        <v>15</v>
      </c>
      <c r="H268" s="39" t="str">
        <f t="shared" si="9"/>
        <v>&lt;yagola.r@novaposhta.ua&gt;</v>
      </c>
    </row>
    <row r="269" spans="1:8" x14ac:dyDescent="0.3">
      <c r="A269" s="39" t="s">
        <v>1169</v>
      </c>
      <c r="G269" s="39">
        <f t="shared" si="8"/>
        <v>17</v>
      </c>
      <c r="H269" s="39" t="str">
        <f t="shared" si="9"/>
        <v>&lt;yakymchuk.d@novaposhta.ua&gt;</v>
      </c>
    </row>
    <row r="270" spans="1:8" x14ac:dyDescent="0.3">
      <c r="A270" s="39" t="s">
        <v>1170</v>
      </c>
      <c r="G270" s="39">
        <f t="shared" si="8"/>
        <v>29</v>
      </c>
      <c r="H270" s="39" t="str">
        <f t="shared" si="9"/>
        <v>&lt;yikovenko.m@forpost-system.com&gt;</v>
      </c>
    </row>
    <row r="271" spans="1:8" x14ac:dyDescent="0.3">
      <c r="A271" s="39" t="s">
        <v>1171</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4.4" x14ac:dyDescent="0.3"/>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35"/>
  <sheetViews>
    <sheetView topLeftCell="A213" workbookViewId="0">
      <selection activeCell="L228" sqref="L228"/>
    </sheetView>
  </sheetViews>
  <sheetFormatPr defaultRowHeight="14.4" x14ac:dyDescent="0.3"/>
  <cols>
    <col min="1" max="1" width="5.5546875" customWidth="1"/>
    <col min="2" max="2" width="13.44140625" bestFit="1" customWidth="1"/>
    <col min="3" max="3" width="21.88671875" bestFit="1" customWidth="1"/>
  </cols>
  <sheetData>
    <row r="1" spans="1:3" x14ac:dyDescent="0.3">
      <c r="A1" s="28">
        <f>COUNTA(B:B)-1</f>
        <v>234</v>
      </c>
      <c r="B1" s="30" t="s">
        <v>57</v>
      </c>
      <c r="C1" s="29" t="s">
        <v>58</v>
      </c>
    </row>
    <row r="2" spans="1:3" x14ac:dyDescent="0.3">
      <c r="A2">
        <v>1</v>
      </c>
      <c r="B2" s="39" t="s">
        <v>115</v>
      </c>
      <c r="C2" s="39" t="s">
        <v>622</v>
      </c>
    </row>
    <row r="3" spans="1:3" s="39" customFormat="1" x14ac:dyDescent="0.3">
      <c r="A3" s="39">
        <v>2</v>
      </c>
      <c r="B3" s="39" t="s">
        <v>1327</v>
      </c>
      <c r="C3" s="39" t="s">
        <v>1328</v>
      </c>
    </row>
    <row r="4" spans="1:3" s="39" customFormat="1" x14ac:dyDescent="0.3">
      <c r="A4" s="39">
        <v>3</v>
      </c>
      <c r="B4" s="39" t="s">
        <v>1299</v>
      </c>
      <c r="C4" s="39" t="s">
        <v>1300</v>
      </c>
    </row>
    <row r="5" spans="1:3" s="39" customFormat="1" x14ac:dyDescent="0.3">
      <c r="A5" s="39">
        <v>4</v>
      </c>
      <c r="B5" s="39" t="s">
        <v>1259</v>
      </c>
      <c r="C5" s="39" t="s">
        <v>1260</v>
      </c>
    </row>
    <row r="6" spans="1:3" s="39" customFormat="1" x14ac:dyDescent="0.3">
      <c r="A6" s="39">
        <v>5</v>
      </c>
      <c r="B6" t="s">
        <v>1211</v>
      </c>
      <c r="C6" t="s">
        <v>1212</v>
      </c>
    </row>
    <row r="7" spans="1:3" s="39" customFormat="1" x14ac:dyDescent="0.3">
      <c r="A7" s="39">
        <v>6</v>
      </c>
      <c r="B7" s="59" t="s">
        <v>1210</v>
      </c>
      <c r="C7" s="39" t="s">
        <v>1183</v>
      </c>
    </row>
    <row r="8" spans="1:3" s="39" customFormat="1" x14ac:dyDescent="0.3">
      <c r="A8" s="39">
        <v>7</v>
      </c>
      <c r="B8" s="39" t="s">
        <v>897</v>
      </c>
      <c r="C8" s="39" t="s">
        <v>898</v>
      </c>
    </row>
    <row r="9" spans="1:3" s="39" customFormat="1" x14ac:dyDescent="0.3">
      <c r="A9" s="39">
        <v>8</v>
      </c>
      <c r="B9" s="39" t="s">
        <v>879</v>
      </c>
      <c r="C9" s="39" t="s">
        <v>880</v>
      </c>
    </row>
    <row r="10" spans="1:3" s="39" customFormat="1" x14ac:dyDescent="0.3">
      <c r="A10" s="39">
        <v>9</v>
      </c>
      <c r="B10" s="39" t="s">
        <v>803</v>
      </c>
      <c r="C10" s="39" t="s">
        <v>804</v>
      </c>
    </row>
    <row r="11" spans="1:3" s="39" customFormat="1" x14ac:dyDescent="0.3">
      <c r="A11" s="39">
        <v>10</v>
      </c>
      <c r="B11" s="39" t="s">
        <v>801</v>
      </c>
      <c r="C11" s="39" t="s">
        <v>802</v>
      </c>
    </row>
    <row r="12" spans="1:3" s="39" customFormat="1" x14ac:dyDescent="0.3">
      <c r="A12" s="39">
        <v>11</v>
      </c>
      <c r="B12" s="39" t="s">
        <v>701</v>
      </c>
      <c r="C12" s="39" t="s">
        <v>798</v>
      </c>
    </row>
    <row r="13" spans="1:3" s="39" customFormat="1" x14ac:dyDescent="0.3">
      <c r="A13" s="39">
        <v>12</v>
      </c>
      <c r="B13" s="39" t="s">
        <v>792</v>
      </c>
      <c r="C13" s="39" t="s">
        <v>793</v>
      </c>
    </row>
    <row r="14" spans="1:3" s="39" customFormat="1" x14ac:dyDescent="0.3">
      <c r="A14" s="39">
        <v>13</v>
      </c>
      <c r="B14" s="39" t="s">
        <v>791</v>
      </c>
      <c r="C14" s="39" t="s">
        <v>1236</v>
      </c>
    </row>
    <row r="15" spans="1:3" s="39" customFormat="1" x14ac:dyDescent="0.3">
      <c r="A15" s="39">
        <v>14</v>
      </c>
      <c r="B15" s="39" t="s">
        <v>718</v>
      </c>
      <c r="C15" s="39" t="s">
        <v>719</v>
      </c>
    </row>
    <row r="16" spans="1:3" s="39" customFormat="1" x14ac:dyDescent="0.3">
      <c r="A16" s="39">
        <v>15</v>
      </c>
      <c r="B16" s="39" t="s">
        <v>697</v>
      </c>
      <c r="C16" s="39" t="s">
        <v>698</v>
      </c>
    </row>
    <row r="17" spans="1:3" s="39" customFormat="1" x14ac:dyDescent="0.3">
      <c r="A17" s="39">
        <v>16</v>
      </c>
      <c r="B17" s="39" t="s">
        <v>525</v>
      </c>
      <c r="C17" s="39" t="s">
        <v>526</v>
      </c>
    </row>
    <row r="18" spans="1:3" s="39" customFormat="1" x14ac:dyDescent="0.3">
      <c r="A18" s="39">
        <v>17</v>
      </c>
      <c r="B18" s="39" t="s">
        <v>491</v>
      </c>
      <c r="C18" s="39" t="s">
        <v>492</v>
      </c>
    </row>
    <row r="19" spans="1:3" s="39" customFormat="1" x14ac:dyDescent="0.3">
      <c r="A19" s="39">
        <v>18</v>
      </c>
      <c r="B19" s="39" t="s">
        <v>487</v>
      </c>
      <c r="C19" s="39" t="s">
        <v>486</v>
      </c>
    </row>
    <row r="20" spans="1:3" s="39" customFormat="1" x14ac:dyDescent="0.3">
      <c r="A20" s="39">
        <v>19</v>
      </c>
      <c r="B20" s="39" t="s">
        <v>474</v>
      </c>
      <c r="C20" s="39" t="s">
        <v>473</v>
      </c>
    </row>
    <row r="21" spans="1:3" s="39" customFormat="1" x14ac:dyDescent="0.3">
      <c r="A21" s="39">
        <v>20</v>
      </c>
      <c r="B21" s="39" t="s">
        <v>446</v>
      </c>
      <c r="C21" s="39" t="s">
        <v>447</v>
      </c>
    </row>
    <row r="22" spans="1:3" x14ac:dyDescent="0.3">
      <c r="A22">
        <v>21</v>
      </c>
      <c r="B22" s="39" t="s">
        <v>281</v>
      </c>
      <c r="C22" s="39" t="s">
        <v>282</v>
      </c>
    </row>
    <row r="23" spans="1:3" x14ac:dyDescent="0.3">
      <c r="A23">
        <v>22</v>
      </c>
      <c r="B23" s="39" t="s">
        <v>59</v>
      </c>
      <c r="C23" s="39" t="s">
        <v>60</v>
      </c>
    </row>
    <row r="24" spans="1:3" x14ac:dyDescent="0.3">
      <c r="A24">
        <v>23</v>
      </c>
      <c r="B24" s="39" t="s">
        <v>61</v>
      </c>
      <c r="C24" s="39" t="s">
        <v>62</v>
      </c>
    </row>
    <row r="25" spans="1:3" x14ac:dyDescent="0.3">
      <c r="A25">
        <v>24</v>
      </c>
      <c r="B25" s="39" t="s">
        <v>63</v>
      </c>
      <c r="C25" s="39" t="s">
        <v>85</v>
      </c>
    </row>
    <row r="26" spans="1:3" x14ac:dyDescent="0.3">
      <c r="A26">
        <v>25</v>
      </c>
      <c r="B26" s="39" t="s">
        <v>107</v>
      </c>
      <c r="C26" s="39" t="s">
        <v>1237</v>
      </c>
    </row>
    <row r="27" spans="1:3" s="39" customFormat="1" x14ac:dyDescent="0.3">
      <c r="A27" s="39">
        <v>26</v>
      </c>
      <c r="B27" s="39" t="s">
        <v>64</v>
      </c>
      <c r="C27" s="39" t="s">
        <v>65</v>
      </c>
    </row>
    <row r="28" spans="1:3" x14ac:dyDescent="0.3">
      <c r="A28">
        <v>27</v>
      </c>
      <c r="B28" s="39" t="s">
        <v>216</v>
      </c>
      <c r="C28" s="39" t="s">
        <v>1238</v>
      </c>
    </row>
    <row r="29" spans="1:3" x14ac:dyDescent="0.3">
      <c r="A29">
        <v>28</v>
      </c>
      <c r="B29" s="39" t="s">
        <v>67</v>
      </c>
      <c r="C29" s="39" t="s">
        <v>68</v>
      </c>
    </row>
    <row r="30" spans="1:3" x14ac:dyDescent="0.3">
      <c r="A30">
        <v>29</v>
      </c>
      <c r="B30" s="39" t="s">
        <v>70</v>
      </c>
      <c r="C30" s="39" t="s">
        <v>71</v>
      </c>
    </row>
    <row r="31" spans="1:3" x14ac:dyDescent="0.3">
      <c r="A31">
        <v>30</v>
      </c>
      <c r="B31" s="39" t="s">
        <v>287</v>
      </c>
      <c r="C31" s="39" t="s">
        <v>1239</v>
      </c>
    </row>
    <row r="32" spans="1:3" x14ac:dyDescent="0.3">
      <c r="A32">
        <v>31</v>
      </c>
      <c r="B32" s="39" t="s">
        <v>72</v>
      </c>
      <c r="C32" s="39" t="s">
        <v>73</v>
      </c>
    </row>
    <row r="33" spans="1:3" x14ac:dyDescent="0.3">
      <c r="A33">
        <v>32</v>
      </c>
      <c r="B33" s="39" t="s">
        <v>74</v>
      </c>
      <c r="C33" s="39" t="s">
        <v>444</v>
      </c>
    </row>
    <row r="34" spans="1:3" x14ac:dyDescent="0.3">
      <c r="A34">
        <v>33</v>
      </c>
      <c r="B34" s="39" t="s">
        <v>75</v>
      </c>
      <c r="C34" s="39" t="s">
        <v>288</v>
      </c>
    </row>
    <row r="35" spans="1:3" x14ac:dyDescent="0.3">
      <c r="A35">
        <v>34</v>
      </c>
      <c r="B35" s="39" t="s">
        <v>76</v>
      </c>
      <c r="C35" s="39" t="s">
        <v>77</v>
      </c>
    </row>
    <row r="36" spans="1:3" x14ac:dyDescent="0.3">
      <c r="A36">
        <v>35</v>
      </c>
      <c r="B36" s="39" t="s">
        <v>78</v>
      </c>
      <c r="C36" s="39" t="s">
        <v>79</v>
      </c>
    </row>
    <row r="37" spans="1:3" x14ac:dyDescent="0.3">
      <c r="A37">
        <v>36</v>
      </c>
      <c r="B37" s="39" t="s">
        <v>80</v>
      </c>
      <c r="C37" s="39" t="s">
        <v>81</v>
      </c>
    </row>
    <row r="38" spans="1:3" x14ac:dyDescent="0.3">
      <c r="A38">
        <v>37</v>
      </c>
      <c r="B38" s="39" t="s">
        <v>86</v>
      </c>
      <c r="C38" s="39" t="s">
        <v>87</v>
      </c>
    </row>
    <row r="39" spans="1:3" x14ac:dyDescent="0.3">
      <c r="A39">
        <v>38</v>
      </c>
      <c r="B39" s="39" t="s">
        <v>154</v>
      </c>
      <c r="C39" s="39" t="s">
        <v>155</v>
      </c>
    </row>
    <row r="40" spans="1:3" x14ac:dyDescent="0.3">
      <c r="A40">
        <v>39</v>
      </c>
      <c r="B40" s="39" t="s">
        <v>103</v>
      </c>
      <c r="C40" s="39" t="s">
        <v>102</v>
      </c>
    </row>
    <row r="41" spans="1:3" x14ac:dyDescent="0.3">
      <c r="A41">
        <v>40</v>
      </c>
      <c r="B41" s="39" t="s">
        <v>108</v>
      </c>
      <c r="C41" s="39" t="s">
        <v>109</v>
      </c>
    </row>
    <row r="42" spans="1:3" x14ac:dyDescent="0.3">
      <c r="A42">
        <v>41</v>
      </c>
      <c r="B42" s="39" t="s">
        <v>111</v>
      </c>
      <c r="C42" s="39" t="s">
        <v>110</v>
      </c>
    </row>
    <row r="43" spans="1:3" x14ac:dyDescent="0.3">
      <c r="A43">
        <v>42</v>
      </c>
      <c r="B43" s="39" t="s">
        <v>113</v>
      </c>
      <c r="C43" s="39" t="s">
        <v>114</v>
      </c>
    </row>
    <row r="44" spans="1:3" x14ac:dyDescent="0.3">
      <c r="A44">
        <v>43</v>
      </c>
      <c r="B44" s="39" t="s">
        <v>117</v>
      </c>
      <c r="C44" s="39" t="s">
        <v>118</v>
      </c>
    </row>
    <row r="45" spans="1:3" x14ac:dyDescent="0.3">
      <c r="A45">
        <v>44</v>
      </c>
      <c r="B45" s="39" t="s">
        <v>119</v>
      </c>
      <c r="C45" s="39" t="s">
        <v>120</v>
      </c>
    </row>
    <row r="46" spans="1:3" x14ac:dyDescent="0.3">
      <c r="A46">
        <v>45</v>
      </c>
      <c r="B46" s="39" t="s">
        <v>121</v>
      </c>
      <c r="C46" s="39" t="s">
        <v>122</v>
      </c>
    </row>
    <row r="47" spans="1:3" x14ac:dyDescent="0.3">
      <c r="A47">
        <v>46</v>
      </c>
      <c r="B47" s="39" t="s">
        <v>123</v>
      </c>
      <c r="C47" s="39" t="s">
        <v>124</v>
      </c>
    </row>
    <row r="48" spans="1:3" x14ac:dyDescent="0.3">
      <c r="A48">
        <v>47</v>
      </c>
      <c r="B48" s="39" t="s">
        <v>125</v>
      </c>
      <c r="C48" s="39" t="s">
        <v>126</v>
      </c>
    </row>
    <row r="49" spans="1:3" x14ac:dyDescent="0.3">
      <c r="A49">
        <v>48</v>
      </c>
      <c r="B49" s="39" t="s">
        <v>127</v>
      </c>
      <c r="C49" s="39" t="s">
        <v>128</v>
      </c>
    </row>
    <row r="50" spans="1:3" x14ac:dyDescent="0.3">
      <c r="A50">
        <v>49</v>
      </c>
      <c r="B50" s="39" t="s">
        <v>129</v>
      </c>
      <c r="C50" s="39" t="s">
        <v>1240</v>
      </c>
    </row>
    <row r="51" spans="1:3" x14ac:dyDescent="0.3">
      <c r="A51">
        <v>50</v>
      </c>
      <c r="B51" s="39" t="s">
        <v>130</v>
      </c>
      <c r="C51" s="39" t="s">
        <v>131</v>
      </c>
    </row>
    <row r="52" spans="1:3" x14ac:dyDescent="0.3">
      <c r="A52">
        <v>51</v>
      </c>
      <c r="B52" s="39" t="s">
        <v>132</v>
      </c>
      <c r="C52" s="39" t="s">
        <v>133</v>
      </c>
    </row>
    <row r="53" spans="1:3" x14ac:dyDescent="0.3">
      <c r="A53">
        <v>52</v>
      </c>
      <c r="B53" s="39" t="s">
        <v>141</v>
      </c>
      <c r="C53" s="39" t="s">
        <v>142</v>
      </c>
    </row>
    <row r="54" spans="1:3" x14ac:dyDescent="0.3">
      <c r="A54">
        <v>53</v>
      </c>
      <c r="B54" s="39" t="s">
        <v>144</v>
      </c>
      <c r="C54" s="39" t="s">
        <v>145</v>
      </c>
    </row>
    <row r="55" spans="1:3" x14ac:dyDescent="0.3">
      <c r="A55">
        <v>54</v>
      </c>
      <c r="B55" s="39" t="s">
        <v>146</v>
      </c>
      <c r="C55" s="39" t="s">
        <v>147</v>
      </c>
    </row>
    <row r="56" spans="1:3" x14ac:dyDescent="0.3">
      <c r="A56">
        <v>55</v>
      </c>
      <c r="B56" s="39" t="s">
        <v>116</v>
      </c>
      <c r="C56" s="39" t="s">
        <v>93</v>
      </c>
    </row>
    <row r="57" spans="1:3" s="39" customFormat="1" x14ac:dyDescent="0.3">
      <c r="A57" s="39">
        <v>56</v>
      </c>
      <c r="B57" s="39" t="s">
        <v>340</v>
      </c>
      <c r="C57" s="39" t="s">
        <v>341</v>
      </c>
    </row>
    <row r="58" spans="1:3" x14ac:dyDescent="0.3">
      <c r="A58">
        <v>57</v>
      </c>
      <c r="B58" s="39" t="s">
        <v>560</v>
      </c>
      <c r="C58" s="39" t="s">
        <v>561</v>
      </c>
    </row>
    <row r="59" spans="1:3" x14ac:dyDescent="0.3">
      <c r="A59">
        <v>58</v>
      </c>
      <c r="B59" s="39" t="s">
        <v>161</v>
      </c>
      <c r="C59" s="39" t="s">
        <v>162</v>
      </c>
    </row>
    <row r="60" spans="1:3" x14ac:dyDescent="0.3">
      <c r="A60">
        <v>59</v>
      </c>
      <c r="B60" s="39" t="s">
        <v>163</v>
      </c>
      <c r="C60" s="39" t="s">
        <v>164</v>
      </c>
    </row>
    <row r="61" spans="1:3" x14ac:dyDescent="0.3">
      <c r="A61">
        <v>60</v>
      </c>
      <c r="B61" s="39" t="s">
        <v>166</v>
      </c>
      <c r="C61" s="39" t="s">
        <v>165</v>
      </c>
    </row>
    <row r="62" spans="1:3" x14ac:dyDescent="0.3">
      <c r="A62">
        <v>61</v>
      </c>
      <c r="B62" s="39" t="s">
        <v>170</v>
      </c>
      <c r="C62" s="39" t="s">
        <v>182</v>
      </c>
    </row>
    <row r="63" spans="1:3" x14ac:dyDescent="0.3">
      <c r="A63">
        <v>62</v>
      </c>
      <c r="B63" s="39" t="s">
        <v>187</v>
      </c>
      <c r="C63" s="39" t="s">
        <v>188</v>
      </c>
    </row>
    <row r="64" spans="1:3" x14ac:dyDescent="0.3">
      <c r="A64">
        <v>63</v>
      </c>
      <c r="B64" s="39" t="s">
        <v>191</v>
      </c>
      <c r="C64" s="39" t="s">
        <v>192</v>
      </c>
    </row>
    <row r="65" spans="1:3" x14ac:dyDescent="0.3">
      <c r="A65">
        <v>64</v>
      </c>
      <c r="B65" s="39" t="s">
        <v>195</v>
      </c>
      <c r="C65" s="39" t="s">
        <v>211</v>
      </c>
    </row>
    <row r="66" spans="1:3" x14ac:dyDescent="0.3">
      <c r="A66">
        <v>65</v>
      </c>
      <c r="B66" s="39" t="s">
        <v>200</v>
      </c>
      <c r="C66" s="39" t="s">
        <v>196</v>
      </c>
    </row>
    <row r="67" spans="1:3" x14ac:dyDescent="0.3">
      <c r="A67">
        <v>66</v>
      </c>
      <c r="B67" s="39" t="s">
        <v>198</v>
      </c>
      <c r="C67" s="39" t="s">
        <v>199</v>
      </c>
    </row>
    <row r="68" spans="1:3" x14ac:dyDescent="0.3">
      <c r="A68">
        <v>67</v>
      </c>
      <c r="B68" s="39" t="s">
        <v>205</v>
      </c>
      <c r="C68" s="39" t="s">
        <v>206</v>
      </c>
    </row>
    <row r="69" spans="1:3" x14ac:dyDescent="0.3">
      <c r="A69">
        <v>68</v>
      </c>
      <c r="B69" s="39" t="s">
        <v>218</v>
      </c>
      <c r="C69" s="39" t="s">
        <v>219</v>
      </c>
    </row>
    <row r="70" spans="1:3" x14ac:dyDescent="0.3">
      <c r="A70">
        <v>69</v>
      </c>
      <c r="B70" s="39" t="s">
        <v>220</v>
      </c>
      <c r="C70" s="39" t="s">
        <v>221</v>
      </c>
    </row>
    <row r="71" spans="1:3" x14ac:dyDescent="0.3">
      <c r="A71">
        <v>70</v>
      </c>
      <c r="B71" s="39" t="s">
        <v>222</v>
      </c>
      <c r="C71" s="39" t="s">
        <v>223</v>
      </c>
    </row>
    <row r="72" spans="1:3" x14ac:dyDescent="0.3">
      <c r="A72">
        <v>71</v>
      </c>
      <c r="B72" s="39" t="s">
        <v>224</v>
      </c>
      <c r="C72" s="39" t="s">
        <v>225</v>
      </c>
    </row>
    <row r="73" spans="1:3" x14ac:dyDescent="0.3">
      <c r="A73">
        <v>72</v>
      </c>
      <c r="B73" s="39" t="s">
        <v>226</v>
      </c>
      <c r="C73" s="39" t="s">
        <v>227</v>
      </c>
    </row>
    <row r="74" spans="1:3" x14ac:dyDescent="0.3">
      <c r="A74">
        <v>73</v>
      </c>
      <c r="B74" s="39" t="s">
        <v>228</v>
      </c>
      <c r="C74" s="39" t="s">
        <v>229</v>
      </c>
    </row>
    <row r="75" spans="1:3" x14ac:dyDescent="0.3">
      <c r="A75">
        <v>74</v>
      </c>
      <c r="B75" s="39" t="s">
        <v>230</v>
      </c>
      <c r="C75" s="39" t="s">
        <v>231</v>
      </c>
    </row>
    <row r="76" spans="1:3" x14ac:dyDescent="0.3">
      <c r="A76">
        <v>75</v>
      </c>
      <c r="B76" s="39" t="s">
        <v>49</v>
      </c>
      <c r="C76" s="39" t="s">
        <v>232</v>
      </c>
    </row>
    <row r="77" spans="1:3" x14ac:dyDescent="0.3">
      <c r="A77">
        <v>76</v>
      </c>
      <c r="B77" s="39" t="s">
        <v>233</v>
      </c>
      <c r="C77" s="39" t="s">
        <v>234</v>
      </c>
    </row>
    <row r="78" spans="1:3" x14ac:dyDescent="0.3">
      <c r="A78">
        <v>77</v>
      </c>
      <c r="B78" s="39" t="s">
        <v>235</v>
      </c>
      <c r="C78" s="39" t="s">
        <v>1241</v>
      </c>
    </row>
    <row r="79" spans="1:3" x14ac:dyDescent="0.3">
      <c r="A79">
        <v>78</v>
      </c>
      <c r="B79" s="39" t="s">
        <v>236</v>
      </c>
      <c r="C79" s="39" t="s">
        <v>237</v>
      </c>
    </row>
    <row r="80" spans="1:3" x14ac:dyDescent="0.3">
      <c r="A80">
        <v>79</v>
      </c>
      <c r="B80" s="39" t="s">
        <v>238</v>
      </c>
      <c r="C80" s="39" t="s">
        <v>1242</v>
      </c>
    </row>
    <row r="81" spans="1:3" x14ac:dyDescent="0.3">
      <c r="A81">
        <v>80</v>
      </c>
      <c r="B81" s="39" t="s">
        <v>239</v>
      </c>
      <c r="C81" s="39" t="s">
        <v>240</v>
      </c>
    </row>
    <row r="82" spans="1:3" x14ac:dyDescent="0.3">
      <c r="A82">
        <v>81</v>
      </c>
      <c r="B82" s="39" t="s">
        <v>241</v>
      </c>
      <c r="C82" s="39" t="s">
        <v>242</v>
      </c>
    </row>
    <row r="83" spans="1:3" x14ac:dyDescent="0.3">
      <c r="A83">
        <v>82</v>
      </c>
      <c r="B83" s="39" t="s">
        <v>243</v>
      </c>
      <c r="C83" s="39" t="s">
        <v>244</v>
      </c>
    </row>
    <row r="84" spans="1:3" x14ac:dyDescent="0.3">
      <c r="A84">
        <v>83</v>
      </c>
      <c r="B84" s="39" t="s">
        <v>245</v>
      </c>
      <c r="C84" s="39" t="s">
        <v>1243</v>
      </c>
    </row>
    <row r="85" spans="1:3" x14ac:dyDescent="0.3">
      <c r="A85">
        <v>84</v>
      </c>
      <c r="B85" s="39" t="s">
        <v>254</v>
      </c>
      <c r="C85" s="39" t="s">
        <v>1244</v>
      </c>
    </row>
    <row r="86" spans="1:3" x14ac:dyDescent="0.3">
      <c r="A86">
        <v>85</v>
      </c>
      <c r="B86" s="39" t="s">
        <v>255</v>
      </c>
      <c r="C86" s="39" t="s">
        <v>289</v>
      </c>
    </row>
    <row r="87" spans="1:3" x14ac:dyDescent="0.3">
      <c r="A87">
        <v>86</v>
      </c>
      <c r="B87" s="39" t="s">
        <v>249</v>
      </c>
      <c r="C87" s="39" t="s">
        <v>250</v>
      </c>
    </row>
    <row r="88" spans="1:3" x14ac:dyDescent="0.3">
      <c r="A88">
        <v>87</v>
      </c>
      <c r="B88" s="39" t="s">
        <v>258</v>
      </c>
      <c r="C88" s="39" t="s">
        <v>259</v>
      </c>
    </row>
    <row r="89" spans="1:3" x14ac:dyDescent="0.3">
      <c r="A89">
        <v>88</v>
      </c>
      <c r="B89" s="39" t="s">
        <v>260</v>
      </c>
      <c r="C89" s="39" t="s">
        <v>261</v>
      </c>
    </row>
    <row r="90" spans="1:3" x14ac:dyDescent="0.3">
      <c r="A90">
        <v>89</v>
      </c>
      <c r="B90" s="39" t="s">
        <v>262</v>
      </c>
      <c r="C90" s="39" t="s">
        <v>263</v>
      </c>
    </row>
    <row r="91" spans="1:3" x14ac:dyDescent="0.3">
      <c r="A91">
        <v>90</v>
      </c>
      <c r="B91" s="39" t="s">
        <v>264</v>
      </c>
      <c r="C91" s="39" t="s">
        <v>1245</v>
      </c>
    </row>
    <row r="92" spans="1:3" x14ac:dyDescent="0.3">
      <c r="A92">
        <v>91</v>
      </c>
      <c r="B92" s="39" t="s">
        <v>265</v>
      </c>
      <c r="C92" s="39" t="s">
        <v>155</v>
      </c>
    </row>
    <row r="93" spans="1:3" x14ac:dyDescent="0.3">
      <c r="A93">
        <v>92</v>
      </c>
      <c r="B93" s="39" t="s">
        <v>266</v>
      </c>
      <c r="C93" s="39" t="s">
        <v>267</v>
      </c>
    </row>
    <row r="94" spans="1:3" x14ac:dyDescent="0.3">
      <c r="A94">
        <v>93</v>
      </c>
      <c r="B94" s="39" t="s">
        <v>268</v>
      </c>
      <c r="C94" s="39" t="s">
        <v>269</v>
      </c>
    </row>
    <row r="95" spans="1:3" x14ac:dyDescent="0.3">
      <c r="A95">
        <v>94</v>
      </c>
      <c r="B95" t="s">
        <v>270</v>
      </c>
      <c r="C95" t="s">
        <v>271</v>
      </c>
    </row>
    <row r="96" spans="1:3" x14ac:dyDescent="0.3">
      <c r="A96">
        <v>95</v>
      </c>
      <c r="B96" t="s">
        <v>290</v>
      </c>
      <c r="C96" t="s">
        <v>291</v>
      </c>
    </row>
    <row r="97" spans="1:3" x14ac:dyDescent="0.3">
      <c r="A97">
        <v>96</v>
      </c>
      <c r="B97" t="s">
        <v>292</v>
      </c>
      <c r="C97" t="s">
        <v>293</v>
      </c>
    </row>
    <row r="98" spans="1:3" x14ac:dyDescent="0.3">
      <c r="A98">
        <v>97</v>
      </c>
      <c r="B98" t="s">
        <v>294</v>
      </c>
      <c r="C98" t="s">
        <v>295</v>
      </c>
    </row>
    <row r="99" spans="1:3" x14ac:dyDescent="0.3">
      <c r="A99">
        <v>98</v>
      </c>
      <c r="B99" t="s">
        <v>296</v>
      </c>
      <c r="C99" t="s">
        <v>297</v>
      </c>
    </row>
    <row r="100" spans="1:3" x14ac:dyDescent="0.3">
      <c r="A100">
        <v>99</v>
      </c>
      <c r="B100" t="s">
        <v>298</v>
      </c>
      <c r="C100" t="s">
        <v>299</v>
      </c>
    </row>
    <row r="101" spans="1:3" x14ac:dyDescent="0.3">
      <c r="A101">
        <v>100</v>
      </c>
      <c r="B101" t="s">
        <v>300</v>
      </c>
      <c r="C101" t="s">
        <v>301</v>
      </c>
    </row>
    <row r="102" spans="1:3" x14ac:dyDescent="0.3">
      <c r="A102">
        <v>101</v>
      </c>
      <c r="B102" t="s">
        <v>302</v>
      </c>
      <c r="C102" t="s">
        <v>303</v>
      </c>
    </row>
    <row r="103" spans="1:3" x14ac:dyDescent="0.3">
      <c r="A103">
        <v>102</v>
      </c>
      <c r="B103" t="s">
        <v>304</v>
      </c>
      <c r="C103" t="s">
        <v>305</v>
      </c>
    </row>
    <row r="104" spans="1:3" x14ac:dyDescent="0.3">
      <c r="A104">
        <v>103</v>
      </c>
      <c r="B104" t="s">
        <v>442</v>
      </c>
      <c r="C104" t="s">
        <v>443</v>
      </c>
    </row>
    <row r="105" spans="1:3" x14ac:dyDescent="0.3">
      <c r="A105">
        <v>104</v>
      </c>
      <c r="B105" t="s">
        <v>306</v>
      </c>
      <c r="C105" t="s">
        <v>307</v>
      </c>
    </row>
    <row r="106" spans="1:3" x14ac:dyDescent="0.3">
      <c r="A106">
        <v>105</v>
      </c>
      <c r="B106" t="s">
        <v>308</v>
      </c>
      <c r="C106" t="s">
        <v>309</v>
      </c>
    </row>
    <row r="107" spans="1:3" x14ac:dyDescent="0.3">
      <c r="A107">
        <v>106</v>
      </c>
      <c r="B107" t="s">
        <v>310</v>
      </c>
      <c r="C107" t="s">
        <v>311</v>
      </c>
    </row>
    <row r="108" spans="1:3" x14ac:dyDescent="0.3">
      <c r="A108">
        <v>107</v>
      </c>
      <c r="B108" t="s">
        <v>312</v>
      </c>
      <c r="C108" t="s">
        <v>313</v>
      </c>
    </row>
    <row r="109" spans="1:3" x14ac:dyDescent="0.3">
      <c r="A109">
        <v>108</v>
      </c>
      <c r="B109" t="s">
        <v>314</v>
      </c>
      <c r="C109" t="s">
        <v>147</v>
      </c>
    </row>
    <row r="110" spans="1:3" x14ac:dyDescent="0.3">
      <c r="A110">
        <v>109</v>
      </c>
      <c r="B110" t="s">
        <v>315</v>
      </c>
      <c r="C110" t="s">
        <v>316</v>
      </c>
    </row>
    <row r="111" spans="1:3" x14ac:dyDescent="0.3">
      <c r="A111">
        <v>110</v>
      </c>
      <c r="B111" t="s">
        <v>317</v>
      </c>
      <c r="C111" t="s">
        <v>318</v>
      </c>
    </row>
    <row r="112" spans="1:3" x14ac:dyDescent="0.3">
      <c r="A112">
        <v>111</v>
      </c>
      <c r="B112" t="s">
        <v>319</v>
      </c>
      <c r="C112" t="s">
        <v>1246</v>
      </c>
    </row>
    <row r="113" spans="1:3" x14ac:dyDescent="0.3">
      <c r="A113">
        <v>112</v>
      </c>
      <c r="B113" t="s">
        <v>320</v>
      </c>
      <c r="C113" t="s">
        <v>1247</v>
      </c>
    </row>
    <row r="114" spans="1:3" x14ac:dyDescent="0.3">
      <c r="A114">
        <v>113</v>
      </c>
      <c r="B114" t="s">
        <v>321</v>
      </c>
      <c r="C114" t="s">
        <v>322</v>
      </c>
    </row>
    <row r="115" spans="1:3" x14ac:dyDescent="0.3">
      <c r="A115">
        <v>114</v>
      </c>
      <c r="B115" t="s">
        <v>323</v>
      </c>
      <c r="C115" t="s">
        <v>1248</v>
      </c>
    </row>
    <row r="116" spans="1:3" x14ac:dyDescent="0.3">
      <c r="A116">
        <v>115</v>
      </c>
      <c r="B116" t="s">
        <v>324</v>
      </c>
      <c r="C116" t="s">
        <v>1249</v>
      </c>
    </row>
    <row r="117" spans="1:3" x14ac:dyDescent="0.3">
      <c r="A117">
        <v>116</v>
      </c>
      <c r="B117" t="s">
        <v>325</v>
      </c>
      <c r="C117" t="s">
        <v>1250</v>
      </c>
    </row>
    <row r="118" spans="1:3" x14ac:dyDescent="0.3">
      <c r="A118">
        <v>117</v>
      </c>
      <c r="B118" t="s">
        <v>326</v>
      </c>
      <c r="C118" t="s">
        <v>1251</v>
      </c>
    </row>
    <row r="119" spans="1:3" x14ac:dyDescent="0.3">
      <c r="A119">
        <v>118</v>
      </c>
      <c r="B119" t="s">
        <v>327</v>
      </c>
      <c r="C119" t="s">
        <v>328</v>
      </c>
    </row>
    <row r="120" spans="1:3" x14ac:dyDescent="0.3">
      <c r="A120">
        <v>119</v>
      </c>
      <c r="B120" t="s">
        <v>329</v>
      </c>
      <c r="C120" t="s">
        <v>330</v>
      </c>
    </row>
    <row r="121" spans="1:3" x14ac:dyDescent="0.3">
      <c r="A121">
        <v>120</v>
      </c>
      <c r="B121" t="s">
        <v>331</v>
      </c>
      <c r="C121" t="s">
        <v>332</v>
      </c>
    </row>
    <row r="122" spans="1:3" x14ac:dyDescent="0.3">
      <c r="A122">
        <v>121</v>
      </c>
      <c r="B122" t="s">
        <v>333</v>
      </c>
      <c r="C122" t="s">
        <v>334</v>
      </c>
    </row>
    <row r="123" spans="1:3" x14ac:dyDescent="0.3">
      <c r="A123">
        <v>122</v>
      </c>
      <c r="B123" t="s">
        <v>335</v>
      </c>
      <c r="C123" t="s">
        <v>1252</v>
      </c>
    </row>
    <row r="124" spans="1:3" x14ac:dyDescent="0.3">
      <c r="A124">
        <v>123</v>
      </c>
      <c r="B124" t="s">
        <v>336</v>
      </c>
      <c r="C124" t="s">
        <v>337</v>
      </c>
    </row>
    <row r="125" spans="1:3" x14ac:dyDescent="0.3">
      <c r="A125">
        <v>124</v>
      </c>
      <c r="B125" t="s">
        <v>338</v>
      </c>
      <c r="C125" t="s">
        <v>1253</v>
      </c>
    </row>
    <row r="126" spans="1:3" x14ac:dyDescent="0.3">
      <c r="A126">
        <v>125</v>
      </c>
      <c r="B126" t="s">
        <v>339</v>
      </c>
      <c r="C126" t="s">
        <v>344</v>
      </c>
    </row>
    <row r="127" spans="1:3" x14ac:dyDescent="0.3">
      <c r="A127">
        <v>126</v>
      </c>
      <c r="B127" t="s">
        <v>352</v>
      </c>
      <c r="C127" t="s">
        <v>1254</v>
      </c>
    </row>
    <row r="128" spans="1:3" x14ac:dyDescent="0.3">
      <c r="A128">
        <v>127</v>
      </c>
      <c r="B128" t="s">
        <v>353</v>
      </c>
      <c r="C128" t="s">
        <v>354</v>
      </c>
    </row>
    <row r="129" spans="1:3" x14ac:dyDescent="0.3">
      <c r="A129">
        <v>128</v>
      </c>
      <c r="B129" t="s">
        <v>355</v>
      </c>
      <c r="C129" t="s">
        <v>1255</v>
      </c>
    </row>
    <row r="130" spans="1:3" x14ac:dyDescent="0.3">
      <c r="A130">
        <v>129</v>
      </c>
      <c r="B130" t="s">
        <v>356</v>
      </c>
      <c r="C130" t="s">
        <v>358</v>
      </c>
    </row>
    <row r="131" spans="1:3" x14ac:dyDescent="0.3">
      <c r="A131">
        <v>130</v>
      </c>
      <c r="B131" t="s">
        <v>379</v>
      </c>
      <c r="C131" t="s">
        <v>380</v>
      </c>
    </row>
    <row r="132" spans="1:3" x14ac:dyDescent="0.3">
      <c r="A132">
        <v>131</v>
      </c>
      <c r="B132" t="s">
        <v>381</v>
      </c>
      <c r="C132" t="s">
        <v>382</v>
      </c>
    </row>
    <row r="133" spans="1:3" x14ac:dyDescent="0.3">
      <c r="A133">
        <v>132</v>
      </c>
      <c r="B133" t="s">
        <v>357</v>
      </c>
      <c r="C133" t="s">
        <v>358</v>
      </c>
    </row>
    <row r="134" spans="1:3" x14ac:dyDescent="0.3">
      <c r="A134">
        <v>133</v>
      </c>
      <c r="B134" t="s">
        <v>396</v>
      </c>
      <c r="C134" t="s">
        <v>397</v>
      </c>
    </row>
    <row r="135" spans="1:3" x14ac:dyDescent="0.3">
      <c r="A135">
        <v>134</v>
      </c>
      <c r="B135" t="s">
        <v>399</v>
      </c>
      <c r="C135" t="s">
        <v>398</v>
      </c>
    </row>
    <row r="136" spans="1:3" x14ac:dyDescent="0.3">
      <c r="A136">
        <v>135</v>
      </c>
      <c r="B136" t="s">
        <v>400</v>
      </c>
      <c r="C136" t="s">
        <v>114</v>
      </c>
    </row>
    <row r="137" spans="1:3" x14ac:dyDescent="0.3">
      <c r="A137">
        <v>136</v>
      </c>
      <c r="B137" t="s">
        <v>562</v>
      </c>
      <c r="C137" t="s">
        <v>412</v>
      </c>
    </row>
    <row r="138" spans="1:3" x14ac:dyDescent="0.3">
      <c r="A138">
        <v>137</v>
      </c>
      <c r="B138" t="s">
        <v>416</v>
      </c>
      <c r="C138" t="s">
        <v>417</v>
      </c>
    </row>
    <row r="139" spans="1:3" x14ac:dyDescent="0.3">
      <c r="A139">
        <v>138</v>
      </c>
      <c r="B139" t="s">
        <v>423</v>
      </c>
      <c r="C139" t="s">
        <v>424</v>
      </c>
    </row>
    <row r="140" spans="1:3" x14ac:dyDescent="0.3">
      <c r="A140">
        <v>139</v>
      </c>
      <c r="B140" t="s">
        <v>425</v>
      </c>
      <c r="C140" t="s">
        <v>426</v>
      </c>
    </row>
    <row r="141" spans="1:3" x14ac:dyDescent="0.3">
      <c r="A141">
        <v>140</v>
      </c>
      <c r="B141" t="s">
        <v>448</v>
      </c>
      <c r="C141" t="s">
        <v>449</v>
      </c>
    </row>
    <row r="142" spans="1:3" x14ac:dyDescent="0.3">
      <c r="A142">
        <v>141</v>
      </c>
      <c r="B142" t="s">
        <v>450</v>
      </c>
      <c r="C142" t="s">
        <v>451</v>
      </c>
    </row>
    <row r="143" spans="1:3" x14ac:dyDescent="0.3">
      <c r="A143">
        <v>142</v>
      </c>
      <c r="B143" t="s">
        <v>452</v>
      </c>
      <c r="C143" t="s">
        <v>453</v>
      </c>
    </row>
    <row r="144" spans="1:3" x14ac:dyDescent="0.3">
      <c r="A144">
        <v>143</v>
      </c>
      <c r="B144" t="s">
        <v>462</v>
      </c>
      <c r="C144" t="s">
        <v>463</v>
      </c>
    </row>
    <row r="145" spans="1:3" x14ac:dyDescent="0.3">
      <c r="A145">
        <v>144</v>
      </c>
      <c r="B145" t="s">
        <v>464</v>
      </c>
      <c r="C145" t="s">
        <v>465</v>
      </c>
    </row>
    <row r="146" spans="1:3" x14ac:dyDescent="0.3">
      <c r="A146">
        <v>145</v>
      </c>
      <c r="B146" t="s">
        <v>488</v>
      </c>
      <c r="C146" t="s">
        <v>493</v>
      </c>
    </row>
    <row r="147" spans="1:3" x14ac:dyDescent="0.3">
      <c r="A147">
        <v>146</v>
      </c>
      <c r="B147" t="s">
        <v>489</v>
      </c>
      <c r="C147" t="s">
        <v>490</v>
      </c>
    </row>
    <row r="148" spans="1:3" x14ac:dyDescent="0.3">
      <c r="A148">
        <v>147</v>
      </c>
      <c r="B148" t="s">
        <v>517</v>
      </c>
      <c r="C148" t="s">
        <v>518</v>
      </c>
    </row>
    <row r="149" spans="1:3" x14ac:dyDescent="0.3">
      <c r="A149">
        <v>148</v>
      </c>
      <c r="B149" t="s">
        <v>519</v>
      </c>
      <c r="C149" t="s">
        <v>520</v>
      </c>
    </row>
    <row r="150" spans="1:3" x14ac:dyDescent="0.3">
      <c r="A150">
        <v>149</v>
      </c>
      <c r="B150" t="s">
        <v>522</v>
      </c>
      <c r="C150" t="s">
        <v>521</v>
      </c>
    </row>
    <row r="151" spans="1:3" x14ac:dyDescent="0.3">
      <c r="A151">
        <v>150</v>
      </c>
      <c r="B151" t="s">
        <v>523</v>
      </c>
      <c r="C151" t="s">
        <v>524</v>
      </c>
    </row>
    <row r="152" spans="1:3" x14ac:dyDescent="0.3">
      <c r="A152">
        <v>151</v>
      </c>
      <c r="B152" t="s">
        <v>527</v>
      </c>
      <c r="C152" t="s">
        <v>528</v>
      </c>
    </row>
    <row r="153" spans="1:3" x14ac:dyDescent="0.3">
      <c r="A153">
        <v>152</v>
      </c>
      <c r="B153" t="s">
        <v>563</v>
      </c>
      <c r="C153" t="s">
        <v>564</v>
      </c>
    </row>
    <row r="154" spans="1:3" x14ac:dyDescent="0.3">
      <c r="A154">
        <v>153</v>
      </c>
      <c r="B154" t="s">
        <v>572</v>
      </c>
      <c r="C154" t="s">
        <v>571</v>
      </c>
    </row>
    <row r="155" spans="1:3" x14ac:dyDescent="0.3">
      <c r="A155">
        <v>154</v>
      </c>
      <c r="B155" t="s">
        <v>573</v>
      </c>
      <c r="C155" t="s">
        <v>574</v>
      </c>
    </row>
    <row r="156" spans="1:3" x14ac:dyDescent="0.3">
      <c r="A156">
        <v>155</v>
      </c>
      <c r="B156" t="s">
        <v>575</v>
      </c>
      <c r="C156" t="s">
        <v>576</v>
      </c>
    </row>
    <row r="157" spans="1:3" x14ac:dyDescent="0.3">
      <c r="A157">
        <v>156</v>
      </c>
      <c r="B157" t="s">
        <v>585</v>
      </c>
      <c r="C157" t="s">
        <v>586</v>
      </c>
    </row>
    <row r="158" spans="1:3" x14ac:dyDescent="0.3">
      <c r="A158">
        <v>157</v>
      </c>
      <c r="B158" t="s">
        <v>587</v>
      </c>
      <c r="C158" t="s">
        <v>588</v>
      </c>
    </row>
    <row r="159" spans="1:3" x14ac:dyDescent="0.3">
      <c r="A159">
        <v>158</v>
      </c>
      <c r="B159" t="s">
        <v>590</v>
      </c>
      <c r="C159" t="s">
        <v>591</v>
      </c>
    </row>
    <row r="160" spans="1:3" x14ac:dyDescent="0.3">
      <c r="A160">
        <v>159</v>
      </c>
      <c r="B160" t="s">
        <v>592</v>
      </c>
      <c r="C160" t="s">
        <v>593</v>
      </c>
    </row>
    <row r="161" spans="1:3" x14ac:dyDescent="0.3">
      <c r="A161">
        <v>160</v>
      </c>
      <c r="B161" t="s">
        <v>594</v>
      </c>
      <c r="C161" t="s">
        <v>595</v>
      </c>
    </row>
    <row r="162" spans="1:3" x14ac:dyDescent="0.3">
      <c r="A162">
        <v>161</v>
      </c>
      <c r="B162" t="s">
        <v>608</v>
      </c>
      <c r="C162" t="s">
        <v>609</v>
      </c>
    </row>
    <row r="163" spans="1:3" x14ac:dyDescent="0.3">
      <c r="A163">
        <v>162</v>
      </c>
      <c r="B163" t="s">
        <v>614</v>
      </c>
      <c r="C163" t="s">
        <v>615</v>
      </c>
    </row>
    <row r="164" spans="1:3" x14ac:dyDescent="0.3">
      <c r="A164">
        <v>163</v>
      </c>
      <c r="B164" t="s">
        <v>616</v>
      </c>
      <c r="C164" t="s">
        <v>617</v>
      </c>
    </row>
    <row r="165" spans="1:3" x14ac:dyDescent="0.3">
      <c r="A165">
        <v>164</v>
      </c>
      <c r="B165" t="s">
        <v>630</v>
      </c>
      <c r="C165" t="s">
        <v>631</v>
      </c>
    </row>
    <row r="166" spans="1:3" x14ac:dyDescent="0.3">
      <c r="A166">
        <v>165</v>
      </c>
      <c r="B166" t="s">
        <v>632</v>
      </c>
      <c r="C166" t="s">
        <v>633</v>
      </c>
    </row>
    <row r="167" spans="1:3" x14ac:dyDescent="0.3">
      <c r="A167">
        <v>166</v>
      </c>
      <c r="B167" t="s">
        <v>641</v>
      </c>
      <c r="C167" t="s">
        <v>642</v>
      </c>
    </row>
    <row r="168" spans="1:3" x14ac:dyDescent="0.3">
      <c r="A168">
        <v>167</v>
      </c>
      <c r="B168" t="s">
        <v>643</v>
      </c>
      <c r="C168" t="s">
        <v>1256</v>
      </c>
    </row>
    <row r="169" spans="1:3" x14ac:dyDescent="0.3">
      <c r="A169">
        <v>168</v>
      </c>
      <c r="B169" t="s">
        <v>664</v>
      </c>
      <c r="C169" t="s">
        <v>663</v>
      </c>
    </row>
    <row r="170" spans="1:3" x14ac:dyDescent="0.3">
      <c r="A170">
        <v>169</v>
      </c>
      <c r="B170" t="s">
        <v>665</v>
      </c>
      <c r="C170" t="s">
        <v>666</v>
      </c>
    </row>
    <row r="171" spans="1:3" x14ac:dyDescent="0.3">
      <c r="A171">
        <v>170</v>
      </c>
      <c r="B171" t="s">
        <v>676</v>
      </c>
      <c r="C171" t="s">
        <v>675</v>
      </c>
    </row>
    <row r="172" spans="1:3" x14ac:dyDescent="0.3">
      <c r="A172">
        <v>171</v>
      </c>
      <c r="B172" t="s">
        <v>677</v>
      </c>
      <c r="C172" t="s">
        <v>678</v>
      </c>
    </row>
    <row r="173" spans="1:3" x14ac:dyDescent="0.3">
      <c r="A173">
        <v>172</v>
      </c>
      <c r="B173" t="s">
        <v>679</v>
      </c>
      <c r="C173" t="s">
        <v>680</v>
      </c>
    </row>
    <row r="174" spans="1:3" x14ac:dyDescent="0.3">
      <c r="A174">
        <v>173</v>
      </c>
      <c r="B174" t="s">
        <v>688</v>
      </c>
      <c r="C174" t="s">
        <v>1230</v>
      </c>
    </row>
    <row r="175" spans="1:3" x14ac:dyDescent="0.3">
      <c r="A175">
        <v>174</v>
      </c>
      <c r="B175" t="s">
        <v>690</v>
      </c>
      <c r="C175" t="s">
        <v>689</v>
      </c>
    </row>
    <row r="176" spans="1:3" x14ac:dyDescent="0.3">
      <c r="A176">
        <v>175</v>
      </c>
      <c r="B176" t="s">
        <v>691</v>
      </c>
      <c r="C176" t="s">
        <v>692</v>
      </c>
    </row>
    <row r="177" spans="1:3" x14ac:dyDescent="0.3">
      <c r="A177">
        <v>176</v>
      </c>
      <c r="B177" t="s">
        <v>693</v>
      </c>
      <c r="C177" t="s">
        <v>694</v>
      </c>
    </row>
    <row r="178" spans="1:3" x14ac:dyDescent="0.3">
      <c r="A178">
        <v>177</v>
      </c>
      <c r="B178" t="s">
        <v>695</v>
      </c>
      <c r="C178" t="s">
        <v>696</v>
      </c>
    </row>
    <row r="179" spans="1:3" x14ac:dyDescent="0.3">
      <c r="A179">
        <v>178</v>
      </c>
      <c r="B179" t="s">
        <v>699</v>
      </c>
      <c r="C179" t="s">
        <v>700</v>
      </c>
    </row>
    <row r="180" spans="1:3" x14ac:dyDescent="0.3">
      <c r="A180">
        <v>179</v>
      </c>
      <c r="B180" t="s">
        <v>701</v>
      </c>
      <c r="C180" t="s">
        <v>702</v>
      </c>
    </row>
    <row r="181" spans="1:3" x14ac:dyDescent="0.3">
      <c r="A181">
        <v>180</v>
      </c>
      <c r="B181" t="s">
        <v>714</v>
      </c>
      <c r="C181" t="s">
        <v>715</v>
      </c>
    </row>
    <row r="182" spans="1:3" x14ac:dyDescent="0.3">
      <c r="A182">
        <v>181</v>
      </c>
      <c r="B182" t="s">
        <v>716</v>
      </c>
      <c r="C182" t="s">
        <v>717</v>
      </c>
    </row>
    <row r="183" spans="1:3" x14ac:dyDescent="0.3">
      <c r="A183">
        <v>182</v>
      </c>
      <c r="B183" t="s">
        <v>726</v>
      </c>
      <c r="C183" t="s">
        <v>1231</v>
      </c>
    </row>
    <row r="184" spans="1:3" x14ac:dyDescent="0.3">
      <c r="A184">
        <v>183</v>
      </c>
      <c r="B184" t="s">
        <v>727</v>
      </c>
      <c r="C184" t="s">
        <v>728</v>
      </c>
    </row>
    <row r="185" spans="1:3" x14ac:dyDescent="0.3">
      <c r="A185">
        <v>184</v>
      </c>
      <c r="B185" t="s">
        <v>729</v>
      </c>
      <c r="C185" t="s">
        <v>1229</v>
      </c>
    </row>
    <row r="186" spans="1:3" x14ac:dyDescent="0.3">
      <c r="A186">
        <v>185</v>
      </c>
      <c r="B186" t="s">
        <v>755</v>
      </c>
      <c r="C186" t="s">
        <v>756</v>
      </c>
    </row>
    <row r="187" spans="1:3" x14ac:dyDescent="0.3">
      <c r="A187">
        <v>186</v>
      </c>
      <c r="B187" t="s">
        <v>757</v>
      </c>
      <c r="C187" t="s">
        <v>758</v>
      </c>
    </row>
    <row r="188" spans="1:3" x14ac:dyDescent="0.3">
      <c r="A188">
        <v>187</v>
      </c>
      <c r="B188" t="s">
        <v>759</v>
      </c>
      <c r="C188" t="s">
        <v>760</v>
      </c>
    </row>
    <row r="189" spans="1:3" x14ac:dyDescent="0.3">
      <c r="A189">
        <v>188</v>
      </c>
      <c r="B189" t="s">
        <v>761</v>
      </c>
      <c r="C189" s="39" t="s">
        <v>760</v>
      </c>
    </row>
    <row r="190" spans="1:3" x14ac:dyDescent="0.3">
      <c r="A190">
        <v>189</v>
      </c>
      <c r="B190" t="s">
        <v>762</v>
      </c>
      <c r="C190" t="s">
        <v>763</v>
      </c>
    </row>
    <row r="191" spans="1:3" x14ac:dyDescent="0.3">
      <c r="A191">
        <v>190</v>
      </c>
      <c r="B191" t="s">
        <v>764</v>
      </c>
      <c r="C191" s="39" t="s">
        <v>758</v>
      </c>
    </row>
    <row r="192" spans="1:3" x14ac:dyDescent="0.3">
      <c r="A192">
        <v>191</v>
      </c>
      <c r="B192" t="s">
        <v>781</v>
      </c>
      <c r="C192" t="s">
        <v>1232</v>
      </c>
    </row>
    <row r="193" spans="1:3" x14ac:dyDescent="0.3">
      <c r="A193">
        <v>192</v>
      </c>
      <c r="B193" t="s">
        <v>782</v>
      </c>
      <c r="C193" t="s">
        <v>783</v>
      </c>
    </row>
    <row r="194" spans="1:3" x14ac:dyDescent="0.3">
      <c r="A194">
        <v>193</v>
      </c>
      <c r="B194" t="s">
        <v>784</v>
      </c>
      <c r="C194" t="s">
        <v>785</v>
      </c>
    </row>
    <row r="195" spans="1:3" x14ac:dyDescent="0.3">
      <c r="A195">
        <v>194</v>
      </c>
      <c r="B195" t="s">
        <v>786</v>
      </c>
      <c r="C195" t="s">
        <v>787</v>
      </c>
    </row>
    <row r="196" spans="1:3" x14ac:dyDescent="0.3">
      <c r="A196">
        <v>195</v>
      </c>
      <c r="B196" t="s">
        <v>788</v>
      </c>
      <c r="C196" t="s">
        <v>789</v>
      </c>
    </row>
    <row r="197" spans="1:3" x14ac:dyDescent="0.3">
      <c r="A197">
        <v>196</v>
      </c>
      <c r="B197" t="s">
        <v>790</v>
      </c>
      <c r="C197" t="s">
        <v>1233</v>
      </c>
    </row>
    <row r="198" spans="1:3" x14ac:dyDescent="0.3">
      <c r="A198">
        <v>197</v>
      </c>
      <c r="B198" t="s">
        <v>795</v>
      </c>
      <c r="C198" t="s">
        <v>794</v>
      </c>
    </row>
    <row r="199" spans="1:3" x14ac:dyDescent="0.3">
      <c r="A199">
        <v>198</v>
      </c>
      <c r="B199" t="s">
        <v>796</v>
      </c>
      <c r="C199" t="s">
        <v>797</v>
      </c>
    </row>
    <row r="200" spans="1:3" x14ac:dyDescent="0.3">
      <c r="A200">
        <v>199</v>
      </c>
      <c r="B200" t="s">
        <v>799</v>
      </c>
      <c r="C200" t="s">
        <v>800</v>
      </c>
    </row>
    <row r="201" spans="1:3" x14ac:dyDescent="0.3">
      <c r="A201">
        <v>200</v>
      </c>
      <c r="B201" t="s">
        <v>805</v>
      </c>
      <c r="C201" t="s">
        <v>1234</v>
      </c>
    </row>
    <row r="202" spans="1:3" x14ac:dyDescent="0.3">
      <c r="A202">
        <v>201</v>
      </c>
      <c r="B202" t="s">
        <v>806</v>
      </c>
      <c r="C202" t="s">
        <v>807</v>
      </c>
    </row>
    <row r="203" spans="1:3" x14ac:dyDescent="0.3">
      <c r="A203">
        <v>202</v>
      </c>
      <c r="B203" t="s">
        <v>808</v>
      </c>
      <c r="C203" t="s">
        <v>809</v>
      </c>
    </row>
    <row r="204" spans="1:3" x14ac:dyDescent="0.3">
      <c r="A204">
        <v>203</v>
      </c>
      <c r="B204" t="s">
        <v>841</v>
      </c>
      <c r="C204" t="s">
        <v>842</v>
      </c>
    </row>
    <row r="205" spans="1:3" x14ac:dyDescent="0.3">
      <c r="A205">
        <v>204</v>
      </c>
      <c r="B205" t="s">
        <v>843</v>
      </c>
      <c r="C205" t="s">
        <v>844</v>
      </c>
    </row>
    <row r="206" spans="1:3" x14ac:dyDescent="0.3">
      <c r="A206">
        <v>205</v>
      </c>
      <c r="B206" t="s">
        <v>774</v>
      </c>
      <c r="C206" t="s">
        <v>845</v>
      </c>
    </row>
    <row r="207" spans="1:3" x14ac:dyDescent="0.3">
      <c r="A207">
        <v>206</v>
      </c>
      <c r="B207" t="s">
        <v>846</v>
      </c>
      <c r="C207" s="39" t="s">
        <v>845</v>
      </c>
    </row>
    <row r="208" spans="1:3" x14ac:dyDescent="0.3">
      <c r="A208">
        <v>207</v>
      </c>
      <c r="B208" t="s">
        <v>847</v>
      </c>
      <c r="C208" t="s">
        <v>848</v>
      </c>
    </row>
    <row r="209" spans="1:3" x14ac:dyDescent="0.3">
      <c r="A209">
        <v>208</v>
      </c>
      <c r="B209" t="s">
        <v>886</v>
      </c>
      <c r="C209" t="s">
        <v>885</v>
      </c>
    </row>
    <row r="210" spans="1:3" x14ac:dyDescent="0.3">
      <c r="A210">
        <v>209</v>
      </c>
      <c r="B210" t="s">
        <v>893</v>
      </c>
      <c r="C210" t="s">
        <v>894</v>
      </c>
    </row>
    <row r="211" spans="1:3" x14ac:dyDescent="0.3">
      <c r="A211">
        <v>210</v>
      </c>
      <c r="B211" t="s">
        <v>895</v>
      </c>
      <c r="C211" t="s">
        <v>896</v>
      </c>
    </row>
    <row r="212" spans="1:3" x14ac:dyDescent="0.3">
      <c r="A212">
        <v>211</v>
      </c>
      <c r="B212" t="s">
        <v>899</v>
      </c>
      <c r="C212" t="s">
        <v>900</v>
      </c>
    </row>
    <row r="213" spans="1:3" x14ac:dyDescent="0.3">
      <c r="A213">
        <v>212</v>
      </c>
      <c r="B213" t="s">
        <v>1180</v>
      </c>
      <c r="C213" t="s">
        <v>1235</v>
      </c>
    </row>
    <row r="214" spans="1:3" x14ac:dyDescent="0.3">
      <c r="A214">
        <v>213</v>
      </c>
      <c r="B214" t="s">
        <v>1181</v>
      </c>
      <c r="C214" t="s">
        <v>1182</v>
      </c>
    </row>
    <row r="215" spans="1:3" x14ac:dyDescent="0.3">
      <c r="A215">
        <v>214</v>
      </c>
      <c r="B215" t="s">
        <v>1184</v>
      </c>
      <c r="C215" t="s">
        <v>1185</v>
      </c>
    </row>
    <row r="216" spans="1:3" x14ac:dyDescent="0.3">
      <c r="A216">
        <v>215</v>
      </c>
      <c r="B216" t="s">
        <v>1186</v>
      </c>
      <c r="C216" t="s">
        <v>1187</v>
      </c>
    </row>
    <row r="217" spans="1:3" x14ac:dyDescent="0.3">
      <c r="A217">
        <v>216</v>
      </c>
      <c r="B217" t="s">
        <v>1188</v>
      </c>
      <c r="C217" t="s">
        <v>1189</v>
      </c>
    </row>
    <row r="218" spans="1:3" x14ac:dyDescent="0.3">
      <c r="A218">
        <v>217</v>
      </c>
      <c r="B218" t="s">
        <v>1207</v>
      </c>
      <c r="C218" t="s">
        <v>1228</v>
      </c>
    </row>
    <row r="219" spans="1:3" x14ac:dyDescent="0.3">
      <c r="A219">
        <v>218</v>
      </c>
      <c r="B219" t="s">
        <v>1208</v>
      </c>
      <c r="C219" t="s">
        <v>1209</v>
      </c>
    </row>
    <row r="220" spans="1:3" x14ac:dyDescent="0.3">
      <c r="A220">
        <v>219</v>
      </c>
      <c r="B220" t="s">
        <v>1213</v>
      </c>
      <c r="C220" t="s">
        <v>1214</v>
      </c>
    </row>
    <row r="221" spans="1:3" x14ac:dyDescent="0.3">
      <c r="A221">
        <v>220</v>
      </c>
      <c r="B221" t="s">
        <v>1261</v>
      </c>
      <c r="C221" t="s">
        <v>1262</v>
      </c>
    </row>
    <row r="222" spans="1:3" x14ac:dyDescent="0.3">
      <c r="A222">
        <v>221</v>
      </c>
      <c r="B222" t="s">
        <v>1263</v>
      </c>
      <c r="C222" t="s">
        <v>1264</v>
      </c>
    </row>
    <row r="223" spans="1:3" x14ac:dyDescent="0.3">
      <c r="A223">
        <v>222</v>
      </c>
      <c r="B223" t="s">
        <v>1266</v>
      </c>
      <c r="C223" t="s">
        <v>1265</v>
      </c>
    </row>
    <row r="224" spans="1:3" x14ac:dyDescent="0.3">
      <c r="A224">
        <v>223</v>
      </c>
      <c r="B224" t="s">
        <v>1283</v>
      </c>
      <c r="C224" t="s">
        <v>1296</v>
      </c>
    </row>
    <row r="225" spans="1:3" x14ac:dyDescent="0.3">
      <c r="A225">
        <v>224</v>
      </c>
      <c r="B225" t="s">
        <v>1284</v>
      </c>
      <c r="C225" t="s">
        <v>1285</v>
      </c>
    </row>
    <row r="226" spans="1:3" x14ac:dyDescent="0.3">
      <c r="A226">
        <v>225</v>
      </c>
      <c r="B226" t="s">
        <v>1286</v>
      </c>
      <c r="C226" t="s">
        <v>1287</v>
      </c>
    </row>
    <row r="227" spans="1:3" x14ac:dyDescent="0.3">
      <c r="A227">
        <v>226</v>
      </c>
      <c r="B227" t="s">
        <v>1288</v>
      </c>
      <c r="C227" t="s">
        <v>1289</v>
      </c>
    </row>
    <row r="228" spans="1:3" x14ac:dyDescent="0.3">
      <c r="A228">
        <v>227</v>
      </c>
      <c r="B228" t="s">
        <v>1298</v>
      </c>
      <c r="C228" t="s">
        <v>1301</v>
      </c>
    </row>
    <row r="229" spans="1:3" x14ac:dyDescent="0.3">
      <c r="A229">
        <v>228</v>
      </c>
      <c r="B229" t="s">
        <v>1302</v>
      </c>
      <c r="C229" t="s">
        <v>1303</v>
      </c>
    </row>
    <row r="230" spans="1:3" x14ac:dyDescent="0.3">
      <c r="A230">
        <v>229</v>
      </c>
      <c r="B230" t="s">
        <v>1329</v>
      </c>
      <c r="C230" t="s">
        <v>1330</v>
      </c>
    </row>
    <row r="231" spans="1:3" x14ac:dyDescent="0.3">
      <c r="A231">
        <v>230</v>
      </c>
      <c r="B231" t="s">
        <v>1331</v>
      </c>
      <c r="C231" t="s">
        <v>1332</v>
      </c>
    </row>
    <row r="232" spans="1:3" x14ac:dyDescent="0.3">
      <c r="A232">
        <v>231</v>
      </c>
      <c r="B232" t="s">
        <v>1347</v>
      </c>
      <c r="C232" t="s">
        <v>1348</v>
      </c>
    </row>
    <row r="233" spans="1:3" x14ac:dyDescent="0.3">
      <c r="A233">
        <v>232</v>
      </c>
      <c r="B233" t="s">
        <v>1349</v>
      </c>
      <c r="C233" t="s">
        <v>1350</v>
      </c>
    </row>
    <row r="234" spans="1:3" x14ac:dyDescent="0.3">
      <c r="A234">
        <v>233</v>
      </c>
      <c r="B234" t="s">
        <v>1351</v>
      </c>
      <c r="C234" t="s">
        <v>1352</v>
      </c>
    </row>
    <row r="235" spans="1:3" x14ac:dyDescent="0.3">
      <c r="A235">
        <v>234</v>
      </c>
      <c r="B235" t="s">
        <v>1353</v>
      </c>
      <c r="C235" t="s">
        <v>1354</v>
      </c>
    </row>
  </sheetData>
  <autoFilter ref="A1:C147"/>
  <hyperlinks>
    <hyperlink ref="B7"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09375" defaultRowHeight="14.4" x14ac:dyDescent="0.3"/>
  <cols>
    <col min="1" max="1" width="3.109375" style="34" bestFit="1" customWidth="1"/>
    <col min="2" max="2" width="9.109375" style="34"/>
    <col min="3" max="3" width="50.6640625" style="34" bestFit="1" customWidth="1"/>
    <col min="4" max="4" width="37.5546875" style="34" bestFit="1" customWidth="1"/>
    <col min="5" max="7" width="15.33203125" style="34" bestFit="1" customWidth="1"/>
    <col min="8" max="8" width="10.109375" style="34" bestFit="1" customWidth="1"/>
    <col min="9" max="11" width="9.109375" style="34"/>
    <col min="12" max="12" width="10.109375" style="34" bestFit="1" customWidth="1"/>
    <col min="13" max="16384" width="9.109375" style="34"/>
  </cols>
  <sheetData>
    <row r="1" spans="1:12" ht="29.25" customHeight="1" thickBot="1" x14ac:dyDescent="0.35">
      <c r="A1" s="35" t="s">
        <v>88</v>
      </c>
      <c r="B1" s="36" t="s">
        <v>89</v>
      </c>
      <c r="C1" s="36" t="s">
        <v>90</v>
      </c>
      <c r="D1" s="36" t="s">
        <v>4</v>
      </c>
      <c r="E1" s="36" t="s">
        <v>91</v>
      </c>
      <c r="F1" s="36" t="s">
        <v>50</v>
      </c>
      <c r="G1" s="36" t="s">
        <v>92</v>
      </c>
      <c r="H1" s="38">
        <f>COUNTA(B:B)-1</f>
        <v>0</v>
      </c>
      <c r="L1" s="37">
        <f ca="1">TODAY()</f>
        <v>43172</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60960</xdr:colOff>
                    <xdr:row>0</xdr:row>
                    <xdr:rowOff>7620</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6"/>
  <sheetViews>
    <sheetView topLeftCell="A34" workbookViewId="0">
      <selection activeCell="C46" sqref="C46"/>
    </sheetView>
  </sheetViews>
  <sheetFormatPr defaultRowHeight="14.4" x14ac:dyDescent="0.3"/>
  <cols>
    <col min="2" max="2" width="14.5546875" bestFit="1" customWidth="1"/>
    <col min="4" max="4" width="24.44140625" bestFit="1" customWidth="1"/>
  </cols>
  <sheetData>
    <row r="1" spans="1:4" ht="15" thickBot="1" x14ac:dyDescent="0.35">
      <c r="A1" s="7">
        <f>COUNTA(A2:A94)</f>
        <v>9</v>
      </c>
      <c r="B1" s="9" t="s">
        <v>48</v>
      </c>
      <c r="C1" s="11">
        <f>COUNTA(C2:C94)</f>
        <v>45</v>
      </c>
      <c r="D1" s="10" t="s">
        <v>34</v>
      </c>
    </row>
    <row r="2" spans="1:4" x14ac:dyDescent="0.3">
      <c r="A2" s="5" t="s">
        <v>26</v>
      </c>
      <c r="B2" s="4"/>
      <c r="C2" t="s">
        <v>49</v>
      </c>
    </row>
    <row r="3" spans="1:4" x14ac:dyDescent="0.3">
      <c r="A3" s="5" t="s">
        <v>27</v>
      </c>
      <c r="B3" s="4"/>
      <c r="C3" t="s">
        <v>134</v>
      </c>
    </row>
    <row r="4" spans="1:4" x14ac:dyDescent="0.3">
      <c r="A4" s="5" t="s">
        <v>29</v>
      </c>
      <c r="B4" s="4"/>
      <c r="C4" t="s">
        <v>35</v>
      </c>
    </row>
    <row r="5" spans="1:4" x14ac:dyDescent="0.3">
      <c r="A5" s="6" t="s">
        <v>40</v>
      </c>
      <c r="B5" s="4"/>
      <c r="C5" t="s">
        <v>36</v>
      </c>
    </row>
    <row r="6" spans="1:4" x14ac:dyDescent="0.3">
      <c r="A6" s="6" t="s">
        <v>41</v>
      </c>
      <c r="B6" s="4"/>
      <c r="C6" t="s">
        <v>37</v>
      </c>
    </row>
    <row r="7" spans="1:4" x14ac:dyDescent="0.3">
      <c r="A7" t="s">
        <v>94</v>
      </c>
      <c r="B7" s="4"/>
      <c r="C7" t="s">
        <v>47</v>
      </c>
    </row>
    <row r="8" spans="1:4" x14ac:dyDescent="0.3">
      <c r="A8" t="s">
        <v>95</v>
      </c>
      <c r="B8" s="4"/>
      <c r="C8" s="5" t="s">
        <v>28</v>
      </c>
    </row>
    <row r="9" spans="1:4" x14ac:dyDescent="0.3">
      <c r="A9" t="s">
        <v>96</v>
      </c>
      <c r="B9" s="4"/>
      <c r="C9" t="s">
        <v>52</v>
      </c>
    </row>
    <row r="10" spans="1:4" x14ac:dyDescent="0.3">
      <c r="A10" t="s">
        <v>104</v>
      </c>
      <c r="B10" s="4"/>
      <c r="C10" t="s">
        <v>53</v>
      </c>
    </row>
    <row r="11" spans="1:4" x14ac:dyDescent="0.3">
      <c r="B11" s="4"/>
      <c r="C11" t="s">
        <v>55</v>
      </c>
    </row>
    <row r="12" spans="1:4" x14ac:dyDescent="0.3">
      <c r="B12" s="4"/>
      <c r="C12" t="s">
        <v>56</v>
      </c>
    </row>
    <row r="13" spans="1:4" x14ac:dyDescent="0.3">
      <c r="B13" s="4"/>
      <c r="C13" t="s">
        <v>82</v>
      </c>
    </row>
    <row r="14" spans="1:4" x14ac:dyDescent="0.3">
      <c r="B14" s="4"/>
      <c r="C14" t="s">
        <v>83</v>
      </c>
    </row>
    <row r="15" spans="1:4" x14ac:dyDescent="0.3">
      <c r="B15" s="4"/>
      <c r="C15" t="s">
        <v>84</v>
      </c>
    </row>
    <row r="16" spans="1:4" x14ac:dyDescent="0.3">
      <c r="B16" s="4"/>
      <c r="C16" t="s">
        <v>115</v>
      </c>
    </row>
    <row r="17" spans="2:3" x14ac:dyDescent="0.3">
      <c r="B17" s="4"/>
      <c r="C17" t="s">
        <v>97</v>
      </c>
    </row>
    <row r="18" spans="2:3" x14ac:dyDescent="0.3">
      <c r="C18" t="s">
        <v>94</v>
      </c>
    </row>
    <row r="19" spans="2:3" x14ac:dyDescent="0.3">
      <c r="C19" t="s">
        <v>98</v>
      </c>
    </row>
    <row r="20" spans="2:3" x14ac:dyDescent="0.3">
      <c r="C20" t="s">
        <v>99</v>
      </c>
    </row>
    <row r="21" spans="2:3" x14ac:dyDescent="0.3">
      <c r="C21" t="s">
        <v>100</v>
      </c>
    </row>
    <row r="22" spans="2:3" x14ac:dyDescent="0.3">
      <c r="C22" t="s">
        <v>101</v>
      </c>
    </row>
    <row r="23" spans="2:3" x14ac:dyDescent="0.3">
      <c r="C23" t="s">
        <v>37</v>
      </c>
    </row>
    <row r="24" spans="2:3" x14ac:dyDescent="0.3">
      <c r="C24" t="s">
        <v>105</v>
      </c>
    </row>
    <row r="25" spans="2:3" x14ac:dyDescent="0.3">
      <c r="C25" t="s">
        <v>106</v>
      </c>
    </row>
    <row r="26" spans="2:3" x14ac:dyDescent="0.3">
      <c r="C26" t="s">
        <v>135</v>
      </c>
    </row>
    <row r="27" spans="2:3" x14ac:dyDescent="0.3">
      <c r="C27" t="s">
        <v>136</v>
      </c>
    </row>
    <row r="28" spans="2:3" x14ac:dyDescent="0.3">
      <c r="C28" t="s">
        <v>137</v>
      </c>
    </row>
    <row r="29" spans="2:3" x14ac:dyDescent="0.3">
      <c r="C29" t="s">
        <v>149</v>
      </c>
    </row>
    <row r="30" spans="2:3" x14ac:dyDescent="0.3">
      <c r="C30" t="s">
        <v>150</v>
      </c>
    </row>
    <row r="31" spans="2:3" x14ac:dyDescent="0.3">
      <c r="C31" t="s">
        <v>151</v>
      </c>
    </row>
    <row r="32" spans="2:3" x14ac:dyDescent="0.3">
      <c r="C32" t="s">
        <v>174</v>
      </c>
    </row>
    <row r="33" spans="3:3" x14ac:dyDescent="0.3">
      <c r="C33" t="s">
        <v>175</v>
      </c>
    </row>
    <row r="34" spans="3:3" x14ac:dyDescent="0.3">
      <c r="C34" t="s">
        <v>176</v>
      </c>
    </row>
    <row r="35" spans="3:3" x14ac:dyDescent="0.3">
      <c r="C35" t="s">
        <v>212</v>
      </c>
    </row>
    <row r="36" spans="3:3" x14ac:dyDescent="0.3">
      <c r="C36" t="s">
        <v>256</v>
      </c>
    </row>
    <row r="37" spans="3:3" x14ac:dyDescent="0.3">
      <c r="C37" t="s">
        <v>257</v>
      </c>
    </row>
    <row r="38" spans="3:3" x14ac:dyDescent="0.3">
      <c r="C38" t="s">
        <v>279</v>
      </c>
    </row>
    <row r="39" spans="3:3" x14ac:dyDescent="0.3">
      <c r="C39" t="s">
        <v>392</v>
      </c>
    </row>
    <row r="40" spans="3:3" x14ac:dyDescent="0.3">
      <c r="C40" t="s">
        <v>507</v>
      </c>
    </row>
    <row r="41" spans="3:3" x14ac:dyDescent="0.3">
      <c r="C41" t="s">
        <v>508</v>
      </c>
    </row>
    <row r="42" spans="3:3" x14ac:dyDescent="0.3">
      <c r="C42" t="s">
        <v>509</v>
      </c>
    </row>
    <row r="43" spans="3:3" x14ac:dyDescent="0.3">
      <c r="C43" t="s">
        <v>873</v>
      </c>
    </row>
    <row r="44" spans="3:3" x14ac:dyDescent="0.3">
      <c r="C44" t="s">
        <v>1338</v>
      </c>
    </row>
    <row r="45" spans="3:3" x14ac:dyDescent="0.3">
      <c r="C45" t="s">
        <v>1364</v>
      </c>
    </row>
    <row r="46" spans="3:3" x14ac:dyDescent="0.3">
      <c r="C46" t="s">
        <v>1365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2017-07-26T09:37:38Z</dcterms:created>
  <dcterms:modified xsi:type="dcterms:W3CDTF">2018-03-13T09:29:17Z</dcterms:modified>
</cp:coreProperties>
</file>