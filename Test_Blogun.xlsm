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ЦяКнига"/>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23040" windowHeight="9192" tabRatio="767" activeTab="5"/>
  </bookViews>
  <sheets>
    <sheet name="Лист2" sheetId="7" r:id="rId1"/>
    <sheet name="BufferList" sheetId="10" r:id="rId2"/>
    <sheet name="Авторизация" sheetId="5" r:id="rId3"/>
    <sheet name="Ключи" sheetId="9" r:id="rId4"/>
    <sheet name="Список" sheetId="6" r:id="rId5"/>
    <sheet name="Обработка" sheetId="11" r:id="rId6"/>
    <sheet name="Исключения" sheetId="12" r:id="rId7"/>
  </sheets>
  <functionGroups builtInGroupCount="18"/>
  <definedNames>
    <definedName name="_xlnm._FilterDatabase" localSheetId="6" hidden="1">Исключения!$C$1:$C$25</definedName>
    <definedName name="_xlnm._FilterDatabase" localSheetId="3" hidden="1">Ключи!$B$1:$C$201</definedName>
    <definedName name="_xlnm._FilterDatabase" localSheetId="5" hidden="1">Обработка!$U$1:$U$44</definedName>
    <definedName name="_xlnm._FilterDatabase" localSheetId="4" hidden="1">Список!$A$1:$P$1</definedName>
    <definedName name="api_pr.sape.ru" localSheetId="0">Лист2!#REF!</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2" i="11" l="1"/>
  <c r="C1" i="12" l="1"/>
  <c r="A1" i="12"/>
  <c r="A1" i="9" l="1"/>
</calcChain>
</file>

<file path=xl/connections.xml><?xml version="1.0" encoding="utf-8"?>
<connections xmlns="http://schemas.openxmlformats.org/spreadsheetml/2006/main">
  <connection id="1" name="Test3" type="4" refreshedVersion="0" deleted="1" background="1">
    <webPr xml="1" sourceData="1" parsePre="1" consecutive="1" url="C:\Users\chernyahivskiy.v\Desktop\Тести\TestRepo\Test3.xml" htmlTables="1"/>
  </connection>
  <connection id="2" name="Test31" type="4" refreshedVersion="0" deleted="1" background="1">
    <webPr xml="1" sourceData="1" url="C:\Users\chernyahivskiy.v\Desktop\Тести\TestRepo\Test3.xml" htmlTables="1" htmlFormat="all"/>
  </connection>
  <connection id="3" name="Test32" type="4" refreshedVersion="0" deleted="1" background="1">
    <webPr xml="1" sourceData="1" url="C:\Users\chernyahivskiy.v\Desktop\Тести\TestRepo\Test3.xml" htmlTables="1" htmlFormat="all"/>
  </connection>
  <connection id="4" name="Test33" type="4" refreshedVersion="0" deleted="1" background="1">
    <webPr xml="1" sourceData="1" url="C:\Users\chernyahivskiy.v\Desktop\Тести\TestRepo\Test3.xml" htmlTables="1" htmlFormat="all"/>
  </connection>
  <connection id="5" name="Test34" type="4" refreshedVersion="0" deleted="1" background="1">
    <webPr xml="1" sourceData="1" url="C:\Users\chernyahivskiy.v\Desktop\Тести\TestRepo\Test3.xml" htmlTables="1" htmlFormat="all"/>
  </connection>
  <connection id="6" name="Test35" type="4" refreshedVersion="0" deleted="1" background="1">
    <webPr xml="1" sourceData="1" url="C:\Users\chernyahivskiy.v\Desktop\Тести\TestRepo\Test3.xml" htmlTables="1" htmlFormat="all"/>
  </connection>
  <connection id="7" name="Test36" type="4" refreshedVersion="0" deleted="1" background="1">
    <webPr xml="1" sourceData="1" url="C:\Users\chernyahivskiy.v\Desktop\Тести\TestRepo\Test3.xml" htmlTables="1" htmlFormat="all"/>
  </connection>
  <connection id="8" name="Test37" type="4" refreshedVersion="0" deleted="1" background="1">
    <webPr xml="1" sourceData="1" url="C:\Users\chernyahivskiy.v\Desktop\Тести\TestRepo\Test3.xml" htmlTables="1" htmlFormat="all"/>
  </connection>
</connections>
</file>

<file path=xl/sharedStrings.xml><?xml version="1.0" encoding="utf-8"?>
<sst xmlns="http://schemas.openxmlformats.org/spreadsheetml/2006/main" count="696" uniqueCount="629">
  <si>
    <t>медоборудование</t>
  </si>
  <si>
    <t>ID заявки</t>
  </si>
  <si>
    <t>Тип заявки</t>
  </si>
  <si>
    <t>Площадка</t>
  </si>
  <si>
    <t>Ссылка анкора</t>
  </si>
  <si>
    <t>Текст анкора</t>
  </si>
  <si>
    <t>№</t>
  </si>
  <si>
    <t xml:space="preserve">Дата создания </t>
  </si>
  <si>
    <t>Ключевое слово</t>
  </si>
  <si>
    <t>Картинка</t>
  </si>
  <si>
    <t>Статус</t>
  </si>
  <si>
    <t>Title</t>
  </si>
  <si>
    <t>Keywords с сайта</t>
  </si>
  <si>
    <t>Корень слова</t>
  </si>
  <si>
    <t>Фраза</t>
  </si>
  <si>
    <t>жк</t>
  </si>
  <si>
    <t>Как выбрать квартиру.</t>
  </si>
  <si>
    <t>сковород</t>
  </si>
  <si>
    <t>Как выбрать сковороду.</t>
  </si>
  <si>
    <t>недвижимост</t>
  </si>
  <si>
    <t>Как правильно выбирать недвижимость.</t>
  </si>
  <si>
    <t>здоровье</t>
  </si>
  <si>
    <t>Как правильно следить за своим здоровьем.</t>
  </si>
  <si>
    <t>оренд</t>
  </si>
  <si>
    <t>Как орендовать недвижимость.</t>
  </si>
  <si>
    <t>алергия</t>
  </si>
  <si>
    <t>Какие причины аллергии.</t>
  </si>
  <si>
    <t>мебел</t>
  </si>
  <si>
    <t>Как выбрать мебель для дома.</t>
  </si>
  <si>
    <t>виагра</t>
  </si>
  <si>
    <t>Как улучшить сексуальные отношения.</t>
  </si>
  <si>
    <t>потенци</t>
  </si>
  <si>
    <t>Как возобновить интимные отношения.</t>
  </si>
  <si>
    <t>семян</t>
  </si>
  <si>
    <t>Как правильно отбирать семена.</t>
  </si>
  <si>
    <t>грузо</t>
  </si>
  <si>
    <t>квартир</t>
  </si>
  <si>
    <t>Как правильно купить квартиру.</t>
  </si>
  <si>
    <t>двер</t>
  </si>
  <si>
    <t>Как выбрать двери для дома.</t>
  </si>
  <si>
    <t>гипсокартон</t>
  </si>
  <si>
    <t>Как начать ремонт квартиры.</t>
  </si>
  <si>
    <t>алкоголизм</t>
  </si>
  <si>
    <t>Как победить алкоголизм.</t>
  </si>
  <si>
    <t>прическ</t>
  </si>
  <si>
    <t>Модные прически этого сезона.</t>
  </si>
  <si>
    <t>цветы</t>
  </si>
  <si>
    <t>Как выбрать хорошие цветы.</t>
  </si>
  <si>
    <t>золот</t>
  </si>
  <si>
    <t>Как выбрать украшения из золота.</t>
  </si>
  <si>
    <t>игрушк</t>
  </si>
  <si>
    <t>Выбираем детские игрушки.</t>
  </si>
  <si>
    <t>английск</t>
  </si>
  <si>
    <t>Как быстро выучить английский.</t>
  </si>
  <si>
    <t>одежд</t>
  </si>
  <si>
    <t>Как выбрать модную одежду.</t>
  </si>
  <si>
    <t>ноутбук</t>
  </si>
  <si>
    <t>Как правильно выбрать ноутбук.</t>
  </si>
  <si>
    <t>моноколесо</t>
  </si>
  <si>
    <t>Как пользоваться моноколесом.</t>
  </si>
  <si>
    <t>зерн</t>
  </si>
  <si>
    <t>Правильное хранение зерновых культур.</t>
  </si>
  <si>
    <t>флаг</t>
  </si>
  <si>
    <t>Где устанавливается флагшток.</t>
  </si>
  <si>
    <t>Как забрать посылку из Китая.</t>
  </si>
  <si>
    <t>раскрутка</t>
  </si>
  <si>
    <t>Как правильно раскуртить свой сайт.</t>
  </si>
  <si>
    <t>конвейер</t>
  </si>
  <si>
    <t>Где используются конвейеры.</t>
  </si>
  <si>
    <t>новострой</t>
  </si>
  <si>
    <t>Как выбрать квартиру в новостройке.</t>
  </si>
  <si>
    <t>иннов</t>
  </si>
  <si>
    <t>Как рождаются инновационные идеи.</t>
  </si>
  <si>
    <t>рыбалк</t>
  </si>
  <si>
    <t>Что нужно для рыбалки.</t>
  </si>
  <si>
    <t>кино</t>
  </si>
  <si>
    <t>Любимые жанры в кино.</t>
  </si>
  <si>
    <t>Как создается сайт.</t>
  </si>
  <si>
    <t>упаковк</t>
  </si>
  <si>
    <t>Праздничная упаковка подарка.</t>
  </si>
  <si>
    <t>наркотик</t>
  </si>
  <si>
    <t>Как наркотики разрушают жизнь.</t>
  </si>
  <si>
    <t>генети</t>
  </si>
  <si>
    <t>Как генетика улучшает нашу жизнь.</t>
  </si>
  <si>
    <t>метал</t>
  </si>
  <si>
    <t>Какие изделия изготавливают из металла.</t>
  </si>
  <si>
    <t>краска</t>
  </si>
  <si>
    <t>Как правильно выбрать краску.</t>
  </si>
  <si>
    <t>тиковое масло</t>
  </si>
  <si>
    <t>Виды защиты древесины.</t>
  </si>
  <si>
    <t>генератор</t>
  </si>
  <si>
    <t>конструктор</t>
  </si>
  <si>
    <t>Как выбрать конструктор для ребенка.</t>
  </si>
  <si>
    <t>кондиционер</t>
  </si>
  <si>
    <t>Как подобрать кондиционер.</t>
  </si>
  <si>
    <t>перфоратор</t>
  </si>
  <si>
    <t>Как выбрать дрель для дома.</t>
  </si>
  <si>
    <t>Виды оборудования для медучтереждений.</t>
  </si>
  <si>
    <t>Где применяются электрические генераторы.</t>
  </si>
  <si>
    <t>плать</t>
  </si>
  <si>
    <t>Модные платья этого сезона.</t>
  </si>
  <si>
    <t>чугун</t>
  </si>
  <si>
    <t>авто</t>
  </si>
  <si>
    <t>Как правильно купить автомобиль.</t>
  </si>
  <si>
    <t>ваканс</t>
  </si>
  <si>
    <t>Как правильно составить резюме.</t>
  </si>
  <si>
    <t>мусор</t>
  </si>
  <si>
    <t>Как мы загрязняем нашу планету.</t>
  </si>
  <si>
    <t>ткан</t>
  </si>
  <si>
    <t>Как выбрать качественную ткань.</t>
  </si>
  <si>
    <t>печать</t>
  </si>
  <si>
    <t>Какие виды печати существуют.</t>
  </si>
  <si>
    <t>компан</t>
  </si>
  <si>
    <t>Как открыть компанию за границей.</t>
  </si>
  <si>
    <t>ресторан</t>
  </si>
  <si>
    <t>Как подобрать ресторан.</t>
  </si>
  <si>
    <t>гинеколог</t>
  </si>
  <si>
    <t>Распостраненные женские болезни.</t>
  </si>
  <si>
    <t>Нужны ли прививки.</t>
  </si>
  <si>
    <t>приви</t>
  </si>
  <si>
    <t>холтер</t>
  </si>
  <si>
    <t>Что такое экг по холтеру.</t>
  </si>
  <si>
    <t>crm</t>
  </si>
  <si>
    <t>Как взаимодействовать с клиентами.</t>
  </si>
  <si>
    <t>путевк</t>
  </si>
  <si>
    <t>Как недорого выбрать тур.</t>
  </si>
  <si>
    <t>Чем уголь выгоднее.</t>
  </si>
  <si>
    <t>угл</t>
  </si>
  <si>
    <t>amway</t>
  </si>
  <si>
    <t>Как побдобрать себе косметику.</t>
  </si>
  <si>
    <t>терминал</t>
  </si>
  <si>
    <t>Как расчитаться картой в магазине.</t>
  </si>
  <si>
    <t>роды</t>
  </si>
  <si>
    <t>отопление</t>
  </si>
  <si>
    <t>Чем обогревать свой дом.</t>
  </si>
  <si>
    <t>Кол. Строк</t>
  </si>
  <si>
    <t>Конечный текст</t>
  </si>
  <si>
    <t>Отбор по сайту</t>
  </si>
  <si>
    <t>Отбор по предложениям</t>
  </si>
  <si>
    <t>русский</t>
  </si>
  <si>
    <t>українська</t>
  </si>
  <si>
    <t>наш</t>
  </si>
  <si>
    <t>только зарегистрированные пользователи</t>
  </si>
  <si>
    <t>мы предлогаем</t>
  </si>
  <si>
    <t>live</t>
  </si>
  <si>
    <t>у нас в офисе</t>
  </si>
  <si>
    <t>о телеканале</t>
  </si>
  <si>
    <t>мы работаем</t>
  </si>
  <si>
    <t>многолетний опыт</t>
  </si>
  <si>
    <t>интеренет-магазин</t>
  </si>
  <si>
    <t>президент</t>
  </si>
  <si>
    <t>пожалуйста зарегистрируйтесь</t>
  </si>
  <si>
    <t>врачи клиники</t>
  </si>
  <si>
    <t>реклама</t>
  </si>
  <si>
    <t>форум</t>
  </si>
  <si>
    <t>спонсор</t>
  </si>
  <si>
    <t>рассказывают</t>
  </si>
  <si>
    <t>оставьте пожалуйста</t>
  </si>
  <si>
    <t>нас просили</t>
  </si>
  <si>
    <t>видео</t>
  </si>
  <si>
    <t>предыдущей статье</t>
  </si>
  <si>
    <t>киев</t>
  </si>
  <si>
    <t>главный редактор</t>
  </si>
  <si>
    <t xml:space="preserve">шеф-редактор </t>
  </si>
  <si>
    <t>комментарии</t>
  </si>
  <si>
    <t>украин</t>
  </si>
  <si>
    <t>росси</t>
  </si>
  <si>
    <t>республик</t>
  </si>
  <si>
    <t>рекомендует</t>
  </si>
  <si>
    <t>специализируюсь</t>
  </si>
  <si>
    <t>создаю</t>
  </si>
  <si>
    <t>приватбанк</t>
  </si>
  <si>
    <t>dom.ria</t>
  </si>
  <si>
    <t>укрпочт</t>
  </si>
  <si>
    <t>полтав</t>
  </si>
  <si>
    <t xml:space="preserve">я </t>
  </si>
  <si>
    <t>мною</t>
  </si>
  <si>
    <t>посвящается</t>
  </si>
  <si>
    <t>ощадбанк</t>
  </si>
  <si>
    <t>сбербанк</t>
  </si>
  <si>
    <t>стяжка</t>
  </si>
  <si>
    <t>Как произвести стяжку пола.</t>
  </si>
  <si>
    <t>медтехн</t>
  </si>
  <si>
    <t>Виды медицинского оборудования.</t>
  </si>
  <si>
    <t>канализац</t>
  </si>
  <si>
    <t>Как правильно следить за канализацией.</t>
  </si>
  <si>
    <t>водоотвод</t>
  </si>
  <si>
    <t>Как посторить водоотвод у дома.</t>
  </si>
  <si>
    <t>парикмахер</t>
  </si>
  <si>
    <t>отель</t>
  </si>
  <si>
    <t>Как правильно выбрать отель.</t>
  </si>
  <si>
    <t>полимер</t>
  </si>
  <si>
    <t>Виды изделий из полимеров.</t>
  </si>
  <si>
    <t>массаж</t>
  </si>
  <si>
    <t>Как правильно выполнять массаж.</t>
  </si>
  <si>
    <t>свидетельство о регистрации</t>
  </si>
  <si>
    <t>наклейк</t>
  </si>
  <si>
    <t>Виды индивидуальной рекламы.</t>
  </si>
  <si>
    <t>весь спектр услуг</t>
  </si>
  <si>
    <t>Как правильно закрепить груз.</t>
  </si>
  <si>
    <t>плитк</t>
  </si>
  <si>
    <t>Как подобрать плитку для кухни.</t>
  </si>
  <si>
    <t>санатор</t>
  </si>
  <si>
    <t>Как поддерживать свое здоровье.</t>
  </si>
  <si>
    <t>психотерап</t>
  </si>
  <si>
    <t>Как приобрести душевное равновесие.</t>
  </si>
  <si>
    <t>балкон</t>
  </si>
  <si>
    <t>Как расширить балкон.</t>
  </si>
  <si>
    <t>матра</t>
  </si>
  <si>
    <t>Как создать здоровый сон.</t>
  </si>
  <si>
    <t>бд</t>
  </si>
  <si>
    <t>Виды баз данных.</t>
  </si>
  <si>
    <t>git</t>
  </si>
  <si>
    <t>Сохранение версий при разработке.</t>
  </si>
  <si>
    <t>css</t>
  </si>
  <si>
    <t>Использование стилей в вебразработке.</t>
  </si>
  <si>
    <t>веб</t>
  </si>
  <si>
    <t>тамад</t>
  </si>
  <si>
    <t>Как подготовиться к свадьбе.</t>
  </si>
  <si>
    <t>антикор</t>
  </si>
  <si>
    <t>Как защитить метал от ржавчины.</t>
  </si>
  <si>
    <t>текстил</t>
  </si>
  <si>
    <t>Используем текстиль в нашем доме.</t>
  </si>
  <si>
    <t>Как женщине подготовится к родам.</t>
  </si>
  <si>
    <t>ve4e.com.ua</t>
  </si>
  <si>
    <t>автобус</t>
  </si>
  <si>
    <t>Как можно путешестовать по Европе.</t>
  </si>
  <si>
    <t>Прокси</t>
  </si>
  <si>
    <t>рубероид</t>
  </si>
  <si>
    <t>Чем защитить кровлю дома.</t>
  </si>
  <si>
    <t>клип</t>
  </si>
  <si>
    <t>кроссов</t>
  </si>
  <si>
    <t>косметолог</t>
  </si>
  <si>
    <t>Как ухаживать за кожей лица.</t>
  </si>
  <si>
    <t>знакомств</t>
  </si>
  <si>
    <t>Как познакомиться в интеренете.</t>
  </si>
  <si>
    <t>отвод</t>
  </si>
  <si>
    <t>Покдлючение водопровода в доме.</t>
  </si>
  <si>
    <t>посуд</t>
  </si>
  <si>
    <t>Выбираем посуду для кухни.</t>
  </si>
  <si>
    <t>bocado</t>
  </si>
  <si>
    <t>Распостраненные блюда итальянсокй кухни.</t>
  </si>
  <si>
    <t>стероид</t>
  </si>
  <si>
    <t>Как првильно качать мышцы.</t>
  </si>
  <si>
    <t>рулев</t>
  </si>
  <si>
    <t>Распостраненные поломки автомобиля.</t>
  </si>
  <si>
    <t>сайдинг</t>
  </si>
  <si>
    <t>Как облицовать загородный дом.</t>
  </si>
  <si>
    <t>строительств</t>
  </si>
  <si>
    <t>Как построить свой дом.</t>
  </si>
  <si>
    <t>лаборатория</t>
  </si>
  <si>
    <t>косметик</t>
  </si>
  <si>
    <t>Как правильно выбрать косметику.</t>
  </si>
  <si>
    <t>глушит</t>
  </si>
  <si>
    <t>Основные поломки выхлопной системы автомобиля.</t>
  </si>
  <si>
    <t>коммутатор</t>
  </si>
  <si>
    <t>Где преминяется сетевой коммутатор.</t>
  </si>
  <si>
    <t>шкаф</t>
  </si>
  <si>
    <t>Как подобрать шкаф-купе.</t>
  </si>
  <si>
    <t>обогревател</t>
  </si>
  <si>
    <t>Как правильно пожобрать обогреватель для дома.</t>
  </si>
  <si>
    <t>Не подключена публикация.</t>
  </si>
  <si>
    <t>охран</t>
  </si>
  <si>
    <t>Как организовать индивидуальную охрану.</t>
  </si>
  <si>
    <t>стеклопакет</t>
  </si>
  <si>
    <t>Как подобрать металопластиковое окно.</t>
  </si>
  <si>
    <t>виброяйцо</t>
  </si>
  <si>
    <t>метан</t>
  </si>
  <si>
    <t>Как выбрать газ для обогревания дома.</t>
  </si>
  <si>
    <t>труб</t>
  </si>
  <si>
    <t>Как установить вытяжку в доме.</t>
  </si>
  <si>
    <t>оргстекло</t>
  </si>
  <si>
    <t>Как производится оргстекло.</t>
  </si>
  <si>
    <t>абано</t>
  </si>
  <si>
    <t>Выбираем страну для лечения.</t>
  </si>
  <si>
    <t>Выбираем кроссовки на лето.</t>
  </si>
  <si>
    <t>Пользователь</t>
  </si>
  <si>
    <t>Максим</t>
  </si>
  <si>
    <t>Курко</t>
  </si>
  <si>
    <t>Нанопласт</t>
  </si>
  <si>
    <t>моли</t>
  </si>
  <si>
    <t>Признаки появления моли дома.</t>
  </si>
  <si>
    <t>ванн</t>
  </si>
  <si>
    <t>кровл</t>
  </si>
  <si>
    <t>Как правльно посторить крышу дома.</t>
  </si>
  <si>
    <t>сиалис</t>
  </si>
  <si>
    <t>полив</t>
  </si>
  <si>
    <t>Как настроить полив огорода.</t>
  </si>
  <si>
    <t>компрессор</t>
  </si>
  <si>
    <t>Применение воздушного компрессора.</t>
  </si>
  <si>
    <t>лжи</t>
  </si>
  <si>
    <t>Как проверить сотрудника при приеме на работу.</t>
  </si>
  <si>
    <t>скачать</t>
  </si>
  <si>
    <t>Стили популярной музыки.</t>
  </si>
  <si>
    <t>стм</t>
  </si>
  <si>
    <t>Как выбрать продукцию для супермаркета.</t>
  </si>
  <si>
    <t>меня зовут</t>
  </si>
  <si>
    <t>гибдд</t>
  </si>
  <si>
    <t>motorola</t>
  </si>
  <si>
    <t>Как выбрать смартфон.</t>
  </si>
  <si>
    <t>шкатулк</t>
  </si>
  <si>
    <t>Как правильно хранить украшения.</t>
  </si>
  <si>
    <t>ветеринар</t>
  </si>
  <si>
    <t>Как правильно выбрать ветеринара.</t>
  </si>
  <si>
    <t>кардиолог</t>
  </si>
  <si>
    <t>Как следить за здоровьем сердца.</t>
  </si>
  <si>
    <t>Как вовремя выявить болезнь.</t>
  </si>
  <si>
    <t>редакция не несет</t>
  </si>
  <si>
    <t>на правах рекламы</t>
  </si>
  <si>
    <t>техномаркет</t>
  </si>
  <si>
    <t>инсулин</t>
  </si>
  <si>
    <t>Правильное  питание при диабете.</t>
  </si>
  <si>
    <t>обувь</t>
  </si>
  <si>
    <t>Как выбрать обувь для ребенка.</t>
  </si>
  <si>
    <t>лазертаг</t>
  </si>
  <si>
    <t>Чем заняться на выходных.</t>
  </si>
  <si>
    <t>Как разнообразить секс.</t>
  </si>
  <si>
    <t>секс</t>
  </si>
  <si>
    <t>продвижен</t>
  </si>
  <si>
    <t>Как выполнить продвижение сайта.</t>
  </si>
  <si>
    <t>флажок безопасности</t>
  </si>
  <si>
    <t>чиллер</t>
  </si>
  <si>
    <t>Где используются чиллеры.</t>
  </si>
  <si>
    <t>Использование оружия в спорте.</t>
  </si>
  <si>
    <t>комикс</t>
  </si>
  <si>
    <t>Как создаются комиксы.</t>
  </si>
  <si>
    <t>ремонт холодил</t>
  </si>
  <si>
    <t>Как правильно следить за холодильником.</t>
  </si>
  <si>
    <t>ногт</t>
  </si>
  <si>
    <t>Как правильно следить за ногтями.</t>
  </si>
  <si>
    <t>создание сайт</t>
  </si>
  <si>
    <t>Как создать свой сайт.</t>
  </si>
  <si>
    <t>больничный</t>
  </si>
  <si>
    <t>Как лечиться при легкой простуде.</t>
  </si>
  <si>
    <t>по всей украине</t>
  </si>
  <si>
    <t>самовывоз</t>
  </si>
  <si>
    <t>ваша версия браузера</t>
  </si>
  <si>
    <t>tuning</t>
  </si>
  <si>
    <t>С чего начать тюнинг машины.</t>
  </si>
  <si>
    <t>logistics</t>
  </si>
  <si>
    <t>Как посторить логистику.</t>
  </si>
  <si>
    <t>запоя</t>
  </si>
  <si>
    <t>Как остановить запои.</t>
  </si>
  <si>
    <t>тельфер</t>
  </si>
  <si>
    <t>Где используется тельфер.</t>
  </si>
  <si>
    <t>баннер</t>
  </si>
  <si>
    <t>Виды внешней рекламы.</t>
  </si>
  <si>
    <t>hepcinat</t>
  </si>
  <si>
    <t>Причины заболевания гепатита.</t>
  </si>
  <si>
    <t>vps хостинг</t>
  </si>
  <si>
    <t>Что такое vps хостинг.</t>
  </si>
  <si>
    <t>санкт петербург</t>
  </si>
  <si>
    <t>Что интересного в Санкт-Петербурге.</t>
  </si>
  <si>
    <t>ружье</t>
  </si>
  <si>
    <t>Что нужно для охоты.</t>
  </si>
  <si>
    <t>пхукет</t>
  </si>
  <si>
    <t>Путешествуем по Таиланду.</t>
  </si>
  <si>
    <t>видеонаблюден</t>
  </si>
  <si>
    <t>Как обезопасить свою квартиру.</t>
  </si>
  <si>
    <t>topcar</t>
  </si>
  <si>
    <t>тревожную кнопку</t>
  </si>
  <si>
    <t>Как обезопасить свой бизнес.</t>
  </si>
  <si>
    <t>бухгалтер</t>
  </si>
  <si>
    <t>Как вести бухгалтерский учет.</t>
  </si>
  <si>
    <t>Как выполнить тюнинг автомобиля.</t>
  </si>
  <si>
    <t>fille russe</t>
  </si>
  <si>
    <t>гонадотропин</t>
  </si>
  <si>
    <t>аренда техники</t>
  </si>
  <si>
    <t>Как правильно выбрать арендованую технику.</t>
  </si>
  <si>
    <t>разработка сайт</t>
  </si>
  <si>
    <t>Как создать сайт.</t>
  </si>
  <si>
    <t>Где применяется гонадотропин.</t>
  </si>
  <si>
    <t>versace crystal</t>
  </si>
  <si>
    <t>Как подобрать духи.</t>
  </si>
  <si>
    <t>С чего начать знакомство с девушкой.</t>
  </si>
  <si>
    <t>прифинанс</t>
  </si>
  <si>
    <t>видеосъемка</t>
  </si>
  <si>
    <t>женские сумки</t>
  </si>
  <si>
    <t>медицинск</t>
  </si>
  <si>
    <t>Как правильно следить за здоровьем.</t>
  </si>
  <si>
    <t>коверлок</t>
  </si>
  <si>
    <t>Что такое коверлок.</t>
  </si>
  <si>
    <t>математика</t>
  </si>
  <si>
    <t>Как детям легко учить математику.</t>
  </si>
  <si>
    <t>window cleaning</t>
  </si>
  <si>
    <t>Как правилоьно ухаживать за окнами в доме.</t>
  </si>
  <si>
    <t>Как подобрать сумочку к одежде.</t>
  </si>
  <si>
    <t>детские коляски</t>
  </si>
  <si>
    <t>Как правильно выбрать коляску.</t>
  </si>
  <si>
    <t>мероприяти</t>
  </si>
  <si>
    <t>Как организовать бизнес-мероприятие.</t>
  </si>
  <si>
    <t>Как организовать свадьдбу.</t>
  </si>
  <si>
    <t>спортивная стенка</t>
  </si>
  <si>
    <t>фуршет</t>
  </si>
  <si>
    <t>Как устроить праздничный банкет.</t>
  </si>
  <si>
    <t>компьютер</t>
  </si>
  <si>
    <t>Как выбрать компьютер.</t>
  </si>
  <si>
    <t>канапе</t>
  </si>
  <si>
    <t>Как дома приготовить канапе.</t>
  </si>
  <si>
    <t>мчс</t>
  </si>
  <si>
    <t>В каких случаях нужно обращаться в мчс.</t>
  </si>
  <si>
    <t>femme</t>
  </si>
  <si>
    <t>Как найти невесту за границей.</t>
  </si>
  <si>
    <t>дом</t>
  </si>
  <si>
    <t>негатив</t>
  </si>
  <si>
    <t>мейтан</t>
  </si>
  <si>
    <t>Как правильно подобрать косметику.</t>
  </si>
  <si>
    <t>кухни на заказ</t>
  </si>
  <si>
    <t>Как выбрать кухню.</t>
  </si>
  <si>
    <t>окна</t>
  </si>
  <si>
    <t>Выбираем окно для дома.</t>
  </si>
  <si>
    <t>Как организовать спортивную стенку дома.</t>
  </si>
  <si>
    <t>ccg</t>
  </si>
  <si>
    <t>Что такое майнинг.</t>
  </si>
  <si>
    <t>провайдер</t>
  </si>
  <si>
    <t>Какой интернет подойдет для дома.</t>
  </si>
  <si>
    <t>плоттерная резка</t>
  </si>
  <si>
    <t>чистка лица</t>
  </si>
  <si>
    <t>Как следить за своим лицом.</t>
  </si>
  <si>
    <t>накладные ресницы</t>
  </si>
  <si>
    <t>Как подобрать накладные ресницы.</t>
  </si>
  <si>
    <t>крем от солнца</t>
  </si>
  <si>
    <t>Как обезопасить себя от ожогов на пляже.</t>
  </si>
  <si>
    <t>рулетка</t>
  </si>
  <si>
    <t>Как оебспечить себе выигрыш в рулетке.</t>
  </si>
  <si>
    <t>Где используется плоттерная порезка.</t>
  </si>
  <si>
    <t>квест</t>
  </si>
  <si>
    <t>Как устроить квест.</t>
  </si>
  <si>
    <t>империал -хол</t>
  </si>
  <si>
    <t>видгоф</t>
  </si>
  <si>
    <t>по телефону</t>
  </si>
  <si>
    <t>вас заблокирована возможност</t>
  </si>
  <si>
    <t>Где применяется чугун.</t>
  </si>
  <si>
    <t>київ</t>
  </si>
  <si>
    <t>Как быстро посчтиать деньги.</t>
  </si>
  <si>
    <t>купюроприемник</t>
  </si>
  <si>
    <t>Как проявлять пленку.</t>
  </si>
  <si>
    <t>ценник</t>
  </si>
  <si>
    <t>Как правильно выложить товар на витрине.</t>
  </si>
  <si>
    <t>теплиц</t>
  </si>
  <si>
    <t>Как построить теплицу.</t>
  </si>
  <si>
    <t>взыскание</t>
  </si>
  <si>
    <t>Как законно вернуть долг.</t>
  </si>
  <si>
    <t>Где применяются трансформаторы.</t>
  </si>
  <si>
    <t>трансформатор</t>
  </si>
  <si>
    <t>снегоход</t>
  </si>
  <si>
    <t>Как выбрать снегоход.</t>
  </si>
  <si>
    <t>Для чего нужно BTL-агентство.</t>
  </si>
  <si>
    <t>btl-агентство</t>
  </si>
  <si>
    <t>кухни</t>
  </si>
  <si>
    <t>Как подобарть кухонный гарнитур.</t>
  </si>
  <si>
    <t>снять тонировку</t>
  </si>
  <si>
    <t>Как правильно ухаживать за стеклами в машине.</t>
  </si>
  <si>
    <t>music</t>
  </si>
  <si>
    <t>Популярные стили в музыке.</t>
  </si>
  <si>
    <t>аптека</t>
  </si>
  <si>
    <t>Как правильно подобрать лекарства.</t>
  </si>
  <si>
    <t>псориаз</t>
  </si>
  <si>
    <t>Как вылечить псориаз.</t>
  </si>
  <si>
    <t>Как правильно подобрать шины для автомобиля.</t>
  </si>
  <si>
    <t>шины</t>
  </si>
  <si>
    <t>пицц</t>
  </si>
  <si>
    <t>Как приготовить пиццу.</t>
  </si>
  <si>
    <t>теплообменник</t>
  </si>
  <si>
    <t>Выбираем теплообменник для вентиляции.</t>
  </si>
  <si>
    <t>аудиореклама</t>
  </si>
  <si>
    <t>новости</t>
  </si>
  <si>
    <t>Как быть в курсе событий.</t>
  </si>
  <si>
    <t>футбол</t>
  </si>
  <si>
    <t>Как научится играть в футбол.</t>
  </si>
  <si>
    <t>Как приучить ребенка к чтению.</t>
  </si>
  <si>
    <t>учебная литература</t>
  </si>
  <si>
    <t>механические часы</t>
  </si>
  <si>
    <t>Как выбрать механические часы.</t>
  </si>
  <si>
    <t>освещение</t>
  </si>
  <si>
    <t>Как организовать освещение в большом помещении.</t>
  </si>
  <si>
    <t>кнопочные телефоны</t>
  </si>
  <si>
    <t>Чем кнопочный телефон удобнее.</t>
  </si>
  <si>
    <t>Как организовать расчетно-кассовые операции через банк.</t>
  </si>
  <si>
    <t>обслуживаение в банке</t>
  </si>
  <si>
    <t>аккумулятор</t>
  </si>
  <si>
    <t>Как следить за автомобильным аккумулятором.</t>
  </si>
  <si>
    <t>Где нужна аудиореклама.</t>
  </si>
  <si>
    <t>žalūzijas</t>
  </si>
  <si>
    <t>Как подобрать жалюзи на окно.</t>
  </si>
  <si>
    <t>запсикомбанк</t>
  </si>
  <si>
    <t>сочи</t>
  </si>
  <si>
    <t>скрыть рекламу</t>
  </si>
  <si>
    <t>заказывай на сайте</t>
  </si>
  <si>
    <t>без доплат</t>
  </si>
  <si>
    <t>рф</t>
  </si>
  <si>
    <t>кассовый аппарат</t>
  </si>
  <si>
    <t>ремонт газели</t>
  </si>
  <si>
    <t>Основные поломки автомобилей Газ.</t>
  </si>
  <si>
    <t>электронных валют</t>
  </si>
  <si>
    <t>Основные виды электронных валют.</t>
  </si>
  <si>
    <t>круиз</t>
  </si>
  <si>
    <t>Как подобрать круиз по морю.</t>
  </si>
  <si>
    <t>mp3</t>
  </si>
  <si>
    <t>Приимущества формата mp3.</t>
  </si>
  <si>
    <t>Как правильно вести кассу.</t>
  </si>
  <si>
    <t>охрана квартир</t>
  </si>
  <si>
    <t>Как защитить квартиру от воров.</t>
  </si>
  <si>
    <t>Iduser</t>
  </si>
  <si>
    <t>Auth</t>
  </si>
  <si>
    <t>URL заявки</t>
  </si>
  <si>
    <t>ID кампании</t>
  </si>
  <si>
    <t>Анкор1</t>
  </si>
  <si>
    <t>Анкор2</t>
  </si>
  <si>
    <t>3502cd2286a3516568e5b0c866dd7bf3a9b11a90de39f93b401ec689a200eeea</t>
  </si>
  <si>
    <t>сертификат соответствия</t>
  </si>
  <si>
    <t>Зачем нужен сертификат соответствия.</t>
  </si>
  <si>
    <t>Начинка</t>
  </si>
  <si>
    <t>Дата соз. Заявки</t>
  </si>
  <si>
    <t>Блоки</t>
  </si>
  <si>
    <t>Статус заявки</t>
  </si>
  <si>
    <t>Обрезка</t>
  </si>
  <si>
    <t>Перевод</t>
  </si>
  <si>
    <t>Обрез2</t>
  </si>
  <si>
    <t>Уникальность</t>
  </si>
  <si>
    <t>Тема</t>
  </si>
  <si>
    <t>Линк</t>
  </si>
  <si>
    <t>Закрыть сейчас</t>
  </si>
  <si>
    <t>Закрытие</t>
  </si>
  <si>
    <t>детский велосипед</t>
  </si>
  <si>
    <t>Как учить ребенка ездить на велосипеде.</t>
  </si>
  <si>
    <t>обновите ваш браузер</t>
  </si>
  <si>
    <t>OK</t>
  </si>
  <si>
    <t>toyota</t>
  </si>
  <si>
    <t>Как выбрать автомобиль перед покупкой.</t>
  </si>
  <si>
    <t>Empty</t>
  </si>
  <si>
    <t>Как правильно выбрать инвестора.</t>
  </si>
  <si>
    <t>костянтин єфименко</t>
  </si>
  <si>
    <t>осбб</t>
  </si>
  <si>
    <t>Вигода от вступления в осбб.</t>
  </si>
  <si>
    <t xml:space="preserve">ve4e.com.ua </t>
  </si>
  <si>
    <t>d9f3ab5d1d948d1fe100ff17481def07c326ef05839f0f836af05977054467eb</t>
  </si>
  <si>
    <t>светильник</t>
  </si>
  <si>
    <t>Как выбрать светильник для дома.</t>
  </si>
  <si>
    <t>mixtura</t>
  </si>
  <si>
    <t>Как правильно выбирать лекарства.</t>
  </si>
  <si>
    <t>карта мечты</t>
  </si>
  <si>
    <t>Как воплотить свою мечту.</t>
  </si>
  <si>
    <t>smesiteli</t>
  </si>
  <si>
    <t>Как выбрать смесители для ванной.</t>
  </si>
  <si>
    <t>посылку из китая</t>
  </si>
  <si>
    <t>Самая вкусная пицца.</t>
  </si>
  <si>
    <t>доставка пицц</t>
  </si>
  <si>
    <t>Host: blogun.ru</t>
  </si>
  <si>
    <t>Connection: keep-alive</t>
  </si>
  <si>
    <t>Content-Length: 174</t>
  </si>
  <si>
    <t>Cache-Control: max-age=0</t>
  </si>
  <si>
    <t>Origin: https://blogun.ru</t>
  </si>
  <si>
    <t>Upgrade-Insecure-Requests: 1</t>
  </si>
  <si>
    <t>Content-Type: application/x-www-form-urlencoded</t>
  </si>
  <si>
    <t>User-Agent: Mozilla/5.0 (Windows NT 10.0; Win64; x64) AppleWebKit/537.36 (KHTML, like Gecko) Chrome/63.0.3239.132 Safari/537.36</t>
  </si>
  <si>
    <t>Accept: text/html,application/xhtml+xml,application/xml;q=0.9,image/webp,image/apng,*/*;q=0.8</t>
  </si>
  <si>
    <t>Referer: https://blogun.ru/getcode.php?id=396445&amp;idblog=377605&amp;submenu=2&amp;menu=tsk</t>
  </si>
  <si>
    <t>Accept-Encoding: gzip, deflate, br</t>
  </si>
  <si>
    <t>Accept-Language: en,uk;q=0.9,ru;q=0.8</t>
  </si>
  <si>
    <t>Cookie: id=344816; auth=03671dc2189105e87a7e52d12d327ab580ff4c4cb3388e5cf493aa63c3cbb00b; lasturl=%2Fgetcode.php%3Fid%3D396445%26idblog%3D377605%26submenu%3D2%26menu%3Dtsk</t>
  </si>
  <si>
    <t>size=short&amp;blog=377605&amp;campaign=396445&amp;url=http%3A%2F%2Fve4e.com.ua%2Fyak-vchiti-ditinu-yizditi-na-velosipedi%2F&amp;submit=%D0%92%D1%8B%D0%BF%D0%BE%D0%BB%D0%BD%D0%B5%D0%BD%D0%BE</t>
  </si>
  <si>
    <t>Как правильно выбрать ванную.</t>
  </si>
  <si>
    <t>Referer: https://blogun.ru/getcode.php?id=397734&amp;idblog=377969&amp;submenu=2&amp;menu=tsk</t>
  </si>
  <si>
    <t>Cookie: id=344816; auth=a49ede0d8c9ea056a7f92a8ed371f8c01519e2510f06fbd60574fffa77321a0a; lasturl=%2Fgetcode.php%3Fid%3D397734%26idblog%3D377969%26submenu%3D2%26menu%3Dtsk</t>
  </si>
  <si>
    <t>Сегодняшний результативынй</t>
  </si>
  <si>
    <t>size=long&amp;blog=377969&amp;campaign=397734&amp;url=http%3A%2F%2Fsmartx.kiev.ua%2Fyak-pravilno-vibirati-liki%2F&amp;submit=%D0%92%D1%8B%D0%BF%D0%BE%D0%BB%D0%BD%D0%B5%D0%BD%D0%BE</t>
  </si>
  <si>
    <t>Кампания</t>
  </si>
  <si>
    <t>кирпич</t>
  </si>
  <si>
    <t>Как выбрать кирпич для строительства дома.</t>
  </si>
  <si>
    <t>Обработано</t>
  </si>
  <si>
    <t>490cab40bfec750abfc7ff0c2c21f950a0ffdf4bd1920da3ed88446628baf504</t>
  </si>
  <si>
    <t>Работа</t>
  </si>
  <si>
    <t>09.02.2018 12:52</t>
  </si>
  <si>
    <t>NoK</t>
  </si>
  <si>
    <t>https://blogun.ru/getcode.php?id=396763&amp;idblog=382049&amp;submenu=2&amp;menu=tsk</t>
  </si>
  <si>
    <t>Вчера, 23:08</t>
  </si>
  <si>
    <t xml:space="preserve">elit-a-a.com.ua </t>
  </si>
  <si>
    <t>link</t>
  </si>
  <si>
    <t>&lt;a href="http://agroliga.com.ua/en/"&gt;http://agroliga.com.ua/en/&lt;/a&gt;</t>
  </si>
  <si>
    <t>http://agroliga.com.ua/en/</t>
  </si>
  <si>
    <t>Agricultural Company &amp;quot;Agroliga&amp;quot; (Agroliga Group). Agroholding. Investments in the agricultural sector. | Group of companies &amp;quot;Agroliga&amp;quot; (Agroliga Group). Agroholding (Agrocompany, agrarian company in Ukraine). Investments in the agricultural sector - Agrarians of Ukraine, Kharkov.</t>
  </si>
  <si>
    <t>https://blogun.ru/getcode.php?id=396763&amp;idblog=377605&amp;submenu=2&amp;menu=tsk</t>
  </si>
  <si>
    <t>https://blogun.ru/getcode.php?id=396763&amp;idblog=217160&amp;submenu=2&amp;menu=tsk</t>
  </si>
  <si>
    <t xml:space="preserve">cugp.com.ua </t>
  </si>
  <si>
    <t>Вчера, 13:13</t>
  </si>
  <si>
    <t>усиленный ступичный узел</t>
  </si>
  <si>
    <t>Как усилить ступечный узел автомобиля.</t>
  </si>
  <si>
    <t>agroliga</t>
  </si>
  <si>
    <t>buyheavenlyspot.com.ua</t>
  </si>
  <si>
    <t>Dublicate</t>
  </si>
  <si>
    <t>Small Text</t>
  </si>
  <si>
    <t>http://buyheavenlyspot.com.ua/yak-posylyty-stupechnyj-vuzol-avtomobilya/</t>
  </si>
  <si>
    <t>elit-a-a.com.ua</t>
  </si>
  <si>
    <t>cugp.com.ua</t>
  </si>
  <si>
    <t>http://cugp.com.ua/yak-posiliti-stupechnyj-vuzol-avtomobilya/</t>
  </si>
  <si>
    <t>Когда нужно сеять озимую пшеницу.</t>
  </si>
  <si>
    <t>https://agronomu.com/media/res/1/8/5/6/1856.ogdhsc.300.jpg</t>
  </si>
  <si>
    <t>https://agronomu.com/media/res/1/8/5/7/1857.ogdhsc.300.jpg</t>
  </si>
  <si>
    <t>http://blog.agromir-notill.com/wp-content/uploads/2015/12/5-1024x578.jpg</t>
  </si>
  <si>
    <t>https://fermer.ru/forum/archived/35982</t>
  </si>
  <si>
    <t>https://fermerok.info/tehnologiya-vyrashhivaniya-ozimoj-pshenitsy</t>
  </si>
  <si>
    <t xml:space="preserve">Главная_x000D_
Животноводство _x000D_
Козы_x000D_
Коровы_x000D_
Кролики_x000D_
Лошади_x000D_
Овцы_x000D_
Свиньи_x000D_
Зерновые_x000D_
Овощеводство _x000D_
Арбуз_x000D_
Баклажаны_x000D_
Дыня_x000D_
Зелень_x000D_
Кабачок_x000D_
Капуста_x000D_
Картофель_x000D_
Лук_x000D_
Морковь_x000D_
Огурцы_x000D_
Перец_x000D_
Редис_x000D_
Томаты_x000D_
Чеснок_x000D_
Птицеводство _x000D_
Гуси_x000D_
Индюки_x000D_
Куры_x000D_
Перепела_x000D_
Утки_x000D_
Цесарки_x000D_
Пчеловодство_x000D_
Садоводство _x000D_
Абрикос_x000D_
Вишня-Черешня_x000D_
Груша_x000D_
Клубника_x000D_
Крыжовник_x000D_
Виноград_x000D_
Малина_x000D_
Персик_x000D_
Смородина_x000D_
Яблоня_x000D_
Поиск  _x000D_
Пятница, Февраль 9, 2018 _x000D_
Карта сайта_x000D_
 Cельское хозяйство _x000D_
  _x000D_
Главная_x000D_
Животноводство _x000D_
Козы_x000D_
Коровы_x000D_
Кролики_x000D_
Лошади_x000D_
Овцы_x000D_
Свиньи_x000D_
Зерновые_x000D_
Овощеводство _x000D_
Арбуз_x000D_
Баклажаны_x000D_
Дыня_x000D_
Зелень_x000D_
Кабачок_x000D_
Капуста_x000D_
Картофель_x000D_
Лук_x000D_
Морковь_x000D_
Огурцы_x000D_
Перец_x000D_
Редис_x000D_
Томаты_x000D_
Чеснок_x000D_
Птицеводство _x000D_
Гуси_x000D_
Индюки_x000D_
Куры_x000D_
Перепела_x000D_
Утки_x000D_
Цесарки_x000D_
Пчеловодство_x000D_
Садоводство _x000D_
Абрикос_x000D_
Вишня-Черешня_x000D_
Груша_x000D_
Клубника_x000D_
Крыжовник_x000D_
Виноград_x000D_
Малина_x000D_
Персик_x000D_
Смородина_x000D_
Яблоня_x000D_
 _x000D_
Домой Uncategorized Технология выращивания озимой пшеницы_x000D_
Технология выращивания озимой пшеницы_x000D_
_x000D_
Содержание:_x000D_
 _x000D_
Куда сеять озимую пшеницу? _x000D_
Сорта озимой пшеницы _x000D_
Когда сеять озимую пшеницу? _x000D_
Как подготовить почву под выращивание озимой пшеницы? _x000D_
Технология посева озимой пшеницы _x000D_
Как ухаживать за посевами? _x000D_
Уборка урожая _x000D_
ВИДЕО — Особенности выращивания озимой пшеницы _x000D_
Технология выращивания озимой пшеницы не очень трудная, и, тем не менее, не всем аграриям удается вырастить хорошую культуру и получить богатый урожай. Опыт и мастерство приходит со временем, но что делать молодым аграриям, для которых прибыль важна уже сейчас, а не через несколько лет? Ниже приведена подробная инструкция куда, когда сажать озимую пшеницу, как проводить посев и как ухаживать за культурой._x000D_
Куда сеять озимую пшеницу?_x000D_
Перед тем, как выбирать сорт или определяться с технологией выращивания озимой пшеницы или временем посевов нужно найти подходящее для нее место._x000D_
Сажать пшеницу на одном месте можно не чаще чем раз в 2 года _x000D_
Предшественники. В данном плане пшеница очень требовательна из-за слабо развитой и чувствительной корневой системы. Подходят культуры раннего срока созревания, которые снижают засоренность почвы, уменьшают шанс заражения земли вредителями и болезнями. Сюда относятся зернобобовые, кукуруза на зеленый корм и силос, овес, гречка, ранняя картошка, рапс. А вот после ячменя выращивать эту культуру нельзя._x000D_
Сажать пшеницу на одном месте можно не чаще чем раз в 2 года._x000D_
Место выбирается солнечное. Если поле большое, то, так или иначе, пшеница будет под солнцем, но вот в случае выращивания на небольшом участке, об этом пункте нередко забывают._x000D_
Грунтовые воды должны быть на значительной глубине, так как корневая система у растения слабая и может не выдержать обилия влаги и начать загнивать._x000D_
Сорта озимой пшеницы_x000D_
Сорт для выращивания стоит подбирать местный _x000D_
Сорт для выращивания стоит подбирать местный, тогда можно получить хорошие всходы и урожаи. Иностранные разновидности будет долго привыкать к климату, земле, непривычной технологии выращивания зимой пшеницы, ведь в разных странах она может отличаться._x000D_
Наиболее распространенные, известные и урожайные сорта: «Мироновская 66», «Любава Одесская», «Украинка Полтавская», «Лада Одесская», «Леля», «Харьковская 105» и «Мироновская 65»._x000D_
Когда сеять озимую пшеницу?_x000D_
Технология выращивания озимой пшеницы весьма простая, но стоит соблюдать все сроки и нормы. Сюда входит и срок проведения посевов. Проблема в том, что сроки могут отличаться в зависимости от места посадки, климатических особенностей, сорта и тому подобного._x000D_
Оптимальное время посева озимой пшеницы 15-20 сентября _x000D_
Оптимальное время 15-20 сентября. Это, можно сказать, универсальное время, когда можно сажать любые сорта в любом климате – до холодов посадочный материал успеет прижиться и пуститься в рост. Но стоит отметить, что на обеднелой земле срок высевания приходится на 15-17 числа, а на плодородных почвах можно высевать и позднее. Дело в том, что плодородная земля может ускорить развитие семян и к зимнему периоду они просто перерастут и вымерзнут._x000D_
К наступлению холодных, зимних дней озимая пшеница должна уже развиваться около 2 месяцев, и иметь по 2-4 развитых росточка._x000D_
Как подготовить почву под выращивание озимой пшеницы?_x000D_
В идеале почва должна соответствовать правильной плотности, структуре, аэрации, влажности, питательности для пшеницы. Но это в идеале, чтобы полностью соблюсти технологию выращивания озимой пшеницы. На деле, соблюсти все эти критерии практически невозможно, поэтому перед посевом пшеницы нужно проводить стандартную обработку земли._x000D_
Первым делом максимально очищается почва от сорняков. Можно одновременно обработать ее веществами от вредителей, но это не обязательно. Дело в том, что к моменту посевов они могут появиться вновь, а если нет, то химические вещества отразятся на посевном материале – в общем, будет больше вреда, чем пользы. А вот избавление от сорняков необходимо._x000D_
Подготовка почвы под выращивание озимой пшеницы _x000D_
Хорошая земля для озимой пшеницы должна иметь pH 6,5-7. Иначе могут возникнуть трудности с появлением всходов и качеством урожая. Поэтому до удобрения земли или после этого необходимо скорректировать кислотность._x000D_
Затем проводится заделка удобрений и растительных остатков в землю на 8-10 см вглубь. Технология выращивания озимой пшеницы в промышленных масштабах предполагает использование минеральных туков комплексного действия, на маленьких фермах можно обойтись перегноем с добавлением K2O (40-60 кг/га), P2O5 (60-80 кг/га) и N (30-50 кг/га). Если нет возможности внести чистый фосфат, азот и калий, можно заменить их двойным суперфосфатом, хлористым калием и аммиачной селитрой. После этого земля выравнивается, чтобы был ровный пласт для посевов. Грудок более 8 см в диаметре быть не должно, иначе задержится развитие и рост посевного материала._x000D_
Технология посева озимой пшеницы_x000D_
Технология выращивания озимой пшеницы _x000D_
Технология выращивания озимой пшеницы, а в данном случае посева, должна строго соблюдаться, если аграрий хочет получить действительно хороший урожай._x000D_
Сеют озимую пшеницу в ряды с междурядьем в 15 см._x000D_
Норма высева семян – 400-500/м. кв. при своевременном проведении посевов. Если же работа по высеванию озимой пшеницы отложилась на более поздний срок, количество семян нужно увеличить примерно на 15% на каждый квадратный метр._x000D_
Заглубляют семена на 3-5 см. После посева нужно прикатать семена землей при помощи специальной техники или инструмента, если участок небольшой. В случае поздних посевов глубина заделки уменьшается на 1-1,5 см, чтобы ускорить рост озимой пшеницы._x000D_
Как ухаживать за посевами?_x000D_
Включает технология выращивания озимой пшеницы также и уход за культурой, а не только подбор места или посев посадочного материала._x000D_
Защита от вредителей и болезней нужна весной _x000D_
Подкормка необходима обязательно, иначе снизится рост и урожайность. Удобрения до посевов были описаны выше. После того как пшеницу посеяли ей необходимы 1-2 подкормки азотными удобрениями (40-80 кг/га). Количество зависит от почвы. Так, на дерново-подзолистой земле берется 60-80 кг/ га, а на черноземах – 40-60 кг/га._x000D_
Защита от вредителей и болезней нужна весной, когда они появятся после зимней спячки. Проводят обработку комплексными биологическими или химическими веществами от тех вредителей и болезней, которые наблюдались на этой земле ранее._x000D_
Также важно проводить работы по удалению сорняков. На небольшом участке это не проблема. Но на большом поле могут помочь только гербициды от сорняков: «Алистер Гранд», «Бакара Форте», «Вердикт», «Пума Голд», «Пума Плюс», «Пума Супер 100», «Эстет» и другие подобные._x000D_
Полив нужен регулярный. Количество и периодичность зависят от типа земли и сорта озимой пшеницы._x000D_
Уборка урожая_x000D_
Уборка урожая озимой пшеницы _x000D_
Уборка урожая проводится после полного созревания зерна и при влажности 15-17%. Для этого обычно используют специальную технику – зерноуборочные комбайны._x000D_
ВИДЕО — Особенности выращивания озимой пшеницы_x000D_
Предыдущая статьяКак правильно кормить цесарок в домашних условиях_x000D_
Следующая статьяОписание сорта капусты Ринда, посадка и уход в открытом грунте_x000D_
tigrra763_x000D_
ПОХОЖИЕ СТАТЬИБОЛЬШЕ ОТ АВТОРА_x000D_
_x000D_
Uncategorized _x000D_
Описание сорта картофель Невский_x000D_
_x000D_
Uncategorized _x000D_
Как правильно обрезать смородину осенью_x000D_
Отзывы и комментарии Отменить ответ_x000D_
 _x000D_
Please enter your comment!_x000D_
 _x000D_
Please enter your name here_x000D_
 _x000D_
You have entered an incorrect email address!_x000D_
Please enter your email address here_x000D_
Пожалуйста, введите ответ цифрами:_x000D_
5 × пять = _x000D_
   _x000D_
Новые материалы:_x000D_
_x000D_
Куры _x000D_
Китайская шелковая курица — характеристики породы_x000D_
Февраль 8, 2018 _x000D_
_x000D_
Куры _x000D_
Болезни кур и их лечение_x000D_
Февраль 8, 2018 _x000D_
_x000D_
Арбуз _x000D_
Желтый арбуз — сорта и выращивание_x000D_
Февраль 7, 2018 _x000D_
_x000D_
Свиньи _x000D_
Африканская чума свиней_x000D_
Февраль 2, 2018 _x000D_
_x000D_
Пчеловодство _x000D_
Каштановый мед и его свойства_x000D_
Февраль 1, 2018 _x000D_
_x000D_
О НАС_x000D_
Сельское хозяйство - энциклопедия садовода, животновода и огородника_x000D_
Свяжитесь с нами: admin@fermerok.info_x000D_
© 2017 Fermerok.info - Сельское хозяйство. Копирование материалов разрешено только с указанием активной ссылки на сайт Fermerok.info </t>
  </si>
  <si>
    <t xml:space="preserve"> Технология выращивания озимой пшеницы не очень трудная, и, тем не менее, не всем аграриям удается вырастить хорошую культуру и получить богатый урожай. Опыт и мастерство приходит со временем, но что делать молодым аграриям, для которых прибыль важна уже сейчас, а не через несколько лет? Ниже приведена подробная инструкция куда, когда сажать озимую пшеницу, как проводить посев и как ухаживать за культурой._x000D_ Перед тем, как выбирать сорт или определяться с технологией выращивания озимой пшеницы или временем посевов нужно найти подходящее для нее место._x000D_ Предшественники. В данном плане пшеница очень требовательна из-за слабо развитой и чувствительной корневой системы. Подходят культуры раннего срока созревания, которые снижают засоренность почвы, уменьшают шанс заражения земли вредителями и болезнями. Сюда относятся зернобобовые, кукуруза на зеленый корм и силос, овес, гречка, ранняя картошка, рапс. А вот после ячменя выращивать эту культуру нельзя._x000D_ Место выбирается солнечное. Если поле большое, то, так или иначе, пшеница будет под солнцем, но вот в случае выращивания на небольшом участке, об этом пункте нередко забывают._x000D_ Грунтовые воды должны быть на значительной глубине, так как корневая система у растения слабая и может не выдержать обилия влаги и начать загнивать._x000D_ Сорт для выращивания стоит подбирать местный, тогда можно получить хорошие всходы и урожаи. Иностранные разновидности будет долго привыкать к климату, земле, непривычной технологии выращивания зимой пшеницы, ведь в разных странах она может отличаться._x000D_ Технология выращивания озимой пшеницы весьма простая, но стоит соблюдать все сроки и нормы. Сюда входит и срок проведения посевов. Проблема в том, что сроки могут отличаться в зависимости от места посадки, климатических особенностей, сорта и тому подобного._x000D_ Оптимальное время 15-20 сентября. Это, можно сказать, универсальное время, когда можно сажать любые сорта в любом климате – до холодов посадочный материал успеет прижиться и пуститься в рост. Но стоит отметить, что на обеднелой земле срок высевания приходится на 15-17 числа, а на плодородных почвах можно высевать и позднее. Дело в том, что плодородная земля может ускорить развитие семян и к зимнему периоду они просто перерастут и вымерзнут._x000D_ К наступлению холодных, зимних дней озимая пшеница должна уже развиваться около 2 месяцев, и иметь по 2-4 развитых росточка._x000D_ В идеале почва должна соответствовать правильной плотности, структуре, аэрации, влажности, питательности для пшеницы. Но это в идеале, чтобы полностью соблюсти технологию выращивания озимой пшеницы. На деле, соблюсти все эти критерии практически невозможно, поэтому перед посевом пшеницы нужно проводить стандартную обработку земли._x000D_ Первым делом максимально очищается почва от сорняков. Можно одновременно обработать ее веществами от вредителей, но это не обязательно. Дело в том, что к моменту посевов они могут появиться вновь, а если нет, то химические вещества отразятся на посевном материале – в общем, будет больше вреда, чем пользы. А вот избавление от сорняков необходимо._x000D_ Хорошая земля для озимой пшеницы должна иметь pH 6,5-7. Иначе могут возникнуть трудности с появлением всходов и качеством урожая. Поэтому до удобрения земли или после этого необходимо скорректировать кислотность._x000D_ Затем проводится заделка удобрений и растительных остатков в землю на 8-10 см вглубь. Технология выращивания озимой пшеницы в промышленных масштабах предполагает использование минеральных туков комплексного действия, на маленьких фермах можно обойтись перегноем с добавлением K2O (40-60 кг/га), P2O5 (60-80 кг/га) и N (30-50 кг/га). Если нет возможности внести чистый фосфат, азот и калий, можно заменить их двойным суперфосфатом, хлористым калием и аммиачной селитрой. После этого земля выравнивается, чтобы был ровный пласт для посевов. Грудок более 8 см в диаметре быть не должно, иначе задержится развитие и рост посевного материала._x000D_ Технология выращивания озимой пшеницы, а в данном случае посева, должна строго соблюдаться, если аграрий хочет получить действительно хороший урожай._x000D_ Норма высева семян – 400-500/м. кв. при своевременном проведении посевов. Если же работа по высеванию озимой пшеницы отложилась на более поздний срок, количество семян нужно увеличить примерно на 15% на каждый квадратный метр._x000D_ Заглубляют семена на 3-5 см. После посева нужно прикатать семена землей при помощи специальной техники или инструмента, если участок небольшой. В случае поздних посевов глубина заделки уменьшается на 1-1,5 см, чтобы ускорить рост озимой пшеницы._x000D_ Включает технология выращивания озимой пшеницы также и уход за культурой, а не только подбор места или посев посадочного материала._x000D_ Подкормка необходима обязательно, иначе снизится рост и урожайность. Удобрения до посевов были описаны выше. После того как пшеницу посеяли ей необходимы 1-2 подкормки азотными удобрениями (40-80 кг/га). Количество зависит от почвы. Так, на дерново-подзолистой земле берется 60-80 кг/ га, а на черноземах – 40-60 кг/га._x000D_ Защита от вредителей и болезней нужна весной, когда они появятся после зимней спячки. Проводят обработку комплексными биологическими или химическими веществами от тех вредителей и болезней, которые наблюдались на этой земле ранее._x000D_ Также важно проводить работы по удалению сорняков. На небольшом участке это не проблема. Но на большом поле могут помочь только гербициды от сорняков: «Алистер Гранд», «Бакара Форте», «Вердикт», «Пума Голд», «Пума Плюс», «Пума Супер 100», «Эстет» и другие подобные._x000D_ Уборка урожая проводится после полного созревания зерна и при влажности 15-17%. Для этого обычно используют специальную технику – зерноуборочные комбайны._x000D_</t>
  </si>
  <si>
    <t xml:space="preserve"> Технология выращивания озимой пшеницы не очень трудная, и, тем не менее, не всем аграриям удается вырастить хорошую культуру и получить богатый урожай. Опыт и мастерство приходит со временем, но что делать молодым аграриям, для которых прибыль важна уже сейчас, а не через несколько лет? Ниже приведена подробная инструкция куда, когда сажать озимую пшеницу, как проводить посев и как ухаживать за культурой._x000D_ Перед тем, как выбирать сорт или определяться с технологией выращивания озимой пшеницы или временем посевов нужно найти подходящее для нее место._x000D_ Предшественники. В данном плане пшеница очень требовательна из-за слабо развитой и чувствительной корневой системы. Подходят культуры раннего срока созревания, которые снижают засоренность почвы, уменьшают шанс заражения земли вредителями и болезнями. Сюда относятся зернобобовые, кукуруза на зеленый корм и силос, овес, гречка, ранняя картошка, рапс. А вот после ячменя выращивать эту культуру нельзя._x000D_ Место выбирается солнечное. кв. </t>
  </si>
  <si>
    <t xml:space="preserve">Технологія вирощування озимої пшениці не дуже важка, і, тим не менш, не всім аграріям вдається виростити хорошу культуру і отримати багатий врожай. Досвід і майстерність приходить з часом, але що робити молодим аграріям, для яких прибуток важлива вже зараз, а не через кілька років? Нижче наведена детальна інструкція куди, коли садити озиму пшеницю, як проводити посів і як доглядати за культурою. Перед тим, як вибирати сорт або визначатися з технологією вирощування озимої пшениці або часом посівів потрібно знайти підходяще для неї місце. Попередники. У цьому плані пшениця дуже вимоглива через слабо розвиненою і чутливої кореневої системи. Підходять культури раннього терміну дозрівання, які знижують засміченість грунту, зменшують шанс зараження землі шкідниками і хворобами. Сюди відносяться зернобобові, кукурудза на зелений корм і силос, овес, гречка, рання картопля, ріпак. А ось після ячменю вирощувати цю культуру не можна. Місце вибирається сонячне. кв. </t>
  </si>
  <si>
    <t>Коли треба сіяти озиму пшеницю.</t>
  </si>
  <si>
    <t>[caption id="" align="aligncenter" width="350"]&lt;img src="https://agronomu.com/media/res/1/8/5/6/1856.ogdhsc.300.jpg" alt="" width="350" height="300" /&gt; Коли треба сіяти озиму пшеницю.[/caption]    Технологія вирощування озимої пшениці не дуже важка, і, тим не менш, не всім аграріям вдається виростити хорошу культуру і отримати багатий врожай. Досвід і майстерність приходить з часом, але що робити молодим аграріям, для яких прибуток важлива вже зараз, а не через кілька років? Нижче наведена детальна інструкція куди, коли садити озиму пшеницю, як проводити посів і як доглядати за культурою. Також ви можете знайти все необхідне на ресурсі &lt;a href="http://agroliga.com.ua/en/"&gt;http://agroliga.com.ua/en/&lt;/a&gt;.\n    Перед тим, як вибирати сорт або визначатися з технологією вирощування озимої пшениці або часом посівів потрібно знайти підходяще для неї місце. Попередники. У цьому плані пшениця дуже вимоглива через слабо розвиненою і чутливої кореневої системи. \n     Підходять культури раннього терміну дозрівання, які знижують засміченість грунту, зменшують шанс зараження землі шкідниками і хворобами. Сюди відносяться зернобобові, кукурудза на зелений корм і силос, овес, гречка, рання картопля, ріпак. А ось після ячменю вирощувати цю культуру не можна. Місце вибирається сонячне. кв.</t>
  </si>
  <si>
    <t>http://elit-a-a.com.ua/koli-treba-siyati-ozimu-pshenitsyu/</t>
  </si>
  <si>
    <t>https://zerebra-agro.com/udobreniya-dlya-ozimoj-pshenicy/</t>
  </si>
  <si>
    <t>Перейти к основному содержанию _x000D_
Toggle navigation  _x000D_
Трекер_x000D_
Семинар по птицеводству_x000D_
Семинары по сыру_x000D_
Наш YouTube-канал_x000D_
_x000D_
Новости_x000D_
Объявления_x000D_
Визитки_x000D_
Блоги_x000D_
Форум_x000D_
Трекер_x000D_
Лента_x000D_
 _x000D_
_x000D_
_x000D_
_x000D_
_x000D_
Форум_x000D_
Зерно и зернообработка_x000D_
Посев зерновых_x000D_
Посев зерновых_x000D_
 _x000D_
 _x000D_
5452 сообщения _x000D_
Тема закрыта_x000D_
Поиск_x000D_
1_x000D_
2_x000D_
3_x000D_
4_x000D_
5_x000D_
6_x000D_
7_x000D_
8_x000D_
9_x000D_
…_x000D_
»_x000D_
конец_x000D_
сб, 05.09.2009 - 19:35 _x000D_
#1 _x000D_
Шумилов Роман _x000D_
 _x000D_
: Красноярск _x000D_
Регистрация: 05.09.2009 - 19:19 _x000D_
: 3 _x000D_
Не в сети _x000D_
Заходил: 1 год 11 месяцев назад _x000D_
Здраствуйте уважаемые._x000D_
Этим летом был у себя в деревне и увидил простаивающие поля (на них раньше зерно садили). И пришла мысль посадить в следующем году там пшеницу, что бы заработать конечно на этом._x000D_
На счет земли там мне дали зеленый свет._x000D_
А теперь собственно и вопрос на который надеюсь вы дадите ответ._x000D_
1. Сколько надо зерна чтобы засодить 100 г._x000D_
2. Какая техника еще необходима в количестве._x000D_
3. И что там еще по мелочи._x000D_
На все это имеются денги._x000D_
Заране Спасибо._x000D_
_x000D_
_x000D_
пн, 07.09.2009 - 18:13 _x000D_
#2 _x000D_
sandera _x000D_
Россия _x000D_
: Ростовская обл Орловский-Зимовниковский р-ны _x000D_
Регистрация: 07.03.2009 - 18:05 _x000D_
: 1354 _x000D_
Не в сети _x000D_
Заходил: 3 часа 23 минуты назад _x000D_
Шумилов Роман пишет:_x000D_
Здраствуйте уважаемые._x000D_
Этим летом был у себя в деревне и увидил простаивающие поля (на них раньше зерно садили). И пришла мысль посадить в следующем году там пшеницу, что бы заработать конечно на этом._x000D_
На счет земли там мне дали зеленый свет._x000D_
А теперь собственно и вопрос на который надеюсь вы дадите ответ._x000D_
1. Сколько надо зерна чтобы засодить 100 г._x000D_
2. Какая техника еще необходима в количестве._x000D_
3. И что там еще по мелочи._x000D_
На все это имеются денги._x000D_
Заране Спасибо. _x000D_
Набери в поисковике Шугуров Анатолий Иванович интересная технология я поней пробую два года вредебы получается. Денег тебе потребуется 350-450 тыс руб до уборки_x000D_
вс, 13.09.2009 - 13:40 _x000D_
#3 _x000D_
Рушан _x000D_
Россия _x000D_
: Москва _x000D_
Регистрация: 26.08.2008 - 21:35 _x000D_
: 19 _x000D_
Не в сети _x000D_
Заходил: 4 года 1 месяц назад _x000D_
У меня на 100 га. , я их делю (образно) сажаю пшеницу озимую, ячмень и овес. вот и в среднем уходит из расчета 5-7 тонн семенной на 15-20 га._x000D_
—_x000D_
Продажа сена в рулонах http://www.senotorg.ru У нас можно купить сено._x000D_
вс, 13.09.2009 - 14:17 _x000D_
#4 _x000D_
Гофман Андрей _x000D_
Россия _x000D_
: Саратов _x000D_
Регистрация: 13.09.2009 - 12:54 _x000D_
: 6 _x000D_
Не в сети _x000D_
Заходил: 7 лет 9 месяцев назад _x000D_
Я в этом году тоже взял землю в аренду 300 га под озимую. Норму высева ставили 2,8 - это 2,8 т. на 1 га. Думаю на 100 га тебе достаточно 1 ДТ-75, ММз-82, 1 сеялку, плуг, борону, культиватор, ГаЗ-53_x000D_
вс, 13.09.2009 - 14:39 _x000D_
#5 _x000D_
Рушан _x000D_
Россия _x000D_
: Москва _x000D_
Регистрация: 26.08.2008 - 21:35 _x000D_
: 19 _x000D_
Не в сети _x000D_
Заходил: 4 года 1 месяц назад _x000D_
Гофман Андрей пишет:_x000D_
Я в этом году тоже взял землю в аренду 300 га под озимую. Норму высева ставили 2,8 - это 2,8 т. на 1 га. Думаю на 100 га тебе достаточно 1 ДТ-75, ММз-82, 1 сеялку, плуг, борону, культиватор, ГаЗ-53_x000D_
Ну в принципе из техники это как говорится тот самый минимум который необходим!!!_x000D_
—_x000D_
Продажа сена в рулонах http://www.senotorg.ru У нас можно купить сено._x000D_
пн, 14.09.2009 - 16:35 _x000D_
#6 _x000D_
sandera _x000D_
Россия _x000D_
: Ростовская обл Орловский-Зимовниковский р-ны _x000D_
Регистрация: 07.03.2009 - 18:05 _x000D_
: 1354 _x000D_
Не в сети _x000D_
Заходил: 3 часа 23 минуты назад _x000D_
Гофман Андрей пишет:_x000D_
Я в этом году тоже взял землю в аренду 300 га под озимую. Норму высева ставили 2,8 - это 2,8 т. на 1 га. Думаю на 100 га тебе достаточно 1 ДТ-75, ММз-82, 1 сеялку, плуг, борону, культиватор, ГаЗ-53_x000D_
Норма высева по пшенице восток Ростовской области 4 млн штук на га в всхожести 98%, при массе 1000 семян 40 гр получается 160-170кг+10% по черным парам коэфициэн кустистости 3-5 на 1мкв 600-800 стеблей._x000D_
Думаю на сто га достатосно;трактор МТЗ-82-1 шт, сеялка СЗ 3.6или СЗП 3.6 - 1шт, лущильник ЛДГ, сцепа борон -1 шт, плуг ПЛН-3-35-1шт. Комбайн покупать смысла нет дешевле нанять и расчитаться взаимозачетом через оказание своих услуг._x000D_
На 1100 га у меня работают МТЗ 892-1шт, Т-150к 09-1шт( пашу только под подсолнечник) Нива эффект-1шт, прицеп 2ПТС 4.5-1шт, бункер накопитель на 25 кубов-1шт(на период уборки), культиватор КПС4.2-1шт, культиватор КРН 5.6-1шт, сцепа борон СП-11 -1шт, сеялка СЗП3.6-2ши, сеялка СПБ-8-1шт, плуг ПЛН 5-35,БДТ-6-1шт._x000D_
пн, 14.09.2009 - 16:39 _x000D_
#7 _x000D_
sandera _x000D_
Россия _x000D_
: Ростовская обл Орловский-Зимовниковский р-ны _x000D_
Регистрация: 07.03.2009 - 18:05 _x000D_
: 1354 _x000D_
Не в сети _x000D_
Заходил: 3 часа 23 минуты назад _x000D_
Рушан пишет:_x000D_
У меня на 100 га. , я их делю (образно) сажаю пшеницу озимую, ячмень и овес. вот и в среднем уходит из расчета 5-7 тонн семенной на 15-20 га._x000D_
При норме высева................................?_x000D_
вт, 15.09.2009 - 14:08 _x000D_
#8 _x000D_
Манчестер Юнайтед _x000D_
Регистрация: 31.01.2009 - 14:01 _x000D_
: 6709 _x000D_
Не в сети _x000D_
Заходил: 1 год 2 месяца назад _x000D_
Завышение норм высева, как и ее занижение, всегда отзывается на урожае. Поэтому всегда можно всем начинающим выходить из ситуации следующим образом. Семенная инспекция имеется во всех районах. Туда можно отдать пшеницу, для определения МТЗ(массы тысячи зерен), энергию роста и всхожесть. Далее найти рекомендации по высеву культуры у оригинатора сорта. В сельхоз управлении, у главного агронома района имеются статистические данные по району. Если новый сорт, почитать в интернете. Если сеете семенами только что убранного урожая, то завышать необходимо на 15%. Пшеница должна вылежаться, поэтому и сеют всегда переходящим фондом. Так как энергию семена набирают после 2-3 месяцев покоя. За это время сроки посева естественно уходят.Поэтому переходящий фонд должен быть или закупать у семеноводов._x000D_
вт, 15.09.2009 - 23:15 _x000D_
#9 _x000D_
Гофман Андрей _x000D_
Россия _x000D_
: Саратов _x000D_
Регистрация: 13.09.2009 - 12:54 _x000D_
: 6 _x000D_
Не в сети _x000D_
Заходил: 7 лет 9 месяцев назад _x000D_
Всё это понятно (инспекции, сель хоз управления и т.д.). Но лучше старого работника (агронома), который лет 15-20 проработал на этой земле НЕТ._x000D_
ср, 16.09.2009 - 00:12 _x000D_
#10 _x000D_
Виталий А _x000D_
 _x000D_
Россия _x000D_
: Краснодарский край п,Незамаевский _x000D_
Регистрация: 13.12.2008 - 19:07 _x000D_
: 2603 _x000D_
Не в сети _x000D_
Заходил: 2 года 4 месяца назад _x000D_
Гофман Андрей пишет:_x000D_
Я в этом году тоже взял землю в аренду 300 га под озимую. Норму высева ставили 2,8 - это 2,8 т. на 1 га. Думаю на 100 га тебе достаточно 1 ДТ-75, ММз-82, 1 сеялку, плуг, борону, культиватор, ГаЗ-53_x000D_
Нифига себе!А вы какой урожай берете---если , посев 28ц на 1 га и чем?Или ваш 1 гектар=нашим 10га?_x000D_
—_x000D_
Министр с.х.--кордиолог,ей бы заместителя онколога---вот тогда будем жить._x000D_
ср, 16.09.2009 - 20:16 _x000D_
#11 _x000D_
Манчестер Юнайтед _x000D_
Регистрация: 31.01.2009 - 14:01 _x000D_
: 6709 _x000D_
Не в сети _x000D_
Заходил: 1 год 2 месяца назад _x000D_
Гофман Андрей пишет:_x000D_
Всё это понятно (инспекции, сель хоз управления и т.д.). Но лучше старого работника (агронома), который лет 15-20 проработал на этой земле НЕТ._x000D_
Хорошо, если этот агроном, работает не по старинке. В близлежащих колхозах агрономы, кроме аминки, ни чего не знают._x000D_
ср, 16.09.2009 - 20:28 _x000D_
#12 _x000D_
Манчестер Юнайтед _x000D_
Регистрация: 31.01.2009 - 14:01 _x000D_
: 6709 _x000D_
Не в сети _x000D_
Заходил: 1 год 2 месяца назад _x000D_
_x000D_
Захотелось выложить фото своих озимых. Все хорошо, но только какой то  вчера ночью, проехал по краю, по периметру одного из полей. Как же меня достали, эти браконьеры. Как будто с голоду умирают, на машине охотятся. У зайцев, бедных, ни каких шансов._x000D_
ср, 16.09.2009 - 21:44 _x000D_
#13 _x000D_
Гофман Андрей _x000D_
Россия _x000D_
: Саратов _x000D_
Регистрация: 13.09.2009 - 12:54 _x000D_
: 6 _x000D_
Не в сети _x000D_
Заходил: 7 лет 9 месяцев назад _x000D_
Скажи пожалуйста, на 1100 га тебе хватает техники или ты ещё арендуешь? Сколько времени ты убираешь тогда одним комбайном урожай?_x000D_
ср, 16.09.2009 - 21:49 _x000D_
#14 _x000D_
Гофман Андрей _x000D_
Россия _x000D_
: Саратов _x000D_
Регистрация: 13.09.2009 - 12:54 _x000D_
: 6 _x000D_
Не в сети _x000D_
Заходил: 7 лет 9 месяцев назад _x000D_
Виталя. Весёлый ты парень! На 100 га посеяли 26-28 т. Засеяли 300га 76-77 т семян. У тебя как то по другому?_x000D_
ср, 16.09.2009 - 22:31 _x000D_
#15 _x000D_
Игорь.23 _x000D_
: краснодарский край новопокровский район _x000D_
Регистрация: 02.03.2009 - 19:26 _x000D_
: 7644 _x000D_
Не в сети _x000D_
Заходил: 4 часа 45 минут назад _x000D_
Гофман Андрей, вы же сами в первом сообщении указали 2,8 ТОННЫ на га, а теперь удивляетесь. А автор темы прочитал и в осадок выпал, и больше не появляется._x000D_
М.Ю., завидую белой завистью, на моих озимых еще стоит кукуруза и зеленеет семечка, стоим на взлётной полосе и не можем дождаться погоды._x000D_
ср, 16.09.2009 - 22:37 _x000D_
#16 _x000D_
Игорь.23 _x000D_
: краснодарский край новопокровский район _x000D_
Регистрация: 02.03.2009 - 19:26 _x000D_
: 7644 _x000D_
Не в сети _x000D_
Заходил: 4 часа 45 минут назад _x000D_
Сею по пропашным, в конце срока сева , по дисковке ( дискатор) поэтому высеваю 7- 7,5 млн- 280- 300 кг._x000D_
ср, 16.09.2009 - 22:57 _x000D_
#17 _x000D_
Виталий А _x000D_
 _x000D_
Россия _x000D_
: Краснодарский край п,Незамаевский _x000D_
Регистрация: 13.12.2008 - 19:07 _x000D_
: 2603 _x000D_
Не в сети _x000D_
Заходил: 2 года 4 месяца назад _x000D_
Лично я бы,автору темы--не довал бы ни каких советов.Если судить по его терминологии,то он в с.х. чайник.И вы крестьяне(фермеры)своими советами создаете еще одного барина._x000D_
ПОСАДИЛ--дед репку,а не пшеницу,причем на 100г(граммах) _x000D_
—_x000D_
Министр с.х.--кордиолог,ей бы заместителя онколога---вот тогда будем жить._x000D_
чт, 17.09.2009 - 07:37 _x000D_
#18 _x000D_
Игорь.23 _x000D_
: краснодарский край новопокровский район _x000D_
Регистрация: 02.03.2009 - 19:26 _x000D_
: 7644 _x000D_
Не в сети _x000D_
Заходил: 4 часа 45 минут назад _x000D_
Виталий А пишет:_x000D_
Лично я бы,автору темы--не довал бы ни каких советов.Если судить по его терминологии,то он в с.х. чайник.И вы крестьяне(фермеры)своими советами создаете еще одного барина._x000D_
ПОСАДИЛ--дед репку,а не пшеницу,причем на 100г(граммах) _x000D_
Зря ты Витвлий так,- есть у человека деньги, казино позакрывали, а душа адреналина просит- ну и пусть в нашу рулетку поиграет , глядишь и деревенским чего-то перепадет._x000D_
чт, 17.09.2009 - 16:42 _x000D_
#19 _x000D_
Манчестер Юнайтед _x000D_
Регистрация: 31.01.2009 - 14:01 _x000D_
: 6709 _x000D_
Не в сети _x000D_
Заходил: 1 год 2 месяца назад _x000D_
Привет Краснодарским фермерам. А я думал, что у вас уже кукуруза должна была вызреть давно. Сегодня ваши земляки начали съезжаться за семенным картофелем. У них все на поливе. Как начинают рассказывать про жару, да про бабочку с амброзией. Всегда радуюсь, что пока этой заразы нет у нас._x000D_
чт, 17.09.2009 - 23:33 _x000D_
#20 _x000D_
Игорь.23 _x000D_
: краснодарский край новопокровский район _x000D_
Регистрация: 02.03.2009 - 19:26 _x000D_
: 7644 _x000D_
Не в сети _x000D_
Заходил: 4 часа 45 минут назад _x000D_
Дык и мы думали созреет как обычно, в прошлом году 9 сентября закончил уборку кукурузы( сеял 20 апреля) , а в этом году 10 апреля посеял тот же гибрид и только сегодня начал, влажность 16, а в том годе 12 была 1 сентября. В августе была одна холодная неделя - +15 и вот результат._x000D_
пт, 09.10.2009 - 19:46 _x000D_
#21 _x000D_
sandera _x000D_
Россия _x000D_
: Ростовская обл Орловский-Зимовниковский р-ны _x000D_
Регистрация: 07.03.2009 - 18:05 _x000D_
: 1354 _x000D_
Не в сети _x000D_
Заходил: 3 часа 23 минуты назад _x000D_
Игорь.23 пишет:_x000D_
Дык и мы думали созреет как обычно, в прошлом году 9 сентября закончил уборку кукурузы( сеял 20 апреля) , а в этом году 10 апреля посеял тот же гибрид и только сегодня начал, влажность 16, а в том годе 12 была 1 сентября. В августе была одна холодная неделя - +15 и вот результат. _x000D_
Игорь что на счет кукурузы, люди начали убирать или нет_x000D_
пт, 09.10.2009 - 20:26 _x000D_
#22 _x000D_
Манчестер Юнайтед _x000D_
Регистрация: 31.01.2009 - 14:01 _x000D_
: 6709 _x000D_
Не в сети _x000D_
Заходил: 1 год 2 месяца назад _x000D_
Наверное отвечу за Игоря23. Ко мне приезжали за семенами картофеля, фермеры из Краснодарского края, сказали, что убирают._x000D_
пт, 09.10.2009 - 22:44 _x000D_
#23 _x000D_
Фермер 93 _x000D_
РФ _x000D_
: Краснодарский край _x000D_
Регистрация: 02.03.2009 - 23:17 _x000D_
: 34 _x000D_
Не в сети _x000D_
Заходил: 1 год 4 месяца назад _x000D_
Уже убрали и сеем после кукурузы._x000D_
Файлы: _x000D_
_x000D_
пт, 09.10.2009 - 22:50 _x000D_
#24 _x000D_
Игорь.23 _x000D_
: краснодарский край новопокровский район _x000D_
Регистрация: 02.03.2009 - 19:26 _x000D_
: 7644 _x000D_
Не в сети _x000D_
Заходил: 4 часа 45 минут назад _x000D_
Да, уже начали убирать, не массово но начали. Я 50 га убрал, задисковал и посеял озимку, еще 20 сентября. Урожайность прямо скажем не фонтан - 38ц/га, по сравнению с прошлогодними 60 -совсем не фонтан, да и влажность 17% хотя должна быть уже 14., а оставшаяся 40 га , хотя бы 30ц дала. Завта, если всё благополучно, должны семечку закончить и сеять, сеять и сеять - за 4 дня нужно 80га отсеять иначе дожди обещают._x000D_
ср, 14.10.2009 - 14:45 _x000D_
#25 _x000D_
sandera _x000D_
Россия _x000D_
: Ростовская обл Орловский-Зимовниковский р-ны _x000D_
Регистрация: 07.03.2009 - 18:05 _x000D_
: 1354 _x000D_
Не в сети _x000D_
Заходил: 3 часа 23 минуты назад _x000D_
Кто что думает? Фото своих посевов данных сортов кину попозже._x000D_
ср, 14.10.2009 - 15:23 _x000D_
#26 _x000D_
sandera _x000D_
Россия _x000D_
: Ростовская обл Орловский-Зимовниковский р-ны _x000D_
Регистрация: 07.03.2009 - 18:05 _x000D_
: 1354 _x000D_
Не в сети _x000D_
Заходил: 3 часа 23 минуты назад _x000D_
sandera пишет:_x000D_
Кто что думает? Фото своих посевов данных сортов кину попозже._x000D_
Описание оз. пшениц;_x000D_
Безостая "Сталинградская-60",остистая "Волго-дон"_x000D_
В 1979году в учхозе "Горная поляна" Всеросийского научно-исследовательского института орошаемого земледелия (ВНИИОЗ) на опытных участках селекционером Лапшиным Валерием Михайловичембыли заложены опыты по результатам которых после долгой кропотливой работы в 1992 году было получено 16 устойчивых типов, которые дали 2 константных линии, то есть превратились в два сорта ветвистых пшениц:Сталинградская-60 и Волго-дон с огромным потенциалом._x000D_
Сталинградская-60_x000D_
Оз. мягкая пшеница(краснозерная).Колос веретенообразный, сложный состоящий из колосков , число развитых цветков в которых достигает 10-12 шт.Число зерен в колосе доходит до 150 шт.Количество листьев, размер листовой поверхности(необычайно широкий лист) и их расположение позволяют сорту усваивать 5-6% солнечной энергии(ФАР), тогда как обычные сорта усваивают 1-2%. Стебель толстый мощный как у суданки высотой до 1 метра.Зерно хорошо вымолачивается, но не высыпается. На оставленном неубранном участке зерно держалось до ноября. Способность сорта к сильному кущению (до 30 стеблей на одно растение) позволяет снизить норму высева до 1,5-2,0 млн. шт на 1 га (60-80 кг на 1 га), съэкономив на семенах в 2-2,5 раза. Пшеница обладает мощной корневой системой, питающие корни находятся в оболочке, которая поддерживает микроклимат питающих корешков и предохраняет их от различных болезней и засухи. Зерно обладает хорошими мукомольно-хлебопекарными свойствами. В 2008 году крестьянском хозяйстве в Суровикинском районе Волгоградской области было получено без применения удобрений зерно с содержанием клейковины-36%, ИДК - 70ед._x000D_
На эксперементальных участках селекционером Лапшиным В.М. была достигнута урожайность: "Сталинградская-60) - 20т/га, "Волго-Дон" - 18т/га._x000D_
ср, 14.10.2009 - 23:58 _x000D_
#27 _x000D_
Игорь.23 _x000D_
: краснодарский край новопокровский район _x000D_
Регистрация: 02.03.2009 - 19:26 _x000D_
: 7644 _x000D_
Не в сети _x000D_
Заходил: 4 часа 45 минут назад _x000D_
У нас предлагали " творения" селекционера Лапшина - сорт " Лапшинка" тоже 80 кг/га 25руб /кг , описание один в один- баснословный урожай и супер клейковина. Народ брал , по 500 кг, по 1 т., но без документов - типа страшная тайна и почти котрабанда. Хотел взять, но передумал , посмотрю и если стоит того , возьму на следущий сезон. Но чую лажа это._x000D_
Во первых такого сорта ( и Лапшинка и вами приведенные ) в госреестре не значится, а во вторых тургидная пшеница ( ветвистые формы ) не очень то урожайные - в госреестре всего три сорта- http://www.gossort.com/xrcts/xrct_20.html#9607226_x000D_
да клейковина у них высокая - все таки на макароны используется- но нам то что с того? Разбавлять фуражку до 4- ки? Лучше уж Шараду выращивать._x000D_
Ну поживем увидим._x000D_
Хотя "селекционеры-подпольщики" - уже попахивает "лысенковщиной"_x000D_
Если будет время почитайте о истории и перспективах ветвистых форм http://www.ihst.ru/projects/sohist/papers/viet/1998/2/153-165.pdf_x000D_
чт, 15.10.2009 - 17:44 _x000D_
#28 _x000D_
Фермер 93 _x000D_
РФ _x000D_
: Краснодарский край _x000D_
Регистрация: 02.03.2009 - 23:17 _x000D_
: 34 _x000D_
Не в сети _x000D_
Заходил: 1 год 4 месяца назад _x000D_
У нас тоже ходила такая байка,но после названия сорта почему то вспоминались уши._x000D_
чт, 15.10.2009 - 21:59 _x000D_
#29 _x000D_
sandera _x000D_
Россия _x000D_
: Ростовская обл Орловский-Зимовниковский р-ны _x000D_
Регистрация: 07.03.2009 - 18:05 _x000D_
: 1354 _x000D_
Не в сети _x000D_
Заходил: 3 часа 23 минуты назад _x000D_
Игорь.23 пишет:_x000D_
У нас предлагали " творения" селекционера Лапшина - сорт " Лапшинка" тоже 80 кг/га 25руб /кг , описание один в один- баснословный урожай и супер клейковина. Народ брал , по 500 кг, по 1 т., но без документов - типа страшная тайна и почти котрабанда. Хотел взять, но передумал , посмотрю и если стоит того , возьму на следущий сезон. Но чую лажа это._x000D_
Во первых такого сорта ( и Лапшинка и вами приведенные ) в госреестре не значится, а во вторых тургидная пшеница ( ветвистые формы ) не очень то урожайные - в госреестре всего три сорта- http://www.gossort.com/xrcts/xrct_20.html#9607226_x000D_
да клейковина у них высокая - все таки на макароны используется- но нам то что с того? Разбавлять фуражку до 4- ки? Лучше уж Шараду выращивать._x000D_
Ну поживем увидим._x000D_
Хотя "селекционеры-подпольщики" - уже попахивает "лысенковщиной"_x000D_
Если будет время почитайте о истории и перспективах ветвистых форм http://www.ihst.ru/projects/sohist/papers/viet/1998/2/153-165.pdf _x000D_
Игорь почему-то файлы не открываются. Меня не интересует супер урожайность и супер клейковина. Видел посевы данной пшеницы в этом году(Семикаракорский район Рост обл). Как рассказал хозяин задисковал бурьяны и посеял урожай 43 центнера без удобрений, на вопрос почему без, он ответил , а зачем они нужны в апреле месяце (дали кредит)_x000D_
Возвращаясь к К. Г. Алимову (5мл осадков на центнер урожая (продуктивная влага +осадки за период вегитации с 1 марта по30 июня)) интересно проверить данный сорт в наших засушливых условиях и получить к примеру центер урожая на2-3 мл, еще вызывает интерес неосыпание можно растянуть уборку, чтобы справиться своей техникой._x000D_
Если не секрет кто предлагал может эти ребята ответят на вопросы минерального питания и защиты, тогда сделать какие-то выводы._x000D_
Я себе посеял два участка; на одном норму поставил 70кг на га, на другом 90, посмотрим что получиться_x000D_
пт, 16.10.2009 - 07:26 _x000D_
#30 _x000D_
Игорь.23 _x000D_
: краснодарский край новопокровский район _x000D_
Регистрация: 02.03.2009 - 19:26 _x000D_
: 7644 _x000D_
Не в сети _x000D_
Заходил: 4 часа 45 минут назад _x000D_
Sandera, попробую найти контакты ребят, а ссылки должны открываться попробуйте_x000D_
http://www.gossort.com и далее выйдите на реестр растений, выскачит меню, в меню выберете "Сорта растений, включенные в Государственный реестр селекционных достижений, допущенных к использованию", затем меню Алфавит , выбираете " П" - выпадает новое меню - выбираете "пшеница тургидная" и в выпашем списке выбираете сорт и тд._x000D_
Оригинатор всех трех сортов -ГНУ ВНИИ ЗЕРНОВЫХ КУЛЬТУР ИМ. И.Г. КАЛИНЕНКО • 347740, РОСТОВСКАЯ ОБЛ., Г. ЗЕРНОГРАД, НАУЧНЫЙ ГОРОДОК, Д.3 - у них можно наверное проконсультироваться по вопросам выращивания ветвящихся форм._x000D_
Вторая ссылка требует наличия PDF- просмотрщика Adobe Reader или , я пользуюсь Foxit Reader, http://download.cnet.com/Foxit-Reader/3000-10743_4-10313206.html?part=dl... , Если пользуетесь Оперой то файл необходими предварительно загрузить через " загрузку "_x000D_
вт, 27.10.2009 - 19:36 _x000D_
#31 _x000D_
sandera _x000D_
Россия _x000D_
: Ростовская обл Орловский-Зимовниковский р-ны _x000D_
Регистрация: 07.03.2009 - 18:05 _x000D_
: 1354 _x000D_
Не в сети _x000D_
Заходил: 3 часа 23 минуты назад _x000D_
Это озимая пшеница Сталинградская, фотографии от10.10.2009. Норма высева 90 кг на га, широкорядный посев - 30 см._x000D_
На фото Я с любимым авто фермеров, на фоне посевов 2009 года._x000D_
Файлы: _x000D_
_x000D_
_x000D_
1_x000D_
2_x000D_
3_x000D_
4_x000D_
5_x000D_
6_x000D_
7_x000D_
8_x000D_
9_x000D_
…_x000D_
»_x000D_
конец_x000D_
Тема закрыта_x000D_
_x000D_
_x000D_
_x000D_
_x000D_
 _x000D_
© 2008 Воложанина Е.Л. Информация должна быть ДОСТУПНОЙ, ОТКРЫТОЙ и БЕСПЛАТНОЙ, поэтому перепечатка материалов портала приветствуется с обязательным указанием ссылки на ФЕРМЕР.RU ® _x000D_
Контактная информация_x000D_
fermer.ru - зарегистрированный товарный знак_x000D_
 Крупнейший YouTube-канал о сельском хозяйстве на русском языке _x000D_
Лучшее о сельском хозяйстве в вашем телефоне _x000D_
Личный инстаграм руководителя проекта _x000D_
  _x000D_
Создание портала: Студия Золотко © 2007</t>
  </si>
  <si>
    <t xml:space="preserve"> Этим летом был у себя в деревне и увидил простаивающие поля (на них раньше зерно садили). И пришла мысль посадить в следующем году там пшеницу, что бы заработать конечно на этом._x000D_ Этим летом был у себя в деревне и увидил простаивающие поля (на них раньше зерно садили). И пришла мысль посадить в следующем году там пшеницу, что бы заработать конечно на этом._x000D_ У меня на 100 га. , я их делю (образно) сажаю пшеницу озимую, ячмень и овес. вот и в среднем уходит из расчета 5-7 тонн семенной на 15-20 га._x000D_ Норма высева по пшенице восток Ростовской области 4 млн штук на га в всхожести 98%, при массе 1000 семян 40 гр получается 160-170кг+10% по черным парам коэфициэн кустистости 3-5 на 1мкв 600-800 стеблей._x000D_ Думаю на сто га достатосно;трактор МТЗ-82-1 шт, сеялка СЗ 3.6или СЗП 3.6 - 1шт, лущильник ЛДГ, сцепа борон -1 шт, плуг ПЛН-3-35-1шт. Комбайн покупать смысла нет дешевле нанять и расчитаться взаимозачетом через оказание своих услуг._x000D_ На 1100 га у меня работают МТЗ 892-1шт, Т-150к 09-1шт( пашу только под подсолнечник) Нива эффект-1шт, прицеп 2ПТС 4.5-1шт, бункер накопитель на 25 кубов-1шт(на период уборки), культиватор КПС4.2-1шт, культиватор КРН 5.6-1шт, сцепа борон СП-11 -1шт, сеялка СЗП3.6-2ши, сеялка СПБ-8-1шт, плуг ПЛН 5-35,БДТ-6-1шт._x000D_ У меня на 100 га. , я их делю (образно) сажаю пшеницу озимую, ячмень и овес. вот и в среднем уходит из расчета 5-7 тонн семенной на 15-20 га._x000D_ Завышение норм высева, как и ее занижение, всегда отзывается на урожае. Поэтому всегда можно всем начинающим выходить из ситуации следующим образом. Семенная инспекция имеется во всех районах. Туда можно отдать пшеницу, для определения МТЗ(массы тысячи зерен), энергию роста и всхожесть. Далее найти рекомендации по высеву культуры у оригинатора сорта. В сельхоз управлении, у главного агронома района имеются статистические данные по району. Если новый сорт, почитать в интернете. Если сеете семенами только что убранного урожая, то завышать необходимо на 15%. Пшеница должна вылежаться, поэтому и сеют всегда переходящим фондом. Так как энергию семена набирают после 2-3 месяцев покоя. За это время сроки посева естественно уходят.Поэтому переходящий фонд должен быть или закупать у семеноводов._x000D_ Всё это понятно (инспекции, сель хоз управления и т.д.). Но лучше старого работника (агронома), который лет 15-20 проработал на этой земле НЕТ._x000D_ Всё это понятно (инспекции, сель хоз управления и т.д.). Но лучше старого работника (агронома), который лет 15-20 проработал на этой земле НЕТ._x000D_ Хорошо, если этот агроном, работает не по старинке. В близлежащих колхозах агрономы, кроме аминки, ни чего не знают._x000D_ Захотелось выложить фото своих озимых. Все хорошо, но только какой то  вчера ночью, проехал по краю, по периметру одного из полей. Как же меня достали, эти браконьеры. Как будто с голоду умирают, на машине охотятся. У зайцев, бедных, ни каких шансов._x000D_ Гофман Андрей, вы же сами в первом сообщении указали 2,8 ТОННЫ на га, а теперь удивляетесь. А автор темы прочитал и в осадок выпал, и больше не появляется._x000D_ М.Ю., завидую белой завистью, на моих озимых еще стоит кукуруза и зеленеет семечка, стоим на взлётной полосе и не можем дождаться погоды._x000D_ Сею по пропашным, в конце срока сева , по дисковке ( дискатор) поэтому высеваю 7- 7,5 млн- 280- 300 кг._x000D_ Лично я бы,автору темы--не довал бы ни каких советов.Если судить по его терминологии,то он в с.х. чайник.И вы крестьяне(фермеры)своими советами создаете еще одного барина._x000D_ Лично я бы,автору темы--не довал бы ни каких советов.Если судить по его терминологии,то он в с.х. чайник.И вы крестьяне(фермеры)своими советами создаете еще одного барина._x000D_ Зря ты Витвлий так,- есть у человека деньги, казино позакрывали, а душа адреналина просит- ну и пусть в нашу рулетку поиграет , глядишь и деревенским чего-то перепадет._x000D_ Привет Краснодарским фермерам. А я думал, что у вас уже кукуруза должна была вызреть давно. Сегодня ваши земляки начали съезжаться за семенным картофелем. У них все на поливе. Как начинают рассказывать про жару, да про бабочку с амброзией. Всегда радуюсь, что пока этой заразы нет у нас._x000D_ Дык и мы думали созреет как обычно, в прошлом году 9 сентября закончил уборку кукурузы( сеял 20 апреля) , а в этом году 10 апреля посеял тот же гибрид и только сегодня начал, влажность 16, а в том годе 12 была 1 сентября. В августе была одна холодная неделя - +15 и вот результат._x000D_ Наверное отвечу за Игоря23. Ко мне приезжали за семенами картофеля, фермеры из Краснодарского края, сказали, что убирают._x000D_ Да, уже начали убирать, не массово но начали. Я 50 га убрал, задисковал и посеял озимку, еще 20 сентября. Урожайность прямо скажем не фонтан - 38ц/га, по сравнению с прошлогодними 60 -совсем не фонтан, да и влажность 17% хотя должна быть уже 14., а оставшаяся 40 га , хотя бы 30ц дала. Завта, если всё благополучно, должны семечку закончить и сеять, сеять и сеять - за 4 дня нужно 80га отсеять иначе дожди обещают._x000D_ В 1979году в учхозе "Горная поляна" Всеросийского научно-исследовательского института орошаемого земледелия (ВНИИОЗ) на опытных участках селекционером Лапшиным Валерием Михайловичембыли заложены опыты по результатам которых после долгой кропотливой работы в 1992 году было получено 16 устойчивых типов, которые дали 2 константных линии, то есть превратились в два сорта ветвистых пшениц:Сталинградская-60 и Волго-дон с огромным потенциалом._x000D_ Оз. мягкая пшеница(краснозерная).Колос веретенообразный, сложный состоящий из колосков , число развитых цветков в которых достигает 10-12 шт.Число зерен в колосе доходит до 150 шт.Количество листьев, размер листовой поверхности(необычайно широкий лист) и их расположение позволяют сорту усваивать 5-6% солнечной энергии(ФАР), тогда как обычные сорта усваивают 1-2%. Стебель толстый мощный как у суданки высотой до 1 метра.Зерно хорошо вымолачивается, но не высыпается. На оставленном неубранном участке зерно держалось до ноября. Способность сорта к сильному кущению (до 30 стеблей на одно растение) позволяет снизить норму высева до 1,5-2,0 млн. шт на 1 га (60-80 кг на 1 га), съэкономив на семенах в 2-2,5 раза. Пшеница обладает мощной корневой системой, питающие корни находятся в оболочке, которая поддерживает микроклимат питающих корешков и предохраняет их от различных болезней и засухи. Зерно обладает хорошими мукомольно-хлебопекарными свойствами. В 2008 году крестьянском хозяйстве в Суровикинском районе Волгоградской области было получено без применения удобрений зерно с содержанием клейковины-36%, ИДК - 70ед._x000D_ На эксперементальных участках селекционером Лапшиным В.М. была достигнута урожайность: "Сталинградская-60) - 20т/га, "Волго-Дон" - 18т/га._x000D_ У нас предлагали " творения" селекционера Лапшина - сорт " Лапшинка" тоже 80 кг/га 25руб /кг , описание один в один- баснословный урожай и супер клейковина. Народ брал , по 500 кг, по 1 т., но без документов - типа страшная тайна и почти котрабанда. Хотел взять, но передумал , посмотрю и если стоит того , возьму на следущий сезон. Но чую лажа это._x000D_ да клейковина у них высокая - все таки на макароны используется- но нам то что с того? Разбавлять фуражку до 4- ки? Лучше уж Шараду выращивать._x000D_ У нас предлагали " творения" селекционера Лапшина - сорт " Лапшинка" тоже 80 кг/га 25руб /кг , описание один в один- баснословный урожай и супер клейковина. Народ брал , по 500 кг, по 1 т., но без документов - типа страшная тайна и почти котрабанда. Хотел взять, но передумал , посмотрю и если стоит того , возьму на следущий сезон. Но чую лажа это._x000D_ да клейковина у них высокая - все таки на макароны используется- но нам то что с того? Разбавлять фуражку до 4- ки? Лучше уж Шараду выращивать._x000D_ Возвращаясь к К. Г. Алимову (5мл осадков на центнер урожая (продуктивная влага +осадки за период вегитации с 1 марта по30 июня)) интересно проверить данный сорт в наших засушливых условиях и получить к примеру центер урожая на2-3 мл, еще вызывает интерес неосыпание можно растянуть уборку, чтобы справиться своей техникой._x000D_ Если не секрет кто предлагал может эти ребята ответят на вопросы минерального питания и защиты, тогда сделать какие-то выводы._x000D_ и далее выйдите на реестр растений, выскачит меню, в меню выберете "Сорта растений, включенные в Государственный реестр селекционных достижений, допущенных к использованию", затем меню Алфавит , выбираете " П" - выпадает новое меню - выбираете "пшеница тургидная" и в выпашем списке выбираете сорт и тд._x000D_ Оригинатор всех трех сортов -ГНУ ВНИИ ЗЕРНОВЫХ КУЛЬТУР ИМ. И.Г. КАЛИНЕНКО • 347740, РОСТОВСКАЯ ОБЛ., Г. ЗЕРНОГРАД, НАУЧНЫЙ ГОРОДОК, Д.3 - у них можно наверное проконсультироваться по вопросам выращивания ветвящихся форм._x000D_ Это озимая пшеница Сталинградская, фотографии от10.10.2009. Норма высева 90 кг на га, широкорядный посев - 30 см._x000D_</t>
  </si>
  <si>
    <t xml:space="preserve"> Этим летом был у себя в деревне и увидил простаивающие поля (на них раньше зерно садили). И пришла мысль посадить в следующем году там пшеницу, что бы заработать конечно на этом._x000D_ Этим летом был у себя в деревне и увидил простаивающие поля (на них раньше зерно садили). И пришла мысль посадить в следующем году там пшеницу, что бы заработать конечно на этом._x000D_ У меня на 100 га. вот и в среднем уходит из расчета 5-7 тонн семенной на 15-20 га._x000D_ Норма высева по пшенице восток Ростовской области 4 млн штук на га в всхожести 98%, при массе 1000 семян 40 гр получается 160-170кг+10% по черным парам коэфициэн кустистости 3-5 на 1мкв 600-800 стеблей._x000D_ Думаю на сто га достатосно;трактор МТЗ-82-1 шт, сеялка СЗ 3.6или СЗП 3.6 - 1шт, лущильник ЛДГ, сцепа борон -1 шт, плуг ПЛН-3-35-1шт. вот и в среднем уходит из расчета 5-7 тонн семенной на 15-20 га._x000D_ Завышение норм высева, как и ее занижение, всегда отзывается на урожае. Поэтому всегда можно всем начинающим выходить из ситуации следующим образом. Г. </t>
  </si>
  <si>
    <t xml:space="preserve">Цього літа був у себе в селі і увидил простоюють поля (на них раніше зерно садили). І прийшла думка посадити в наступному році там пшеницю, що б заробити звичайно на цьому. Цього літа був у себе в селі і увидил простоюють поля (на них раніше зерно садили). І прийшла думка посадити в наступному році там пшеницю, що б заробити звичайно на цьому. У мене на 100 га. ось і в середньому йде з розрахунку 5-7 тонн насіннєвої на 15-20 га Норма висіву по пшениці схід Ростовської області 4 млн штук на га в схожості 98%, при масі 1000 насінин 40 гр виходить 160-170кг+10% по чорних парах коэфициэн кущистості 3-5 на 1мкв 600-800 стебел. Думаю на сто га достатосно;трактор МТЗ-82-1 шт, сівалка СЗ 3.6 або СЗП 3.6 - 1шт, лущильник ЛДГ, сцепа борін -1 шт, плуг ПЛН-3-35-1шт. ось і в середньому йде з розрахунку 5-7 тонн насіннєвої на 15-20 га. Завищення норм висіву, як і її заниження, завжди відгукується на врожаї. Тому завжди можна всім початківцям виходити з ситуації наступним чином. Р. </t>
  </si>
  <si>
    <t>[caption id="" align="aligncenter" width="350"]&lt;img src="https://agronomu.com/media/res/1/8/5/7/1857.ogdhsc.300.jpg" alt="" width="350" height="300" /&gt; Коли треба сіяти озиму пшеницю.[/caption]    Цього літа був у себе в селі і увидил простоюють поля (на них раніше зерно садили). І прийшла думка посадити в наступному році там пшеницю, що б заробити звичайно на цьому. Цього літа був у себе в селі і увидил простоюють поля (на них раніше зерно садили). І прийшла думка посадити в наступному році там пшеницю, що б заробити звичайно на цьому. Також ви можете знайти все необхідне на ресурсі &lt;a href="http://agroliga.com.ua/en/"&gt;http://agroliga.com.ua/en/&lt;/a&gt;.\n    У мене на 100 га. ось і в середньому йде з розрахунку 5-7 тонн насіннєвої на 15-20 га Норма висіву по пшениці схід Ростовської області 4 млн штук на га в схожості 98%, при масі 1000 насінин 40 гр виходить 160-170кг+10% по чорних парах коэфициэн кущистості 3-5 на 1мкв 600-800 стебел. Думаю на сто га достатосно;трактор МТЗ-82-1 шт, сівалка СЗ 3.6 або СЗП 3.6 - 1шт, лущильник ЛДГ, сцепа борін -1 шт, плуг ПЛН-3-35-1шт. \n     ось і в середньому йде з розрахунку 5-7 тонн насіннєвої на 15-20 га. Завищення норм висіву, як і її заниження, завжди відгукується на врожаї. Тому завжди можна всім початківцям виходити з ситуації наступним чином. Р.</t>
  </si>
  <si>
    <t>http://ve4e.com.ua/koli-treba-siyati-ozimu-pshenitsyu/</t>
  </si>
  <si>
    <t>https://lubdacha.ru/ogorod/posev-ozimoj-pshenitsy-na-dache.html</t>
  </si>
  <si>
    <t xml:space="preserve"> _x000D_
TPL_PROTOSTAR_TOGGLE_MENU _x000D_
Дача_x000D_
огород_x000D_
сад_x000D_
цветы _x000D_
сад. инстр._x000D_
животные _x000D_
постройки_x000D_
лунный календарь_x000D_
комнатные растения_x000D_
Вы здесь:   _x000D_
огород | _x000D_
Посев озимой пшеницы на даче _x000D_
Про огород_x000D_
 _x000D_
Уход за баклажанами _x000D_
Баклажаны, у садоводов и дачников в средних широтах России по-прежнему считаются... _x000D_
 _x000D_
Правильное расположение огорода _x000D_
Правильное расположение огорода и сада на даче часто определяется расположением... _x000D_
 _x000D_
Посадка моркови _x000D_
Не преувеличивая морковь можно назвать «жителем» каждого огорода. Вряд ли найдет... _x000D_
 _x000D_
Выращивание арбузов от подготовки семян до посева _x000D_
Выращивание арбузов начинается с подготовки семян к посеву. Делать это нужно обя... _x000D_
 _x000D_
Как вырастить арбузы в Сибири _x000D_
Если придерживаться рекомендаций селекционеров, то вырастить арбузы в Сибири мож... _x000D_
 _x000D_
Сбор и хранение помидор, дозревание зелёных помидор _x000D_
Естественно самые вкусные помидоры, созревшие на кусте. Не во всех регионах наше... _x000D_
 _x000D_
Что такое NPK ? - сложные удобрения для растений _x000D_
Это аббревиатура, которая указывает на содержание важных питательных элементов д... _x000D_
 _x000D_
Растения - репелленты (отпугивающие мух, комаров, колорадского жука) _x000D_
Практически все насекомые для поиска растений для пищи и размножения ориентируют... _x000D_
 _x000D_
Что посадить на огороде на даче _x000D_
Этот вопрос задают себе, почти все начинающие огородники. Более опытные дачники... _x000D_
 _x000D_
Народные средства от сорняков в огороде _x000D_
Скорее всего, именно сорняки вносят сложность в уход за дачным участком. Получае... _x000D_
 _x000D_
Куркума – описание, выращивание и уход _x000D_
Куркума относится к семейству имбирных, любит яркий рассеянный свет, цветёт с се... _x000D_
 _x000D_
Сорта клубники для Сибири _x000D_
Садоводам, проживающим в холодных регионах страны, необходимо выбирать специальн... _x000D_
 _x000D_
Как узнать, что арбуз созрел? _x000D_
Многие не знают, но как считают специалисты, арбузы разделяются, условно говоря,... _x000D_
 _x000D_
Подкормка помидор дрожжами - рецепты _x000D_
Огородные культуры каждый дачник стремится подкармливать тем, что ему более всег... _x000D_
 _x000D_
Лучшие сорта томатов для Сибири _x000D_
Подготовка к дачному сезону начинается в феврале- марте, именно сейчас заготавли... _x000D_
Популярные статьи_x000D_
Уход за баклажанами _x000D_
Правильное расположение огорода _x000D_
Выгодно ли разводить кроликов? _x000D_
Посадка моркови _x000D_
Названия комнатных растений и цветов с фото _x000D_
Выбор читателей_x000D_
 _x000D_
Уход за баклажанами _x000D_
Баклажаны, у садоводов и дачников в средних широтах России по-прежнему считаются... _x000D_
 _x000D_
Правильное расположение огорода _x000D_
Правильное расположение огорода и сада на даче часто определяется расположением... _x000D_
 _x000D_
Выгодно ли разводить кроликов? _x000D_
На это вопрос, можно ответить, утвердительно. Ну во первых это: диетическое мясо... _x000D_
 _x000D_
Посадка моркови _x000D_
Не преувеличивая морковь можно назвать «жителем» каждого огорода. Вряд ли найдет... _x000D_
 _x000D_
Формирование куста винограда в первые четыре года _x000D_
В первые четыре года после посадки основной задачей является формирование куста... _x000D_
 _x000D_
Выращивание арбузов от подготовки семян до посева _x000D_
Выращивание арбузов начинается с подготовки семян к посеву. Делать это нужно обя... _x000D_
 _x000D_
Как вырастить арбузы в Сибири _x000D_
Если придерживаться рекомендаций селекционеров, то вырастить арбузы в Сибири мож... _x000D_
 _x000D_
Как сделать пчелиный улей своими руками _x000D_
В настоящее время очень популярным занятием становится пчеловодство. Получить св... _x000D_
 _x000D_
Сбор и хранение помидор, дозревание зелёных помидор _x000D_
Естественно самые вкусные помидоры, созревшие на кусте. Не во всех регионах наше... _x000D_
 _x000D_
Что такое NPK ? - сложные удобрения для растений _x000D_
Это аббревиатура, которая указывает на содержание важных питательных элементов д... _x000D_
 _x000D_
Растения - репелленты (отпугивающие мух, комаров, колорадско... _x000D_
Практически все насекомые для поиска растений для пищи и размножения ориентируют... _x000D_
 _x000D_
Что посадить на огороде на даче _x000D_
Этот вопрос задают себе, почти все начинающие огородники. Более опытные дачники... _x000D_
 _x000D_
Кроличий навоз как удобрение? _x000D_
Опытные садоводы знают, что навоз это органическое удобрение, которое богато раз... _x000D_
 _x000D_
Народные средства от сорняков в огороде _x000D_
Скорее всего, именно сорняки вносят сложность в уход за дачным участком. Получае... _x000D_
 _x000D_
Куркума – описание, выращивание и уход _x000D_
Куркума относится к семейству имбирных, любит яркий рассеянный свет, цветёт с се... _x000D_
 _x000D_
Сорта клубники для Сибири _x000D_
Садоводам, проживающим в холодных регионах страны, необходимо выбирать специальн... _x000D_
 _x000D_
Как узнать, что арбуз созрел? _x000D_
Многие не знают, но как считают специалисты, арбузы разделяются, условно говоря,... _x000D_
 _x000D_
Подкормка помидор дрожжами - рецепты _x000D_
Огородные культуры каждый дачник стремится подкармливать тем, что ему более всег... _x000D_
 _x000D_
Породы индоуток – названия и описание _x000D_
Этот вид уток называют индоутками, поскольку они выращивались американскими инде... _x000D_
 _x000D_
Лучшие сорта томатов для Сибири _x000D_
Подготовка к дачному сезону начинается в феврале- марте, именно сейчас заготавли... _x000D_
Огород _x000D_
арбуз_x000D_
базилик_x000D_
баклажаны_x000D_
бобовые (горох, фасоль)_x000D_
брюква_x000D_
Вредители_x000D_
дайкон_x000D_
дыня_x000D_
заболевания растений_x000D_
кабачки_x000D_
капуста_x000D_
картофель_x000D_
клубника_x000D_
лук_x000D_
морковь_x000D_
огородные пряности_x000D_
огурцы_x000D_
патиссоны_x000D_
перец_x000D_
природное земледелие_x000D_
рассада_x000D_
ревень_x000D_
редис_x000D_
свёкла_x000D_
сельдерей_x000D_
семена_x000D_
томаты_x000D_
тыква_x000D_
чеснок_x000D_
Посев озимой пшеницы на даче _x000D_
Дачники мало интересуются зерновыми культурами, поэтому на грядках редко встретишь рожь, ячмень или пшеницу._x000D_
 _x000D_
На маленьких участках эти культуры вроде бы не рационально сеять._x000D_
 _x000D_
А вот если на даче достаточно места, то можно освоить посев озимой пшеницы. _x000D_
 _x000D_
Даже если нет возможности выращивать хлеб, то такие посадки станут хорошим сидератом для других овощных культур._x000D_
 _x000D_
Предшественники пшеницы_x000D_
 _x000D_
Качество всходов зависит от состояния земли, в которую будут производить посев озимой пшеницы._x000D_
 _x000D_
Поэтому основным условием является выбор участка с «правильными» предшественниками. К таковым относятся луговые культуры (люцерна, клевер), идущие на корм скоту – если высадка пшеницы задумывается на целинном участке._x000D_
 _x000D_
На окультуренных грядках перед озимыми посадками пшеницы желательно выращивать бобовые, кукурузу, гречку, картофель с ранними сроками созревания. Отличным вариантом является бахча._x000D_
 _x000D_
Такие почвы будут достаточно обогащены азотом, который необходим для нормальной всхожести пшеницы._x000D_
 _x000D_
Подготовка почвы_x000D_
 _x000D_
  _x000D_
 _x000D_
Подготавливать почву под посев озимой пшеницы следует, исходя из «статуса» выбранного участка. Именно он определяет, каких удобрений следует еще добавить, и когда обрабатывать почву._x000D_
 _x000D_
Если перед высевом семян пшеницы на участке уже что-то выращивалось, то после сбора основного урожая грунт сначала лущат, затем боронуют, стараясь добиться мелкой зернистости почвы. Чем позже будет производиться посев, тем меньшая глубина вспашки предпринимается._x000D_
 _x000D_
Часто под озимую пшеницу используют «выгулявшуюся» землю – так называемые «пары». Почва достаточно отдохнула и обогатилась, так что всхожесть должна быть хорошей. Этот участок подготавливают заранее – еще с весны перекапывая, боронуя и внося удобрения. На паровых землях посев озимых начинается в более ранние сроки, чем после культур-предшественников. Поэтому заделка семян будет глубже._x000D_
 _x000D_
 _x000D_
Посев пшеницы_x000D_
 _x000D_
Отобранные сорта озимой пшеницы согласно районированию предварительно протравливают, защищая их от болезней и возможных вредителей. Обычная глубина посадки должна составлять 4-5 см._x000D_
 _x000D_
В районах с достаточно сухим климатом, а также при слишком ранней посадке этот параметр увеличивается до 8 см. При поздних сроках заделки семян в землю максимальная глубина должна быть 3 см._x000D_
 _x000D_
Схема посадки озимой пшеницы обычная для выращивания зерновых – рядками, расположенными на расстоянии 15 см друг от друга._x000D_
 _x000D_
Если выращивание предусматривается достаточно интенсивное, то следует проделать еще и технологическую колею._x000D_
 _x000D_
Завершающей стадией при посеве является закатка рядков, что в дальнейшем обеспечит более равномерную всхожесть ростков._x000D_
 _x000D_
Удобрение пшеницы_x000D_
 _x000D_
Внесение в почву удобрений также имеет свои особенности. Основное питание вносится в землю во время сева._x000D_
 _x000D_
Если посев озимой пшеницы идет на грядках «предшественников», то используют фосфорно-калийные удобрения. Их же добавляют в грунт и весной, после таяния снегов. Азотом же почву уже обогатили прежние культуры._x000D_
 _x000D_
На парах азотные и фосфорные удобрения вносятся с весны, во время перекопки. При высадке же семян применяют калийные компоненты._x000D_
 _x000D_
Помимо ранневесенней подпитки озимой пшенице необходимо еще дополнительное питание в период выгона трубки, а также во время колошения._x000D_
 _x000D_
В эти фазы лучше применить полный комплекс удобрений._x000D_
 _x000D_
Рекомендуем:_x000D_
 _x000D_
Поделитесь с друзьями в соцсетях_x000D_
Комментарии   _x000D_
_x000D_
0 #1 Николай 08.10.2017 17:53 _x000D_
После уборки картофеля посеял пшеницу сидерат. Ростки подросли, что дальше? перекопать или оставить до весны._x000D_
Цитировать _x000D_
_x000D_
0 #2 Людмила 08.10.2017 18:01 _x000D_
Перекапаете сейчас или оставите до весны не важно. В следующем году сейте лучше горчицу, она лучший сидерат и хороша для дезинфекции почвы от заболеваний и вредителей. К тому же обогащает почву._x000D_
Цитировать _x000D_
Обновить список комментариев_x000D_
RSS лента комментариев этой записи_x000D_
Добавить комментарий_x000D_
 Имя (обязательное) _x000D_
 _x000D_
_x000D_
Обновить_x000D_
_x000D_
_x000D_
Отправить_x000D_
Отменить_x000D_
  _x000D_
Растения по алфавиту _x000D_
Названия комнатных растений и цветов с фото_x000D_
А_x000D_
Б_x000D_
В_x000D_
Г_x000D_
Д_x000D_
Е_x000D_
Ж_x000D_
З_x000D_
И_x000D_
К_x000D_
Л_x000D_
М_x000D_
Н_x000D_
О_x000D_
П_x000D_
Р_x000D_
С_x000D_
Т_x000D_
Х_x000D_
Ц_x000D_
Ш_x000D_
Ф_x000D_
Э_x000D_
Я_x000D_
Популярные статьи - цветы_x000D_
Названия комнатных растений и цветов с фото _x000D_
_x000D_
Популярные виды кактусов. Домашние и цветущие кактусы _x000D_
Кактусы привлекают к себе внимание любителей цветов и растений, своей необычност... _x000D_
_x000D_
Лайм - уход в домашних условиях _x000D_
Лайм - это вечнозеленое дерево с прямостоячим стеблем, ветвистым и одревесневшим... _x000D_
_x000D_
Бегония садовая (клубневая) – посадка и уход _x000D_
Бегония садовая или клубневая – одно из самых популярных среди цветоводов декора... _x000D_
_x000D_
Трихоцереус - уход в домашних условиях _x000D_
Среди цветоводов можно выделить отдельную группу, в которую входят любители какт... _x000D_
_x000D_
Цветы в подвесных кашпо _x000D_
Не всегда удаётся истинным ценителям цветов найти достаточно места на любимой да... _x000D_
_x000D_
Как выращивать розы из семян _x000D_
В одной из прошлых статей мы рассказывали, как выращивать розы из черенков, в эт... _x000D_
Популярные статьи - дача_x000D_
 _x000D_
Пушистый детский коврик из ниток – своими руками _x000D_
Мастер-класс. Как своими руками изготовить пушистый коврик для Вашего ребенка: к... _x000D_
 _x000D_
С чего начать строительство дачного дома? _x000D_
Строительство дачного дома, как любого жилого сооружения весьма сложный процесс,... _x000D_
 _x000D_
Как сделать ранней весной в теплице тепло _x000D_
Ничто так не согревает душу жителей отнюдь не южных регионов, как вид некого соо... _x000D_
 _x000D_
Как провести воду в дом из скважины _x000D_
Решил я на даче провести воду в дом из скважины. Стал искать в интернете, какие... _x000D_
Популярные статьи - сад_x000D_
 _x000D_
Формирование куста винограда в первые четыре года _x000D_
В первые четыре года после посадки основной задачей является формирование куста... _x000D_
 _x000D_
Какие сорта яблонь лучше выращивать на дачном участке _x000D_
Все мы хотим, чтобы на нашем участке урожай был круглое лето. Этого можно добить... _x000D_
 _x000D_
Сорта груш для Сибири _x000D_
Пожалуй, груши можно отнести к разряду самых древних фруктовых культур. Упоминан... _x000D_
 _x000D_
Жимолость японская _x000D_
Жимолость японская - это идеальное растение для балконов и террас. Если выращива... _x000D_
Популярные статьи - животные_x000D_
 _x000D_
Выгодно ли разводить кроликов? _x000D_
На это вопрос, можно ответить, утвердительно. Ну во первых это: диетическое мясо... _x000D_
 _x000D_
Как сделать пчелиный улей своими руками _x000D_
В настоящее время очень популярным занятием становится пчеловодство. Получить св... _x000D_
 _x000D_
Кроличий навоз как удобрение? _x000D_
Опытные садоводы знают, что навоз это органическое удобрение, которое богато раз... _x000D_
 _x000D_
Породы индоуток – названия и описание _x000D_
Этот вид уток называют индоутками, поскольку они выращивались американскими инде... _x000D_
 _x000D_
Уход за козой после окота _x000D_
Как любое животное, коза после окота требует к себе особого внимания, ведь этот... _x000D_
Подпишись на новые статьи_x000D_
 _x000D_
 _x000D_
 _x000D_
         _x000D_
Все права защищены. Копирование материалов разрешено только с письменного подтверждения администрации сайта, и обязательным указанием на первоисточник (Активная ссылка не закрытая от поисковиков). Вся информация на сайте представлена в ознакомительных целях. Администрация сайта не несет ответственности за достоверность информации, содержащейся в рекламных объявлениях._x000D_
Copyright © 2012 - 2018_x000D_
связаться с нами_x000D_
авторам_x000D_
карта сайта_x000D_
Вверх_x000D_
 </t>
  </si>
  <si>
    <t xml:space="preserve"> Дачники мало интересуются зерновыми культурами, поэтому на грядках редко встретишь рожь, ячмень или пшеницу._x000D_ Даже если нет возможности выращивать хлеб, то такие посадки станут хорошим сидератом для других овощных культур._x000D_ Поэтому основным условием является выбор участка с «правильными» предшественниками. К таковым относятся луговые культуры (люцерна, клевер), идущие на корм скоту – если высадка пшеницы задумывается на целинном участке._x000D_ На окультуренных грядках перед озимыми посадками пшеницы желательно выращивать бобовые, кукурузу, гречку, картофель с ранними сроками созревания. Отличным вариантом является бахча._x000D_ Подготавливать почву под посев озимой пшеницы следует, исходя из «статуса» выбранного участка. Именно он определяет, каких удобрений следует еще добавить, и когда обрабатывать почву._x000D_ Если перед высевом семян пшеницы на участке уже что-то выращивалось, то после сбора основного урожая грунт сначала лущат, затем боронуют, стараясь добиться мелкой зернистости почвы. Чем позже будет производиться посев, тем меньшая глубина вспашки предпринимается._x000D_ Часто под озимую пшеницу используют «выгулявшуюся» землю – так называемые «пары». Почва достаточно отдохнула и обогатилась, так что всхожесть должна быть хорошей. Этот участок подготавливают заранее – еще с весны перекапывая, боронуя и внося удобрения. На паровых землях посев озимых начинается в более ранние сроки, чем после культур-предшественников. Поэтому заделка семян будет глубже._x000D_ Отобранные сорта озимой пшеницы согласно районированию предварительно протравливают, защищая их от болезней и возможных вредителей. Обычная глубина посадки должна составлять 4-5 см._x000D_ В районах с достаточно сухим климатом, а также при слишком ранней посадке этот параметр увеличивается до 8 см. При поздних сроках заделки семян в землю максимальная глубина должна быть 3 см._x000D_ Схема посадки озимой пшеницы обычная для выращивания зерновых – рядками, расположенными на расстоянии 15 см друг от друга._x000D_ Если выращивание предусматривается достаточно интенсивное, то следует проделать еще и технологическую колею._x000D_ Завершающей стадией при посеве является закатка рядков, что в дальнейшем обеспечит более равномерную всхожесть ростков._x000D_ Внесение в почву удобрений также имеет свои особенности. Основное питание вносится в землю во время сева._x000D_ Если посев озимой пшеницы идет на грядках «предшественников», то используют фосфорно-калийные удобрения. Их же добавляют в грунт и весной, после таяния снегов. Азотом же почву уже обогатили прежние культуры._x000D_ На парах азотные и фосфорные удобрения вносятся с весны, во время перекопки. При высадке же семян применяют калийные компоненты._x000D_ Помимо ранневесенней подпитки озимой пшенице необходимо еще дополнительное питание в период выгона трубки, а также во время колошения._x000D_ После уборки картофеля посеял пшеницу сидерат. Ростки подросли, что дальше? перекопать или оставить до весны._x000D_ Перекапаете сейчас или оставите до весны не важно. В следующем году сейте лучше горчицу, она лучший сидерат и хороша для дезинфекции почвы от заболеваний и вредителей. К тому же обогащает почву._x000D_ Все права защищены. Копирование материалов разрешено только с письменного подтверждения администрации сайта, и обязательным указанием на первоисточник (Активная ссылка не закрытая от поисковиков). Вся информация на сайте представлена в ознакомительных целях. Администрация сайта не несет ответственности за достоверность информации, содержащейся в рекламных объявлениях._x000D_</t>
  </si>
  <si>
    <t xml:space="preserve"> Дачники мало интересуются зерновыми культурами, поэтому на грядках редко встретишь рожь, ячмень или пшеницу._x000D_ Даже если нет возможности выращивать хлеб, то такие посадки станут хорошим сидератом для других овощных культур._x000D_ Поэтому основным условием является выбор участка с «правильными» предшественниками. К таковым относятся луговые культуры (люцерна, клевер), идущие на корм скоту – если высадка пшеницы задумывается на целинном участке._x000D_ На окультуренных грядках перед озимыми посадками пшеницы желательно выращивать бобовые, кукурузу, гречку, картофель с ранними сроками созревания. Отличным вариантом является бахча._x000D_ Подготавливать почву под посев озимой пшеницы следует, исходя из «статуса» выбранного участка. Именно он определяет, каких удобрений следует еще добавить, и когда обрабатывать почву._x000D_ Если перед высевом семян пшеницы на участке уже что-то выращивалось, то после сбора основного урожая грунт сначала лущат, затем боронуют, стараясь добиться мелкой зернистости почвы. </t>
  </si>
  <si>
    <t>Дачники мало цікавляться зерновими культурами, тому на грядках рідко зустрінеш жито, ячмінь чи пшеницю. Навіть якщо немає можливості вирощувати хліб, то такі посадки стануть хорошим сидератом для інших овочевих культур. Тому основною умовою є вибір ділянки з «правильними» попередниками. До таких належать лучні культури (люцерна, конюшина), що йдуть на корм худобі – якщо висадка пшениці замислюється на цілинному ділянці. На окультурених грядках перед озимими посадками пшениці бажано вирощувати бобові, кукурудзу, гречку, картоплю з ранніми термінами дозрівання. Відмінним варіантом є баштан. Готувати ґрунт під посів озимої пшениці слід, виходячи з «статусу» вибраної ділянки. Саме він визначає, яких добрив слід ще додати, і коли обробляти грунт. Якщо перед висівом насіння пшениці на ділянці вже щось вирощувалося, то після збирання основного врожаю грунт спочатку лущать, потім боронують, намагаючись домогтися дрібної зернистості грунту.</t>
  </si>
  <si>
    <t xml:space="preserve">Дачники мало цікавляться зерновими культурами, тому на грядках рідко зустрінеш жито, ячмінь чи пшеницю. Навіть якщо немає можливості вирощувати хліб, то такі посадки стануть хорошим сидератом для інших овочевих культур. Тому основною умовою є вибір ділянки з «правильними» попередниками. До таких належать лучні культури (люцерна, конюшина), що йдуть на корм худобі – якщо висадка пшениці замислюється на цілинному ділянці. На окультурених грядках перед озимими посадками пшениці бажано вирощувати бобові, кукурудзу, гречку, картоплю з ранніми термінами дозрівання. Відмінним варіантом є баштан. Готувати ґрунт під посів озимої пшениці слід, виходячи з «статусу» вибраної ділянки. Саме він визначає, яких добрив слід ще додати, і коли обробляти грунт. Якщо перед висівом насіння пшениці на ділянці вже щось вирощувалося, то після збирання основного врожаю грунт спочатку лущать, потім боронують, намагаючись домогтися дрібної зернистості грунту. </t>
  </si>
  <si>
    <t>https://agrovesti.net/lib/tech/growing-cereals/osobennosti-agrotekhniki-ozimoj-pshenitsy-v-stepnoj-zone.html</t>
  </si>
  <si>
    <t xml:space="preserve">Вход на сайт _x000D_
× _x000D_
Вход на сайт _x000D_
Если у вас уже есть аккаунт, то введите в поля ниже Ваш логин и пароль: _x000D_
 _x000D_
 _x000D_
 Запомнить меня _x000D_
 _x000D_
Забыли пароль? _x000D_
Забыли логин? _x000D_
    _x000D_
Простая регистрация: _x000D_
Регистрация _x000D_
Войдите с помощью социальных сетей: _x000D_
 Facebook  Google  Майл@ру  Одноклассники  Twitter  ВКонтакте  Яндекс _x000D_
Регистрация_x000D_
Email-рассылки_x000D_
Авторы_x000D_
О нас_x000D_
  _x000D_
  _x000D_
  _x000D_
Поиск объявлений_x000D_
Поиск материалов_x000D_
Поиск по тегам_x000D_
АгроВестник _x000D_
 _x000D_
Картина дня   _x000D_
Новости   _x000D_
Статьи &amp; Аналитика  Технологии _x000D_
Отраслевая аналитика _x000D_
Региональная информация _x000D_
Приоритетные инвестпроекты _x000D_
Агрохолдинги _x000D_
Советы _x000D_
_x000D_
Oбъявления Новый сервис! Подать объявление _x000D_
Все объявления _x000D_
Оформить подписку _x000D_
Купить баллы _x000D_
Мой профиль _x000D_
Мои объявления _x000D_
Моё избранное _x000D_
Мои баллы _x000D_
Моя подписка _x000D_
_x000D_
 _x000D_
Реклама_x000D_
_x000D_
Главная _x000D_
Статьи &amp; Аналитика _x000D_
Технологии _x000D_
Выращивание зерновых _x000D_
Новости АПК _x000D_
14:00 _x000D_
Американский агрогигант инвестировал в Face ID для коров _x000D_
Новости АПК _x000D_
13:35 _x000D_
Сельхозкооперативам Ярославской области будут предоставлены гранты на развитие материально-технической базы _x000D_
Новости АПК _x000D_
13:29 _x000D_
Экспортные цены пшеницы РФ вновь подросли за неделю _x000D_
 _x000D_
Выращивание зерновых _x000D_
16.06.2016 _x000D_
2800 _x000D_
Особенности агротехники озимой пшеницы в степной зоне _x000D_
Источник: Фермер Land _x000D_
В степной зоне, в районах недостаточного увлажнения при выращивании высоких и устойчивых урожаев озимых первоочередное значение имеет осуществление приемов, обеспечивающих максимальное накопление и сохранение в почве воды ко времени сева (например, внекорневая подкормка мочевиной), что является основным в получении своевременных всходов и создании нормальных условий для перезимовки посевов._x000D_
Для этого необходимо наряду с широким внедрением в производство новых высокопродуктивных сортов соблюдать все элементы современной технологии выращивания озимых, в частности, правильно размещать посевы после предшественников, применять рациональную систему обработки почвы, эффективно использовать удобрения, своевременно и доброкачественно сеять._x000D_
Предшественники_x000D_
При выращивании интенсивных сортов озимой пшеницы, отличающихся повышенной отзывчивостью на плодородие и запасы в почве воды, решающее значение имеет размещение посевов в севообороте._x000D_
Как известно, озимая пшеница обеспечивает более высокие урожаи при размещении ее по черным и занятым парам. Реакция сортов пшеницы на предшественники в значительной степени обусловлена удобренностью фона. По неудобренному черному пару урожай озимой пшеницы, как правило, бывает таким же, как после хорошо удобренных непаровых предшественников. Следовательно, интенсивные сорта могут обеспечить получение высокого урожая и после непаровых предшественников, но при внесении оптимальных норм удобрений._x000D_
В районах недостаточного увлажнения лучшими предшественниками озимой пшеницы для получения зерна хорошего качества являются черный пар и многолетние бобовые травы двухлетнего использования (см. табл.). В благоприятные по увлажнению годы лучшим предшественником, обеспечивающим получение зерна хорошего качества, является горох на зеленый корм._x000D_
Урожай и качество зерна озимой пшеницы по черному пару и после многолетних трав, среднее из 36 опытов за 5 лет_x000D_
ПредшественникУрожай, ц/гаСтекловидность, %Содержание, %_x000D_
белка в зернеклейковины в муке_x000D_
Черный пар42,88813,131,2_x000D_
Многолетние травы34,89113,5532,2_x000D_
_x000D_
Обработка почвы_x000D_
В условиях степного земледелия при выращивании озимой пшеницы после непаровых предшественников значительно возрастает роль обработки почвы как одного из основных приемов сохранения воды в почве и обеспечения дружных всходов._x000D_
Сорта различных биотипов неодинаково реагируют на глубину обработки почвы, что связано, главным образом, с различной глубиной заделки семян. После вспашки часть семян во время сева заделывается очень глубоко — до 8-10 см. В опытах установлено, что при севе на глубину 9 см полевая всхожесть семян у короткостебельных сортов пшеницы была на 19,2 % меньшей, а всходы появились на 5 дней позже._x000D_
Результаты научных исследований свидетельствуют, что в степной зоне обработку занятых паров и непаровых предшественников целесообразно проводить на глубину заделки семян. При такой обработке разрыхляется верхний слой почвы и создается плотное ложе для семян, лучше накапливается и сохраняется вода, а равномерный посев семян повышает полевую всхожесть и ускоряет появление всходов, что создает благоприятные предпосылки для оптимального роста и развития растений в осенний период._x000D_
Посевы озимых при поверхностной обработке, как правило, более устойчивы против неблагоприятной зимовки. В этом случае устраняется возможность выпирания растений, что нередко наблюдается при вспашке в годы с резкими перепадами температур в начале весны._x000D_
Хорошо развитый с осени травостой озимых при поверхностной обработке не только обеспечивает надежную защиту почвы от эрозии, но и способствует существенному уменьшению засоренности посевов за счет биологического угнетения сорняков растительным покровом озимых._x000D_
В опытных учреждениях степной зоны в разное время получены данные, свидетельствующие об эффективности поверхностной обработки почвы после таких предшественников, как горох, кукуруза на зеленый корм и силос, бахчевые культуры (см. табл.). В годы с засушливой второй половиной лета применение поверхностной обработки целесообразно и после других предшественников, в первую очередь после колосовых культур._x000D_
Реакция сортов на обработку почвы (предшественник - занятой пар)_x000D_
Обработка почвыУрожай, ц/га, по годамСредний_x000D_
1234_x000D_
Безостая 1_x000D_
Вспашка на 20-22 см36,742,436,835,337,8_x000D_
Поверхностная обработка на 8-10 см38,243,638,135,838,9_x000D_
Днепровская 775_x000D_
Вспашка на 20-22 см36,244,439,142,240,5_x000D_
Поверхностная обработка на 8-10 см36,845,941,043,041,7_x000D_
_x000D_
Эффективность поверхностной обработки практически не зависит от типа почвообрабатывающих орудий. С одинаковым успехом можно обрабатывать поле как дисковыми боронами, так и культиваторами-плоскорезами. Лишь после колосовых культур, где пожнивные остатки являются резерваторами болезней и вредителей, не следует применять плоскорезных орудий. Здесь лучше обрабатывать почву лемешными лущильниками или дисковыми боронами._x000D_
Как известно, интенсивные сорта озимой пшеницы наиболее продуктивны при выращивании по черному пару. Поэтому соблюдение рекомендованных приемов основной обработки почвы и ухода за черными парами является важнейшим условием наиболее полного использования высокой потенциальной урожайности сортов._x000D_
После непаровых предшественников, обработка почвы существенно не влияет на качество зерна интенсивных сортов. Поэтому ее следует рассматривать как одно из важнейших условий улучшения водного режима почвы, обеспечения своевременных всходов и повышения урожаев._x000D_
Удобрение_x000D_
Определяя нормы и соотношения минеральных удобрений, необходимо учитывать их экономическую эффективность. Далеко не всегда увеличение норм удобрений сопровождается повышением эффективности производства зерна._x000D_
Предпосевное внесение минеральных удобрений хотя и способствует улучшению урожая, однако не всегда обеспечивает получение качественного зерна. Для решения этой задачи необходимо дополнительно проводить внекорневые подкормки посевов мочевиной в период от фазы выхода растений в трубку до начала молочного состояния зерна._x000D_
Нормы мочевины устанавливают от 45 в начале до 15-30 кг/га в конце этого периода. При подкормке посевов мочевиной (45 кг/га) в фазе колошения содержание белка в зерне увеличилось на 1,56%у а клейковины в муке — на 4,8% (см. табл.)._x000D_
Влияние внекорневой подкормки на качество зерна озимой пшеницы, в среднем за 10 лет_x000D_
Сроки подкормки, нормы азота, кг/гаУрожай, ц/гаСтекловидность, %Содержание, %_x000D_
белка в зернеклейковины в муке_x000D_
Без удобрений39,48312,9130,3_x000D_
Образование 2-3 междоузлий_x000D_
1540,48712,9130,3_x000D_
3040,99013,2030,8_x000D_
4541,08913,4331,8_x000D_
Колошение_x000D_
1540,28713,0530,7_x000D_
3040,69013,3031,4_x000D_
4541,19213,7532,8_x000D_
Начало молочного состояния зерна_x000D_
1539,88713,2031,1_x000D_
3039,88913,5331,7_x000D_
4540,09013,8332,9_x000D_
_x000D_
Эффективность внекорневой подкормки зависит от биологических свойств сорта. Установлено, что у сортов с преждевременным отмиранием листьев вследствие запала, поражения болезнями или по другим причинам качество зерна под влиянием внекорневой подкормки улучшалось меньше, чем у сортов, которые не подвергались неблагоприятному воздействию внешних факторов._x000D_
В степной зоне земледелия повышение урожаев и улучшение качества зерна сортов озимой пшеницы достигаются при системе удобрения, включающей предпосевное внесение, ранневесенние и внекорневые подкормки в течение вегетации._x000D_
Сроки сева_x000D_
Многочисленными исследованиями установлено, что наивысшей зимостойкостью и продуктивностью обладают растения, которые до наступления зимы успевают хорошо раскуститься, укорениться и накопить достаточное количество защитных веществ в узлах кущения. Этого можно достичь лишь при севе озимых в лучшие сроки._x000D_
Реакция районированных сортов на сроки сева в значительной мере обусловливается степенью их зимостойкости. Недостаточно зимостойкими оказываются растения пшеницы ранних и поздних сроков сева._x000D_
Оптимальные сроки сева в южных районах Степи наступают с 20 сентября, в районах центральной и северной степи на 5-10 дней раньше. В Крыму оптимальные сроки сева приходятся на конец сентября — первую декаду октября._x000D_
Сроки сева дифференцируются не только в зависимости от сорта, но и от предшественников, плодородия почвы и уровня удобрения. После таких предшественников, как черный и ранний занятой пар, сеять озимую пшеницу следует в средине или к концу оптимальных сроков, а после непаровых предшественников — в первой половине._x000D_
При внесении повышенных норм минеральных удобрений оптимальный срок сева озимой пшеницы сдвигается на более позднее время. Внесение больших норм удобрений при ранних сроках сева вызывает перерастание и старение растений, что ведет к непроизводительным расходам воды, снижению устойчивости растений против неблагоприятных факторов во время зимовки и резкому снижению продуктивности._x000D_
Нормы высева и глубина заделки семян_x000D_
Для получения нужного количества растений на площади нормы высева и глубина заделки семян должны определяться, прежде всего, в зависимости от сорта и сроков сева. При оптимальном количестве растения лучше используют воду и питательные вещества, что способствует повышению их продуктивности. Как при изреженных, так и загущенных посевах урожай снижается._x000D_
У хорошо кустящихся сортов более высокая продуктивность растений формируется преимущественно при нормах высева 4,5-5, а у менее кустящихся — 5,5-6 млн./га семян. Общим для всех сортов озимой пшеницы является то, что на хорошо обеспеченных питательными веществами и водой почвах норму высева нужно устанавливать по нижнему пределу._x000D_
При большой норме высева растения полегают, особенно сортов с повышенной кустистостью. При иссушении верхних слоев почвы и необходимости применения глубокой заделки семян, приводящей к снижению их полевой всхожести и энергии кущения, норму высева следует несколько увеличивать._x000D_
Нормы высева во многом обусловливаются сроками сева. В первые дни сева при хорошем увлажнении норму высева следует несколько уменьшить, а в конце допустимых сроков — увеличить._x000D_
Следует иметь в виду, что при запаздывании с севом, когда растения к началу зимы не успевают раскуститься, увеличение нормы высева до 6,5 млн./га семян способствует некоторому повышению урожая. Однако своевременные посевы с оптимальной нормой высева в сравнении с загущенными поздними, как правило, обеспечивают большие урожаи._x000D_
В районах недостаточного увлажнения с характерным для них быстрым иссушением верхних слоев почвы часто возникает необходимость применения углубленной заделки семян. Это способствует получению своевременных всходов и повышению урожая._x000D_
На площадях, где недостаточны запасы воды для получения своевременных и дружных всходов, а также при поздних сроках сева глубоко заделывать семена нельзя, так как это приводит к ослаблению растений, изреженности посевов и к снижению урожая._x000D_
Уборка_x000D_
Чтобы с наименьшими потерями убрать урожай, необходимо учитывать свойства сорта, так как величина потерь зерна по сортам колеблется в широких пределах. Больше всего подвержены потерям зерна сорта, склонные к полеганию и осыпанию, неустойчивые против болезней и вредителей._x000D_
Особенно большие потери бывают при сильной засухе или затяжных дождях, ветрах и других неблагоприятных условиях. Запаздывание с уборкой ведет к большим потерям урожая._x000D_
В зависимости от погоды, состояния посевов и свойств сортов озимую пшеницу убирают раздельным способом или прямым комбайнированием. При достижении растениями восковой спелости — урожай убирают раздельным способом, а при полной — прямым комбайнированием._x000D_
Чрезмерно раннее скашивание — в начале восковой спелости зерна, а также продолжительный перестой на корню или в валках (более 5 дней), когда зерно полностью созревает, приводят к значительному ухудшению его качества._x000D_
При уборке озимой пшеницы раздельным способом в чрезмерно ранние сроки при влажности зерна 43-36%, что соответствует фазам тестообразного состояния и началу его восковой спелости, наряду со снижением урожайности ухудшается и качество зерна (см. табл.). Лучшим сроком уборки, при котором обеспечивается зерно хорошего качества, является период от середины восковой спелости зерна до полной._x000D_
Влияние сроков уборки на урожай и качество зерна озимой пшеницы, в среднем за 10 лет_x000D_
Сроки уборкиУрожай, ц/гаСодержание,%Сроки уборкиУрожай, ц/гаСодержание, %_x000D_
белка в зернеклейковины в мукебелка в зернеклейковины в муке_x000D_
Безостая 1Одесская 51_x000D_
Тестообразное состояние36,212,3426,7Тестообразное состояние35,412,1126,0_x000D_
Начало восковой спелости38,412,6828,6Начало восковой спелости37,712,5028,5_x000D_
Середина восковой спелости39,813,0630,1Середина восковой спелости39,213,0329,8_x000D_
Конец восковой спелости40,913,2431,0Конец восковой спелости40,213,0830,6_x000D_
Полная спелость41,313,3031,2Полная спелость40,513,1431,2_x000D_
_x000D_
Поделиться_x000D_
Метки_x000D_
Технологии Зерно _x000D_
Предыдущая статья Синтез агротехнологии возделывания озимой пшеницы, управление ее продуктивностью и качеством _x000D_
Следующая статья Взгляд на применение морфорегуляторов _x000D_
 _x000D_
Реклама_x000D_
Выращивание зерновых _x000D_
12.11.2017 _x000D_
530 _x000D_
 _x000D_
Опыт: прямой посев в условиях Западной Сибири повышает урожайность на 20% _x000D_
Выращивание зерновых _x000D_
27.02.2017 _x000D_
1516 _x000D_
 _x000D_
Возделывание тритикале в условиях Самарской области _x000D_
Выращивание зерновых _x000D_
05.02.2016 _x000D_
582 _x000D_
 _x000D_
Неустойчивые к болезням сорта пшеницы оказались лучше _x000D_
Возможно, вам это будет интересно_x000D_
Выращивание кукурузы _x000D_
Технология возделывания кукурузы _x000D_
18.07.2015 _x000D_
1345 _x000D_
Размещение в севообороте Биологические свойства предшествующей культуры, почвенные и климатические условия зон возделывания кукурузы, степень засоренности поля, особенности агротехники и другие факторы, которые возникают в результате чередования культур, определяют место кукурузы в севообороте. Лучшими предшественниками являются зернобобовые культуры. Хорошими предшественниками кукурузы при... _x000D_
Подробнее... _x000D_
Выращивание подсолнечника _x000D_
Агротехнические проблемы на подсолнечнике _x000D_
18.07.2015 _x000D_
1152 _x000D_
Подробнее... _x000D_
Технологии_x000D_
Техника и оборудование _x000D_
Выращивание бобовых _x000D_
Выращивание зерновых _x000D_
Выращивание картофеля _x000D_
Выращивание крупяных _x000D_
Выращивание кукурузы _x000D_
Выращивание овощных _x000D_
Выращивание подсолнечника _x000D_
Выращивание рапса _x000D_
Выращивание сахарной свеклы _x000D_
Защита растений _x000D_
Кормление _x000D_
Кормопроизводство _x000D_
Крупный рогатый скот _x000D_
Мелиорация _x000D_
Птицеводство _x000D_
Свиноводство _x000D_
Удобрения _x000D_
Точное земледелие _x000D_
Экономика _x000D_
Смотреть все _x000D_
Выращивание зерновых _x000D_
Выращивание сорго в засушливых районах юга России _x000D_
08.02.2018 _x000D_
50 _x000D_
Кормопроизводство _x000D_
Мнение эксперта о литературе по кормопроизводству и угле наклона стен силосной траншеи _x000D_
26.01.2018 _x000D_
163 _x000D_
Выращивание зерновых _x000D_
Сеникация и другие приемы повышения качества зерна озимой пшеницы _x000D_
25.01.2018 _x000D_
633 _x000D_
Популярные теги_x000D_
Производство Инвестиции Зерно Молоко Техника и оборудование Технологии Агрохолдинги Внутренние рынки КРС Государство Экспорт Свиноводство Птицеводство Татарстан Овощи Рязанская область Мясо Воронежская область Корма Ставропольский край _x000D_
Место для вашей рекламы_x000D_
Возможно, вас заинтересуют эти объявления_x000D_
Зерновые сеялки_x000D_
Сеялка СЗ-5.4_x000D_
670 000р_x000D_
г Чебоксары_x000D_
Подсолнечник_x000D_
Семена подсолнечника (сорта)_x000D_
г Краснодар_x000D_
Кукуруза_x000D_
Семена кукурузы_x000D_
г Зерноград_x000D_
Гербициды_x000D_
Гербицид Базагран_x000D_
890рТорг уместен_x000D_
г Воронеж_x000D_
Реклама_x000D_
Региональная информация_x000D_
Алтайский край _x000D_
Амурская область _x000D_
Архангельская область _x000D_
Астраханская область _x000D_
Белгородская область _x000D_
Брянская область _x000D_
Владимирская область _x000D_
Волгоградская область _x000D_
Вологодская область _x000D_
Воронежская область _x000D_
Забайкальский край _x000D_
Ивановская область _x000D_
Иркутская область _x000D_
Калининградская область _x000D_
Калужская область _x000D_
Кемеровская область _x000D_
Кировская область _x000D_
Костромская область _x000D_
Краснодарский край _x000D_
Красноярский край _x000D_
Курганская область _x000D_
Курская область _x000D_
Ленинградская область _x000D_
Липецкая область _x000D_
Московская область _x000D_
Нижегородская область _x000D_
Новгородская область _x000D_
Новосибирская область _x000D_
Омская область _x000D_
Оренбургская область _x000D_
Орловская область _x000D_
Пензенская область _x000D_
Приморский край _x000D_
Пермский край _x000D_
Псковская область _x000D_
Республика Башкортостан _x000D_
Республика Бурятия _x000D_
Республика Кабардино-Балкария _x000D_
Республика Карачаево-Черкесия _x000D_
Республика Карелия _x000D_
Республика Коми _x000D_
Республика Крым _x000D_
Республика Марий Эл _x000D_
Республика Мордовия _x000D_
Республика Северная Осетия - Алания _x000D_
Республика Татарстан _x000D_
Республика Хакасия _x000D_
Республика Чувашия _x000D_
Ростовская область _x000D_
Рязанская область _x000D_
Самарская область _x000D_
Саратовская область _x000D_
Свердловская область _x000D_
Смоленская область _x000D_
Ставропольский край _x000D_
Тамбовская область _x000D_
Тверская область _x000D_
Томская область _x000D_
Тульская область _x000D_
Тюменская область _x000D_
Удмуртская республика _x000D_
Ульяновская область _x000D_
Хабаровский край _x000D_
Ханты-Мансийский АО — Югра _x000D_
Челябинская область _x000D_
Ярославская область _x000D_
Отраслевая информация_x000D_
Бобовые _x000D_
Зерновые _x000D_
Картофелеводство _x000D_
Комбикорма _x000D_
Кормовые культуры _x000D_
Кукуруза _x000D_
Крупы _x000D_
Лён _x000D_
Масличные _x000D_
Машиностроение _x000D_
Мелкий рогатый скот _x000D_
Молочное животноводство _x000D_
Мясное животноводство _x000D_
Птицеводство _x000D_
Овощи _x000D_
Рынок удобрений _x000D_
Садоводство _x000D_
Сахарная свекла _x000D_
Средства защиты растений _x000D_
Сфера услуг _x000D_
 _x000D_
 _x000D_
Политика конфиденциальности_x000D_
Копирование информации возможно только с активной ссылкой на источник — Agrovesti.net._x000D_
 _x000D_
Сделано с любовью в студии C-site.ru _x000D_
× _x000D_
Подписка_x000D_
Оформите email-подписку чтобы всегда быть в курсе событий и новых технологий_x000D_
 _x000D_
 _x000D_
 _x000D_
          </t>
  </si>
  <si>
    <t xml:space="preserve"> В степной зоне, в районах недостаточного увлажнения при выращивании высоких и устойчивых урожаев озимых первоочередное значение имеет осуществление приемов, обеспечивающих максимальное накопление и сохранение в почве воды ко времени сева (например, внекорневая подкормка мочевиной), что является основным в получении своевременных всходов и создании нормальных условий для перезимовки посевов._x000D_ Для этого необходимо наряду с широким внедрением в производство новых высокопродуктивных сортов соблюдать все элементы современной технологии выращивания озимых, в частности, правильно размещать посевы после предшественников, применять рациональную систему обработки почвы, эффективно использовать удобрения, своевременно и доброкачественно сеять._x000D_ При выращивании интенсивных сортов озимой пшеницы, отличающихся повышенной отзывчивостью на плодородие и запасы в почве воды, решающее значение имеет размещение посевов в севообороте._x000D_ Как известно, озимая пшеница обеспечивает более высокие урожаи при размещении ее по черным и занятым парам. Реакция сортов пшеницы на предшественники в значительной степени обусловлена удобренностью фона. По неудобренному черному пару урожай озимой пшеницы, как правило, бывает таким же, как после хорошо удобренных непаровых предшественников. Следовательно, интенсивные сорта могут обеспечить получение высокого урожая и после непаровых предшественников, но при внесении оптимальных норм удобрений._x000D_ В районах недостаточного увлажнения лучшими предшественниками озимой пшеницы для получения зерна хорошего качества являются черный пар и многолетние бобовые травы двухлетнего использования (см. табл.). В благоприятные по увлажнению годы лучшим предшественником, обеспечивающим получение зерна хорошего качества, является горох на зеленый корм._x000D_ В условиях степного земледелия при выращивании озимой пшеницы после непаровых предшественников значительно возрастает роль обработки почвы как одного из основных приемов сохранения воды в почве и обеспечения дружных всходов._x000D_ Сорта различных биотипов неодинаково реагируют на глубину обработки почвы, что связано, главным образом, с различной глубиной заделки семян. После вспашки часть семян во время сева заделывается очень глубоко — до 8-10 см. В опытах установлено, что при севе на глубину 9 см полевая всхожесть семян у короткостебельных сортов пшеницы была на 19,2 % меньшей, а всходы появились на 5 дней позже._x000D_ Результаты научных исследований свидетельствуют, что в степной зоне обработку занятых паров и непаровых предшественников целесообразно проводить на глубину заделки семян. При такой обработке разрыхляется верхний слой почвы и создается плотное ложе для семян, лучше накапливается и сохраняется вода, а равномерный посев семян повышает полевую всхожесть и ускоряет появление всходов, что создает благоприятные предпосылки для оптимального роста и развития растений в осенний период._x000D_ Посевы озимых при поверхностной обработке, как правило, более устойчивы против неблагоприятной зимовки. В этом случае устраняется возможность выпирания растений, что нередко наблюдается при вспашке в годы с резкими перепадами температур в начале весны._x000D_ Хорошо развитый с осени травостой озимых при поверхностной обработке не только обеспечивает надежную защиту почвы от эрозии, но и способствует существенному уменьшению засоренности посевов за счет биологического угнетения сорняков растительным покровом озимых._x000D_ В опытных учреждениях степной зоны в разное время получены данные, свидетельствующие об эффективности поверхностной обработки почвы после таких предшественников, как горох, кукуруза на зеленый корм и силос, бахчевые культуры (см. табл.). В годы с засушливой второй половиной лета применение поверхностной обработки целесообразно и после других предшественников, в первую очередь после колосовых культур._x000D_ Эффективность поверхностной обработки практически не зависит от типа почвообрабатывающих орудий. С одинаковым успехом можно обрабатывать поле как дисковыми боронами, так и культиваторами-плоскорезами. Лишь после колосовых культур, где пожнивные остатки являются резерваторами болезней и вредителей, не следует применять плоскорезных орудий. Здесь лучше обрабатывать почву лемешными лущильниками или дисковыми боронами._x000D_ Как известно, интенсивные сорта озимой пшеницы наиболее продуктивны при выращивании по черному пару. Поэтому соблюдение рекомендованных приемов основной обработки почвы и ухода за черными парами является важнейшим условием наиболее полного использования высокой потенциальной урожайности сортов._x000D_ После непаровых предшественников, обработка почвы существенно не влияет на качество зерна интенсивных сортов. Поэтому ее следует рассматривать как одно из важнейших условий улучшения водного режима почвы, обеспечения своевременных всходов и повышения урожаев._x000D_ Определяя нормы и соотношения минеральных удобрений, необходимо учитывать их экономическую эффективность. Далеко не всегда увеличение норм удобрений сопровождается повышением эффективности производства зерна._x000D_ Предпосевное внесение минеральных удобрений хотя и способствует улучшению урожая, однако не всегда обеспечивает получение качественного зерна. Для решения этой задачи необходимо дополнительно проводить внекорневые подкормки посевов мочевиной в период от фазы выхода растений в трубку до начала молочного состояния зерна._x000D_ Эффективность внекорневой подкормки зависит от биологических свойств сорта. Установлено, что у сортов с преждевременным отмиранием листьев вследствие запала, поражения болезнями или по другим причинам качество зерна под влиянием внекорневой подкормки улучшалось меньше, чем у сортов, которые не подвергались неблагоприятному воздействию внешних факторов._x000D_ В степной зоне земледелия повышение урожаев и улучшение качества зерна сортов озимой пшеницы достигаются при системе удобрения, включающей предпосевное внесение, ранневесенние и внекорневые подкормки в течение вегетации._x000D_ Многочисленными исследованиями установлено, что наивысшей зимостойкостью и продуктивностью обладают растения, которые до наступления зимы успевают хорошо раскуститься, укорениться и накопить достаточное количество защитных веществ в узлах кущения. Этого можно достичь лишь при севе озимых в лучшие сроки._x000D_ Реакция районированных сортов на сроки сева в значительной мере обусловливается степенью их зимостойкости. Недостаточно зимостойкими оказываются растения пшеницы ранних и поздних сроков сева._x000D_ Оптимальные сроки сева в южных районах Степи наступают с 20 сентября, в районах центральной и северной степи на 5-10 дней раньше. В Крыму оптимальные сроки сева приходятся на конец сентября — первую декаду октября._x000D_ Сроки сева дифференцируются не только в зависимости от сорта, но и от предшественников, плодородия почвы и уровня удобрения. После таких предшественников, как черный и ранний занятой пар, сеять озимую пшеницу следует в средине или к концу оптимальных сроков, а после непаровых предшественников — в первой половине._x000D_ При внесении повышенных норм минеральных удобрений оптимальный срок сева озимой пшеницы сдвигается на более позднее время. Внесение больших норм удобрений при ранних сроках сева вызывает перерастание и старение растений, что ведет к непроизводительным расходам воды, снижению устойчивости растений против неблагоприятных факторов во время зимовки и резкому снижению продуктивности._x000D_ Для получения нужного количества растений на площади нормы высева и глубина заделки семян должны определяться, прежде всего, в зависимости от сорта и сроков сева. При оптимальном количестве растения лучше используют воду и питательные вещества, что способствует повышению их продуктивности. Как при изреженных, так и загущенных посевах урожай снижается._x000D_ У хорошо кустящихся сортов более высокая продуктивность растений формируется преимущественно при нормах высева 4,5-5, а у менее кустящихся — 5,5-6 млн./га семян. Общим для всех сортов озимой пшеницы является то, что на хорошо обеспеченных питательными веществами и водой почвах норму высева нужно устанавливать по нижнему пределу._x000D_ При большой норме высева растения полегают, особенно сортов с повышенной кустистостью. При иссушении верхних слоев почвы и необходимости применения глубокой заделки семян, приводящей к снижению их полевой всхожести и энергии кущения, норму высева следует несколько увеличивать._x000D_ Нормы высева во многом обусловливаются сроками сева. В первые дни сева при хорошем увлажнении норму высева следует несколько уменьшить, а в конце допустимых сроков — увеличить._x000D_ Следует иметь в виду, что при запаздывании с севом, когда растения к началу зимы не успевают раскуститься, увеличение нормы высева до 6,5 млн./га семян способствует некоторому повышению урожая. Однако своевременные посевы с оптимальной нормой высева в сравнении с загущенными поздними, как правило, обеспечивают большие урожаи._x000D_ В районах недостаточного увлажнения с характерным для них быстрым иссушением верхних слоев почвы часто возникает необходимость применения углубленной заделки семян. Это способствует получению своевременных всходов и повышению урожая._x000D_ На площадях, где недостаточны запасы воды для получения своевременных и дружных всходов, а также при поздних сроках сева глубоко заделывать семена нельзя, так как это приводит к ослаблению растений, изреженности посевов и к снижению урожая._x000D_ Чтобы с наименьшими потерями убрать урожай, необходимо учитывать свойства сорта, так как величина потерь зерна по сортам колеблется в широких пределах. Больше всего подвержены потерям зерна сорта, склонные к полеганию и осыпанию, неустойчивые против болезней и вредителей._x000D_ Особенно большие потери бывают при сильной засухе или затяжных дождях, ветрах и других неблагоприятных условиях. Запаздывание с уборкой ведет к большим потерям урожая._x000D_ В зависимости от погоды, состояния посевов и свойств сортов озимую пшеницу убирают раздельным способом или прямым комбайнированием. При достижении растениями восковой спелости — урожай убирают раздельным способом, а при полной — прямым комбайнированием._x000D_ Чрезмерно раннее скашивание — в начале восковой спелости зерна, а также продолжительный перестой на корню или в валках (более 5 дней), когда зерно полностью созревает, приводят к значительному ухудшению его качества._x000D_ При уборке озимой пшеницы раздельным способом в чрезмерно ранние сроки при влажности зерна 43-36%, что соответствует фазам тестообразного состояния и началу его восковой спелости, наряду со снижением урожайности ухудшается и качество зерна (см. табл.). Лучшим сроком уборки, при котором обеспечивается зерно хорошего качества, является период от середины восковой спелости зерна до полной._x000D_</t>
  </si>
  <si>
    <t xml:space="preserve">Реакция сортов пшеницы на предшественники в значительной степени обусловлена удобренностью фона. По неудобренному черному пару урожай озимой пшеницы, как правило, бывает таким же, как после хорошо удобренных непаровых предшественников. Следовательно, интенсивные сорта могут обеспечить получение высокого урожая и после непаровых предшественников, но при внесении оптимальных норм удобрений._x000D_ В районах недостаточного увлажнения лучшими предшественниками озимой пшеницы для получения зерна хорошего качества являются черный пар и многолетние бобовые травы двухлетнего использования (см. табл.). После вспашки часть семян во время сева заделывается очень глубоко — до 8-10 см. табл.). В годы с засушливой второй половиной лета применение поверхностной обработки целесообразно и после других предшественников, в первую очередь после колосовых культур._x000D_ Эффективность поверхностной обработки практически не зависит от типа почвообрабатывающих орудий. табл.). </t>
  </si>
  <si>
    <t xml:space="preserve">Реакція сортів пшениці на попередники в значній мірі обумовлена удобренностью фону. За неудобренному чорному пару урожай озимої пшениці, як правило, буває таким же, як після добре удобрених непарових попередників. Отже, інтенсивні сорти можуть забезпечити одержання високого врожаю і після непарових попередників, але при внесенні оптимальних норм добрив. У районах недостатнього зволоження кращими попередниками озимої пшениці для одержання зерна хорошої якості є чорний пар і багаторічні бобові трави дворічного використання (див. табл.). Після оранки частина насіння під час сівби закладається дуже глибоко — до 8-10 див. табл.). У роки з посушливою другою половиною літа застосування поверхневої обробки доцільно і після інших попередників, у першу чергу після колосових культур. Ефективність поверхневої обробки практично не залежить від типу ґрунтообробних знарядь. табл.). </t>
  </si>
  <si>
    <t>[caption id="" align="aligncenter" width="350"]&lt;img src="http://blog.agromir-notill.com/wp-content/uploads/2015/12/5-1024x578.jpg" alt="" width="350" height="300" /&gt; Коли треба сіяти озиму пшеницю.[/caption]    Реакція сортів пшениці на попередники в значній мірі обумовлена удобренностью фону. За неудобренному чорному пару урожай озимої пшениці, як правило, буває таким же, як після добре удобрених непарових попередників. Отже, інтенсивні сорти можуть забезпечити одержання високого врожаю і після непарових попередників, але при внесенні оптимальних норм добрив. Також ви можете знайти все необхідне на ресурсі &lt;a href="http://agroliga.com.ua/en/"&gt;http://agroliga.com.ua/en/&lt;/a&gt;.\n    У районах недостатнього зволоження кращими попередниками озимої пшениці для одержання зерна хорошої якості є чорний пар і багаторічні бобові трави дворічного використання (див. табл.). Після оранки частина насіння під час сівби закладається дуже глибоко — до 8-10 див. \n     табл.). У роки з посушливою другою половиною літа застосування поверхневої обробки доцільно і після інших попередників, у першу чергу після колосових культур. Ефективність поверхневої обробки практично не залежить від типу ґрунтообробних знарядь. табл.).</t>
  </si>
  <si>
    <t>http://cugp.com.ua/koli-treba-siyati-ozimu-pshenitsyu/</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</si>
</sst>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9" x14ac:knownFonts="1">
    <font>
      <sz val="11"/>
      <color theme="1"/>
      <name val="Calibri"/>
      <family val="2"/>
      <charset val="204"/>
      <scheme val="minor"/>
    </font>
    <font>
      <b/>
      <sz val="11"/>
      <color theme="0"/>
      <name val="Calibri"/>
      <family val="2"/>
      <charset val="204"/>
      <scheme val="minor"/>
    </font>
    <font>
      <b/>
      <sz val="11"/>
      <color theme="1"/>
      <name val="Calibri"/>
      <family val="2"/>
      <charset val="204"/>
      <scheme val="minor"/>
    </font>
    <font>
      <sz val="11"/>
      <color rgb="FF000000"/>
      <name val="Calibri"/>
      <family val="2"/>
      <charset val="204"/>
    </font>
    <font>
      <sz val="14"/>
      <color rgb="FF000000"/>
      <name val="Calibri"/>
      <family val="2"/>
      <charset val="204"/>
    </font>
    <font>
      <i/>
      <sz val="14"/>
      <color theme="1"/>
      <name val="Calibri"/>
      <family val="2"/>
      <charset val="204"/>
      <scheme val="minor"/>
    </font>
    <font>
      <sz val="14"/>
      <color theme="1"/>
      <name val="Calibri"/>
      <family val="2"/>
      <charset val="204"/>
      <scheme val="minor"/>
    </font>
    <font>
      <b/>
      <i/>
      <sz val="12"/>
      <color theme="1"/>
      <name val="Calibri"/>
      <family val="2"/>
      <charset val="204"/>
      <scheme val="minor"/>
    </font>
    <font>
      <u/>
      <sz val="11"/>
      <color theme="10"/>
      <name val="Calibri"/>
      <family val="2"/>
      <charset val="204"/>
      <scheme val="minor"/>
    </font>
  </fonts>
  <fills count="22">
    <fill>
      <patternFill patternType="none"/>
    </fill>
    <fill>
      <patternFill patternType="gray125"/>
    </fill>
    <fill>
      <patternFill patternType="solid">
        <fgColor rgb="FF0070C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249977111117893"/>
        <bgColor indexed="64"/>
      </patternFill>
    </fill>
    <fill>
      <patternFill patternType="solid">
        <fgColor theme="5" tint="-0.249977111117893"/>
        <bgColor indexed="64"/>
      </patternFill>
    </fill>
    <fill>
      <patternFill patternType="solid">
        <fgColor rgb="FFFFFF00"/>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rgb="FF92D050"/>
        <bgColor indexed="64"/>
      </patternFill>
    </fill>
    <fill>
      <patternFill patternType="solid">
        <fgColor theme="6" tint="0.59999389629810485"/>
        <bgColor indexed="64"/>
      </patternFill>
    </fill>
    <fill>
      <patternFill patternType="solid">
        <fgColor theme="3" tint="0.59999389629810485"/>
        <bgColor indexed="64"/>
      </patternFill>
    </fill>
    <fill>
      <patternFill patternType="solid">
        <fgColor theme="4"/>
        <bgColor indexed="64"/>
      </patternFill>
    </fill>
    <fill>
      <patternFill patternType="solid">
        <fgColor theme="1" tint="0.249977111117893"/>
        <bgColor indexed="64"/>
      </patternFill>
    </fill>
    <fill>
      <patternFill patternType="solid">
        <fgColor theme="4" tint="0.59999389629810485"/>
        <bgColor indexed="64"/>
      </patternFill>
    </fill>
    <fill>
      <patternFill patternType="solid">
        <fgColor theme="7" tint="0.39997558519241921"/>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3" tint="0.39997558519241921"/>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theme="0"/>
      </left>
      <right style="thin">
        <color theme="0"/>
      </right>
      <top style="thin">
        <color theme="0"/>
      </top>
      <bottom style="thin">
        <color theme="0"/>
      </bottom>
      <diagonal/>
    </border>
    <border>
      <left style="medium">
        <color indexed="64"/>
      </left>
      <right style="medium">
        <color indexed="64"/>
      </right>
      <top style="medium">
        <color indexed="64"/>
      </top>
      <bottom style="medium">
        <color indexed="64"/>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
      <left style="medium">
        <color indexed="64"/>
      </left>
      <right style="medium">
        <color indexed="64"/>
      </right>
      <top style="medium">
        <color indexed="64"/>
      </top>
      <bottom style="thin">
        <color indexed="64"/>
      </bottom>
      <diagonal/>
    </border>
    <border>
      <left style="thin">
        <color theme="0"/>
      </left>
      <right/>
      <top/>
      <bottom/>
      <diagonal/>
    </border>
    <border>
      <left style="thin">
        <color theme="0"/>
      </left>
      <right style="thin">
        <color theme="0"/>
      </right>
      <top/>
      <bottom/>
      <diagonal/>
    </border>
    <border>
      <left style="thin">
        <color indexed="64"/>
      </left>
      <right/>
      <top style="thin">
        <color indexed="64"/>
      </top>
      <bottom style="thin">
        <color indexed="64"/>
      </bottom>
      <diagonal/>
    </border>
  </borders>
  <cellStyleXfs count="2">
    <xf numFmtId="0" fontId="0" fillId="0" borderId="0"/>
    <xf numFmtId="0" fontId="8" fillId="0" borderId="0" applyNumberFormat="0" applyFill="0" applyBorder="0" applyAlignment="0" applyProtection="0"/>
  </cellStyleXfs>
  <cellXfs count="53">
    <xf numFmtId="0" fontId="0" fillId="0" borderId="0" xfId="0"/>
    <xf numFmtId="0" fontId="1" fillId="5" borderId="3" xfId="0" applyFont="1" applyFill="1" applyBorder="1"/>
    <xf numFmtId="22" fontId="1" fillId="5" borderId="3" xfId="0" applyNumberFormat="1" applyFont="1" applyFill="1" applyBorder="1"/>
    <xf numFmtId="22" fontId="1" fillId="6" borderId="3" xfId="0" applyNumberFormat="1" applyFont="1" applyFill="1" applyBorder="1"/>
    <xf numFmtId="0" fontId="0" fillId="7" borderId="1" xfId="0" applyFill="1" applyBorder="1" applyAlignment="1">
      <alignment horizontal="center" vertical="center"/>
    </xf>
    <xf numFmtId="0" fontId="0" fillId="8" borderId="1" xfId="0" applyFill="1" applyBorder="1" applyAlignment="1">
      <alignment horizontal="center" vertical="center"/>
    </xf>
    <xf numFmtId="0" fontId="0" fillId="9" borderId="1" xfId="0" applyFill="1" applyBorder="1" applyAlignment="1">
      <alignment horizontal="center" vertical="center"/>
    </xf>
    <xf numFmtId="0" fontId="6" fillId="3" borderId="1" xfId="0" applyFont="1" applyFill="1" applyBorder="1" applyAlignment="1">
      <alignment vertical="center"/>
    </xf>
    <xf numFmtId="0" fontId="2" fillId="10" borderId="4" xfId="0" applyFont="1" applyFill="1" applyBorder="1" applyAlignment="1">
      <alignment horizontal="center" vertical="center" wrapText="1"/>
    </xf>
    <xf numFmtId="0" fontId="0" fillId="0" borderId="0" xfId="0" applyBorder="1"/>
    <xf numFmtId="0" fontId="0" fillId="0" borderId="2" xfId="0" applyBorder="1" applyAlignment="1">
      <alignment horizontal="center"/>
    </xf>
    <xf numFmtId="0" fontId="0" fillId="13" borderId="5" xfId="0" applyFill="1" applyBorder="1"/>
    <xf numFmtId="0" fontId="0" fillId="0" borderId="6" xfId="0" applyBorder="1" applyAlignment="1">
      <alignment horizontal="center"/>
    </xf>
    <xf numFmtId="0" fontId="0" fillId="10" borderId="7" xfId="0" applyFill="1" applyBorder="1"/>
    <xf numFmtId="0" fontId="0" fillId="0" borderId="8" xfId="0" applyBorder="1"/>
    <xf numFmtId="0" fontId="0" fillId="0" borderId="0" xfId="0" applyFill="1" applyBorder="1"/>
    <xf numFmtId="0" fontId="2" fillId="7" borderId="9" xfId="0" applyFont="1" applyFill="1" applyBorder="1" applyAlignment="1">
      <alignment horizontal="center" vertical="center"/>
    </xf>
    <xf numFmtId="0" fontId="1" fillId="14" borderId="0" xfId="0" applyFont="1" applyFill="1"/>
    <xf numFmtId="0" fontId="2" fillId="0" borderId="1" xfId="0" applyFont="1" applyBorder="1"/>
    <xf numFmtId="0" fontId="0" fillId="12" borderId="4" xfId="0" applyFill="1" applyBorder="1"/>
    <xf numFmtId="0" fontId="2" fillId="8" borderId="0" xfId="0" applyFont="1" applyFill="1"/>
    <xf numFmtId="22" fontId="1" fillId="15" borderId="10" xfId="0" applyNumberFormat="1" applyFont="1" applyFill="1" applyBorder="1"/>
    <xf numFmtId="22" fontId="1" fillId="6" borderId="11" xfId="0" applyNumberFormat="1" applyFont="1" applyFill="1" applyBorder="1"/>
    <xf numFmtId="0" fontId="0" fillId="3" borderId="1" xfId="0" applyFill="1" applyBorder="1" applyAlignment="1">
      <alignment horizontal="center"/>
    </xf>
    <xf numFmtId="0" fontId="1" fillId="2" borderId="1" xfId="0" applyFont="1" applyFill="1" applyBorder="1" applyAlignment="1"/>
    <xf numFmtId="0" fontId="2" fillId="0" borderId="1" xfId="0" applyFont="1" applyFill="1" applyBorder="1" applyAlignment="1">
      <alignment horizontal="center" vertical="center"/>
    </xf>
    <xf numFmtId="0" fontId="0" fillId="16" borderId="12" xfId="0" applyFill="1" applyBorder="1" applyAlignment="1">
      <alignment horizontal="center" vertical="center"/>
    </xf>
    <xf numFmtId="0" fontId="2" fillId="17" borderId="4" xfId="0" applyFont="1" applyFill="1" applyBorder="1" applyAlignment="1">
      <alignment horizontal="center" vertical="center"/>
    </xf>
    <xf numFmtId="0" fontId="0" fillId="11" borderId="0" xfId="0" applyFill="1" applyAlignment="1">
      <alignment vertical="center"/>
    </xf>
    <xf numFmtId="0" fontId="2" fillId="3" borderId="4" xfId="0" applyFont="1" applyFill="1" applyBorder="1" applyAlignment="1">
      <alignment vertical="center"/>
    </xf>
    <xf numFmtId="0" fontId="0" fillId="10" borderId="0" xfId="0" applyFill="1" applyAlignment="1">
      <alignment vertical="center"/>
    </xf>
    <xf numFmtId="0" fontId="2" fillId="18" borderId="4" xfId="0" applyFont="1" applyFill="1" applyBorder="1" applyAlignment="1">
      <alignment vertical="center"/>
    </xf>
    <xf numFmtId="0" fontId="0" fillId="19" borderId="0" xfId="0" applyFill="1" applyAlignment="1">
      <alignment vertical="center"/>
    </xf>
    <xf numFmtId="0" fontId="0" fillId="0" borderId="0" xfId="0" applyAlignment="1">
      <alignment vertical="center"/>
    </xf>
    <xf numFmtId="0" fontId="0" fillId="20" borderId="0" xfId="0" applyFill="1" applyBorder="1" applyAlignment="1">
      <alignment vertical="center"/>
    </xf>
    <xf numFmtId="0" fontId="0" fillId="21" borderId="0" xfId="0" applyFill="1" applyAlignment="1">
      <alignment vertical="center"/>
    </xf>
    <xf numFmtId="0" fontId="0" fillId="6" borderId="0" xfId="0" applyFill="1" applyAlignment="1">
      <alignment vertical="center"/>
    </xf>
    <xf numFmtId="0" fontId="2" fillId="16" borderId="4" xfId="0" applyFont="1" applyFill="1" applyBorder="1" applyAlignment="1">
      <alignment horizontal="center" vertical="center"/>
    </xf>
    <xf numFmtId="0" fontId="0" fillId="8" borderId="4" xfId="0" applyFill="1" applyBorder="1" applyAlignment="1">
      <alignment horizontal="center" vertical="center" wrapText="1"/>
    </xf>
    <xf numFmtId="0" fontId="2" fillId="12" borderId="4" xfId="0" applyFont="1" applyFill="1" applyBorder="1" applyAlignment="1">
      <alignment vertical="center"/>
    </xf>
    <xf numFmtId="0" fontId="6" fillId="4" borderId="1" xfId="0" applyFont="1" applyFill="1" applyBorder="1" applyAlignment="1">
      <alignment horizontal="center" vertical="center"/>
    </xf>
    <xf numFmtId="0" fontId="0" fillId="0" borderId="0" xfId="0" applyAlignment="1">
      <alignment horizontal="left"/>
    </xf>
    <xf numFmtId="0" fontId="0" fillId="3" borderId="1" xfId="0" applyFill="1" applyBorder="1" applyAlignment="1">
      <alignment horizontal="center"/>
    </xf>
    <xf numFmtId="0" fontId="0" fillId="0" borderId="0" xfId="0" applyAlignment="1"/>
    <xf numFmtId="0" fontId="2" fillId="0" borderId="0" xfId="0" applyFont="1"/>
    <xf numFmtId="0" fontId="7" fillId="12" borderId="4" xfId="0" applyFont="1" applyFill="1" applyBorder="1" applyAlignment="1">
      <alignment horizontal="center" vertical="center"/>
    </xf>
    <xf numFmtId="0" fontId="1" fillId="2" borderId="1" xfId="0" applyFont="1" applyFill="1" applyBorder="1" applyAlignment="1">
      <alignment horizontal="center"/>
    </xf>
    <xf numFmtId="0" fontId="0" fillId="3" borderId="1" xfId="0" applyFill="1" applyBorder="1" applyAlignment="1">
      <alignment horizontal="left"/>
    </xf>
    <xf numFmtId="0" fontId="0" fillId="3" borderId="1" xfId="0" applyFill="1" applyBorder="1" applyAlignment="1">
      <alignment horizontal="left" wrapText="1"/>
    </xf>
    <xf numFmtId="0" fontId="5" fillId="7" borderId="1" xfId="0" applyFont="1" applyFill="1" applyBorder="1" applyAlignment="1">
      <alignment horizontal="center" vertical="center"/>
    </xf>
    <xf numFmtId="0" fontId="0" fillId="0" borderId="1" xfId="0" applyBorder="1" applyAlignment="1">
      <alignment horizontal="center" vertical="center"/>
    </xf>
    <xf numFmtId="0" fontId="8" fillId="0" borderId="0" xfId="1"/>
    <xf numFmtId="0" fontId="0" fillId="11" borderId="0" xfId="0" applyFill="1"/>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4">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0">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3">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8">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Map ID="1" Name="methodResponse_карта" RootElement="methodResponse" SchemaID="Schema1" ShowImportExportValidationErrors="false" AutoFit="true" Append="false" PreserveSortAFLayout="true" PreserveFormat="true">
    <DataBinding FileBinding="true" ConnectionID="1" DataBindingLoadMode="1"/>
  </Map>
  <Map ID="2" Name="methodResponse_карта1" RootElement="methodResponse" SchemaID="Schema2" ShowImportExportValidationErrors="false" AutoFit="true" Append="false" PreserveSortAFLayout="true" PreserveFormat="true">
    <DataBinding FileBinding="true" ConnectionID="2" DataBindingLoadMode="1"/>
  </Map>
  <Map ID="11" Name="methodResponse_карта10" RootElement="methodResponse" SchemaID="Schema11" ShowImportExportValidationErrors="false" AutoFit="true" Append="false" PreserveSortAFLayout="true" PreserveFormat="true">
    <DataBinding FileBinding="true" ConnectionID="6" DataBindingLoadMode="1"/>
  </Map>
  <Map ID="148" Name="methodResponse_карта100" RootElement="methodResponse" SchemaID="Schema101" ShowImportExportValidationErrors="false" AutoFit="true" Append="false" PreserveSortAFLayout="true" PreserveFormat="true"/>
  <Map ID="246" Name="methodResponse_карта101" RootElement="methodResponse" SchemaID="Schema102" ShowImportExportValidationErrors="false" AutoFit="true" Append="false" PreserveSortAFLayout="true" PreserveFormat="true"/>
  <Map ID="247" Name="methodResponse_карта102" RootElement="methodResponse" SchemaID="Schema103" ShowImportExportValidationErrors="false" AutoFit="true" Append="false" PreserveSortAFLayout="true" PreserveFormat="true"/>
  <Map ID="248" Name="methodResponse_карта103" RootElement="methodResponse" SchemaID="Schema104" ShowImportExportValidationErrors="false" AutoFit="true" Append="false" PreserveSortAFLayout="true" PreserveFormat="true"/>
  <Map ID="12" Name="methodResponse_карта11" RootElement="methodResponse" SchemaID="Schema12" ShowImportExportValidationErrors="false" AutoFit="true" Append="false" PreserveSortAFLayout="true" PreserveFormat="true">
    <DataBinding FileBinding="true" ConnectionID="7" DataBindingLoadMode="1"/>
  </Map>
  <Map ID="13" Name="methodResponse_карта12" RootElement="methodResponse" SchemaID="Schema13" ShowImportExportValidationErrors="false" AutoFit="true" Append="false" PreserveSortAFLayout="true" PreserveFormat="true">
    <DataBinding FileBinding="true" ConnectionID="8" DataBindingLoadMode="1"/>
  </Map>
  <Map ID="14" Name="methodResponse_карта13" RootElement="methodResponse" SchemaID="Schema14" ShowImportExportValidationErrors="false" AutoFit="true" Append="false" PreserveSortAFLayout="true" PreserveFormat="true"/>
  <Map ID="15" Name="methodResponse_карта14" RootElement="methodResponse" SchemaID="Schema15" ShowImportExportValidationErrors="false" AutoFit="true" Append="false" PreserveSortAFLayout="true" PreserveFormat="true"/>
  <Map ID="16" Name="methodResponse_карта15" RootElement="methodResponse" SchemaID="Schema16" ShowImportExportValidationErrors="false" AutoFit="true" Append="false" PreserveSortAFLayout="true" PreserveFormat="true"/>
  <Map ID="25" Name="methodResponse_карта16" RootElement="methodResponse" SchemaID="Schema17" ShowImportExportValidationErrors="false" AutoFit="true" Append="false" PreserveSortAFLayout="true" PreserveFormat="true"/>
  <Map ID="26" Name="methodResponse_карта17" RootElement="methodResponse" SchemaID="Schema18" ShowImportExportValidationErrors="false" AutoFit="true" Append="false" PreserveSortAFLayout="true" PreserveFormat="true"/>
  <Map ID="27" Name="methodResponse_карта18" RootElement="methodResponse" SchemaID="Schema19" ShowImportExportValidationErrors="false" AutoFit="true" Append="false" PreserveSortAFLayout="true" PreserveFormat="true"/>
  <Map ID="36" Name="methodResponse_карта19" RootElement="methodResponse" SchemaID="Schema20" ShowImportExportValidationErrors="false" AutoFit="true" Append="false" PreserveSortAFLayout="true" PreserveFormat="true"/>
  <Map ID="3" Name="methodResponse_карта2" RootElement="methodResponse" SchemaID="Schema3" ShowImportExportValidationErrors="false" AutoFit="true" Append="false" PreserveSortAFLayout="true" PreserveFormat="true">
    <DataBinding FileBinding="true" ConnectionID="3" DataBindingLoadMode="1"/>
  </Map>
  <Map ID="37" Name="methodResponse_карта20" RootElement="methodResponse" SchemaID="Schema21" ShowImportExportValidationErrors="false" AutoFit="true" Append="false" PreserveSortAFLayout="true" PreserveFormat="true"/>
  <Map ID="38" Name="methodResponse_карта21" RootElement="methodResponse" SchemaID="Schema22" ShowImportExportValidationErrors="false" AutoFit="true" Append="false" PreserveSortAFLayout="true" PreserveFormat="true"/>
  <Map ID="39" Name="methodResponse_карта22" RootElement="methodResponse" SchemaID="Schema23" ShowImportExportValidationErrors="false" AutoFit="true" Append="false" PreserveSortAFLayout="true" PreserveFormat="true"/>
  <Map ID="40" Name="methodResponse_карта23" RootElement="methodResponse" SchemaID="Schema24" ShowImportExportValidationErrors="false" AutoFit="true" Append="false" PreserveSortAFLayout="true" PreserveFormat="true"/>
  <Map ID="41" Name="methodResponse_карта24" RootElement="methodResponse" SchemaID="Schema25" ShowImportExportValidationErrors="false" AutoFit="true" Append="false" PreserveSortAFLayout="true" PreserveFormat="true"/>
  <Map ID="50" Name="methodResponse_карта25" RootElement="methodResponse" SchemaID="Schema26" ShowImportExportValidationErrors="false" AutoFit="true" Append="false" PreserveSortAFLayout="true" PreserveFormat="true"/>
  <Map ID="51" Name="methodResponse_карта26" RootElement="methodResponse" SchemaID="Schema27" ShowImportExportValidationErrors="false" AutoFit="true" Append="false" PreserveSortAFLayout="true" PreserveFormat="true"/>
  <Map ID="52" Name="methodResponse_карта27" RootElement="methodResponse" SchemaID="Schema28" ShowImportExportValidationErrors="false" AutoFit="true" Append="false" PreserveSortAFLayout="true" PreserveFormat="true"/>
  <Map ID="53" Name="methodResponse_карта28" RootElement="methodResponse" SchemaID="Schema29" ShowImportExportValidationErrors="false" AutoFit="true" Append="false" PreserveSortAFLayout="true" PreserveFormat="true"/>
  <Map ID="54" Name="methodResponse_карта29" RootElement="methodResponse" SchemaID="Schema30" ShowImportExportValidationErrors="false" AutoFit="true" Append="false" PreserveSortAFLayout="true" PreserveFormat="true"/>
  <Map ID="4" Name="methodResponse_карта3" RootElement="methodResponse" SchemaID="Schema4" ShowImportExportValidationErrors="false" AutoFit="true" Append="false" PreserveSortAFLayout="true" PreserveFormat="true">
    <DataBinding FileBinding="true" ConnectionID="4" DataBindingLoadMode="1"/>
  </Map>
  <Map ID="62" Name="methodResponse_карта30" RootElement="methodResponse" SchemaID="Schema31" ShowImportExportValidationErrors="false" AutoFit="true" Append="false" PreserveSortAFLayout="true" PreserveFormat="true"/>
  <Map ID="63" Name="methodResponse_карта31" RootElement="methodResponse" SchemaID="Schema32" ShowImportExportValidationErrors="false" AutoFit="true" Append="false" PreserveSortAFLayout="true" PreserveFormat="true"/>
  <Map ID="64" Name="methodResponse_карта32" RootElement="methodResponse" SchemaID="Schema33" ShowImportExportValidationErrors="false" AutoFit="true" Append="false" PreserveSortAFLayout="true" PreserveFormat="true"/>
  <Map ID="65" Name="methodResponse_карта33" RootElement="methodResponse" SchemaID="Schema34" ShowImportExportValidationErrors="false" AutoFit="true" Append="false" PreserveSortAFLayout="true" PreserveFormat="true"/>
  <Map ID="66" Name="methodResponse_карта34" RootElement="methodResponse" SchemaID="Schema35" ShowImportExportValidationErrors="false" AutoFit="true" Append="false" PreserveSortAFLayout="true" PreserveFormat="true"/>
  <Map ID="73" Name="methodResponse_карта35" RootElement="methodResponse" SchemaID="Schema36" ShowImportExportValidationErrors="false" AutoFit="true" Append="false" PreserveSortAFLayout="true" PreserveFormat="true"/>
  <Map ID="74" Name="methodResponse_карта36" RootElement="methodResponse" SchemaID="Schema37" ShowImportExportValidationErrors="false" AutoFit="true" Append="false" PreserveSortAFLayout="true" PreserveFormat="true"/>
  <Map ID="75" Name="methodResponse_карта37" RootElement="methodResponse" SchemaID="Schema38" ShowImportExportValidationErrors="false" AutoFit="true" Append="false" PreserveSortAFLayout="true" PreserveFormat="true"/>
  <Map ID="76" Name="methodResponse_карта38" RootElement="methodResponse" SchemaID="Schema39" ShowImportExportValidationErrors="false" AutoFit="true" Append="false" PreserveSortAFLayout="true" PreserveFormat="true"/>
  <Map ID="77" Name="methodResponse_карта39" RootElement="methodResponse" SchemaID="Schema40" ShowImportExportValidationErrors="false" AutoFit="true" Append="false" PreserveSortAFLayout="true" PreserveFormat="true"/>
  <Map ID="5" Name="methodResponse_карта4" RootElement="methodResponse" SchemaID="Schema5" ShowImportExportValidationErrors="false" AutoFit="true" Append="false" PreserveSortAFLayout="true" PreserveFormat="true"/>
  <Map ID="78" Name="methodResponse_карта40" RootElement="methodResponse" SchemaID="Schema41" ShowImportExportValidationErrors="false" AutoFit="true" Append="false" PreserveSortAFLayout="true" PreserveFormat="true"/>
  <Map ID="79" Name="methodResponse_карта41" RootElement="methodResponse" SchemaID="Schema42" ShowImportExportValidationErrors="false" AutoFit="true" Append="false" PreserveSortAFLayout="true" PreserveFormat="true"/>
  <Map ID="80" Name="methodResponse_карта42" RootElement="methodResponse" SchemaID="Schema43" ShowImportExportValidationErrors="false" AutoFit="true" Append="false" PreserveSortAFLayout="true" PreserveFormat="true"/>
  <Map ID="81" Name="methodResponse_карта43" RootElement="methodResponse" SchemaID="Schema44" ShowImportExportValidationErrors="false" AutoFit="true" Append="false" PreserveSortAFLayout="true" PreserveFormat="true"/>
  <Map ID="82" Name="methodResponse_карта44" RootElement="methodResponse" SchemaID="Schema45" ShowImportExportValidationErrors="false" AutoFit="true" Append="false" PreserveSortAFLayout="true" PreserveFormat="true"/>
  <Map ID="83" Name="methodResponse_карта45" RootElement="methodResponse" SchemaID="Schema46" ShowImportExportValidationErrors="false" AutoFit="true" Append="false" PreserveSortAFLayout="true" PreserveFormat="true"/>
  <Map ID="84" Name="methodResponse_карта46" RootElement="methodResponse" SchemaID="Schema47" ShowImportExportValidationErrors="false" AutoFit="true" Append="false" PreserveSortAFLayout="true" PreserveFormat="true"/>
  <Map ID="85" Name="methodResponse_карта47" RootElement="methodResponse" SchemaID="Schema48" ShowImportExportValidationErrors="false" AutoFit="true" Append="false" PreserveSortAFLayout="true" PreserveFormat="true"/>
  <Map ID="86" Name="methodResponse_карта48" RootElement="methodResponse" SchemaID="Schema49" ShowImportExportValidationErrors="false" AutoFit="true" Append="false" PreserveSortAFLayout="true" PreserveFormat="true"/>
  <Map ID="87" Name="methodResponse_карта49" RootElement="methodResponse" SchemaID="Schema50" ShowImportExportValidationErrors="false" AutoFit="true" Append="false" PreserveSortAFLayout="true" PreserveFormat="true"/>
  <Map ID="6" Name="methodResponse_карта5" RootElement="methodResponse" SchemaID="Schema6" ShowImportExportValidationErrors="false" AutoFit="true" Append="false" PreserveSortAFLayout="true" PreserveFormat="true"/>
  <Map ID="88" Name="methodResponse_карта50" RootElement="methodResponse" SchemaID="Schema51" ShowImportExportValidationErrors="false" AutoFit="true" Append="false" PreserveSortAFLayout="true" PreserveFormat="true"/>
  <Map ID="89" Name="methodResponse_карта51" RootElement="methodResponse" SchemaID="Schema52" ShowImportExportValidationErrors="false" AutoFit="true" Append="false" PreserveSortAFLayout="true" PreserveFormat="true"/>
  <Map ID="90" Name="methodResponse_карта52" RootElement="methodResponse" SchemaID="Schema53" ShowImportExportValidationErrors="false" AutoFit="true" Append="false" PreserveSortAFLayout="true" PreserveFormat="true"/>
  <Map ID="91" Name="methodResponse_карта53" RootElement="methodResponse" SchemaID="Schema54" ShowImportExportValidationErrors="false" AutoFit="true" Append="false" PreserveSortAFLayout="true" PreserveFormat="true"/>
  <Map ID="92" Name="methodResponse_карта54" RootElement="methodResponse" SchemaID="Schema55" ShowImportExportValidationErrors="false" AutoFit="true" Append="false" PreserveSortAFLayout="true" PreserveFormat="true"/>
  <Map ID="93" Name="methodResponse_карта55" RootElement="methodResponse" SchemaID="Schema56" ShowImportExportValidationErrors="false" AutoFit="true" Append="false" PreserveSortAFLayout="true" PreserveFormat="true"/>
  <Map ID="94" Name="methodResponse_карта56" RootElement="methodResponse" SchemaID="Schema57" ShowImportExportValidationErrors="false" AutoFit="true" Append="false" PreserveSortAFLayout="true" PreserveFormat="true"/>
  <Map ID="95" Name="methodResponse_карта57" RootElement="methodResponse" SchemaID="Schema58" ShowImportExportValidationErrors="false" AutoFit="true" Append="false" PreserveSortAFLayout="true" PreserveFormat="true"/>
  <Map ID="96" Name="methodResponse_карта58" RootElement="methodResponse" SchemaID="Schema59" ShowImportExportValidationErrors="false" AutoFit="true" Append="false" PreserveSortAFLayout="true" PreserveFormat="true"/>
  <Map ID="97" Name="methodResponse_карта59" RootElement="methodResponse" SchemaID="Schema60" ShowImportExportValidationErrors="false" AutoFit="true" Append="false" PreserveSortAFLayout="true" PreserveFormat="true"/>
  <Map ID="7" Name="methodResponse_карта6" RootElement="methodResponse" SchemaID="Schema7" ShowImportExportValidationErrors="false" AutoFit="true" Append="false" PreserveSortAFLayout="true" PreserveFormat="true"/>
  <Map ID="98" Name="methodResponse_карта60" RootElement="methodResponse" SchemaID="Schema61" ShowImportExportValidationErrors="false" AutoFit="true" Append="false" PreserveSortAFLayout="true" PreserveFormat="true"/>
  <Map ID="99" Name="methodResponse_карта61" RootElement="methodResponse" SchemaID="Schema62" ShowImportExportValidationErrors="false" AutoFit="true" Append="false" PreserveSortAFLayout="true" PreserveFormat="true"/>
  <Map ID="100" Name="methodResponse_карта62" RootElement="methodResponse" SchemaID="Schema63" ShowImportExportValidationErrors="false" AutoFit="true" Append="false" PreserveSortAFLayout="true" PreserveFormat="true"/>
  <Map ID="101" Name="methodResponse_карта63" RootElement="methodResponse" SchemaID="Schema64" ShowImportExportValidationErrors="false" AutoFit="true" Append="false" PreserveSortAFLayout="true" PreserveFormat="true"/>
  <Map ID="102" Name="methodResponse_карта64" RootElement="methodResponse" SchemaID="Schema65" ShowImportExportValidationErrors="false" AutoFit="true" Append="false" PreserveSortAFLayout="true" PreserveFormat="true"/>
  <Map ID="103" Name="methodResponse_карта65" RootElement="methodResponse" SchemaID="Schema66" ShowImportExportValidationErrors="false" AutoFit="true" Append="false" PreserveSortAFLayout="true" PreserveFormat="true"/>
  <Map ID="104" Name="methodResponse_карта66" RootElement="methodResponse" SchemaID="Schema67" ShowImportExportValidationErrors="false" AutoFit="true" Append="false" PreserveSortAFLayout="true" PreserveFormat="true"/>
  <Map ID="105" Name="methodResponse_карта67" RootElement="methodResponse" SchemaID="Schema68" ShowImportExportValidationErrors="false" AutoFit="true" Append="false" PreserveSortAFLayout="true" PreserveFormat="true"/>
  <Map ID="106" Name="methodResponse_карта68" RootElement="methodResponse" SchemaID="Schema69" ShowImportExportValidationErrors="false" AutoFit="true" Append="false" PreserveSortAFLayout="true" PreserveFormat="true"/>
  <Map ID="107" Name="methodResponse_карта69" RootElement="methodResponse" SchemaID="Schema70" ShowImportExportValidationErrors="false" AutoFit="true" Append="false" PreserveSortAFLayout="true" PreserveFormat="true"/>
  <Map ID="8" Name="methodResponse_карта7" RootElement="methodResponse" SchemaID="Schema8" ShowImportExportValidationErrors="false" AutoFit="true" Append="false" PreserveSortAFLayout="true" PreserveFormat="true"/>
  <Map ID="108" Name="methodResponse_карта70" RootElement="methodResponse" SchemaID="Schema71" ShowImportExportValidationErrors="false" AutoFit="true" Append="false" PreserveSortAFLayout="true" PreserveFormat="true"/>
  <Map ID="109" Name="methodResponse_карта71" RootElement="methodResponse" SchemaID="Schema72" ShowImportExportValidationErrors="false" AutoFit="true" Append="false" PreserveSortAFLayout="true" PreserveFormat="true"/>
  <Map ID="110" Name="methodResponse_карта72" RootElement="methodResponse" SchemaID="Schema73" ShowImportExportValidationErrors="false" AutoFit="true" Append="false" PreserveSortAFLayout="true" PreserveFormat="true"/>
  <Map ID="111" Name="methodResponse_карта73" RootElement="methodResponse" SchemaID="Schema74" ShowImportExportValidationErrors="false" AutoFit="true" Append="false" PreserveSortAFLayout="true" PreserveFormat="true"/>
  <Map ID="112" Name="methodResponse_карта74" RootElement="methodResponse" SchemaID="Schema75" ShowImportExportValidationErrors="false" AutoFit="true" Append="false" PreserveSortAFLayout="true" PreserveFormat="true"/>
  <Map ID="119" Name="methodResponse_карта75" RootElement="methodResponse" SchemaID="Schema76" ShowImportExportValidationErrors="false" AutoFit="true" Append="false" PreserveSortAFLayout="true" PreserveFormat="true"/>
  <Map ID="120" Name="methodResponse_карта76" RootElement="methodResponse" SchemaID="Schema77" ShowImportExportValidationErrors="false" AutoFit="true" Append="false" PreserveSortAFLayout="true" PreserveFormat="true"/>
  <Map ID="121" Name="methodResponse_карта77" RootElement="methodResponse" SchemaID="Schema78" ShowImportExportValidationErrors="false" AutoFit="true" Append="false" PreserveSortAFLayout="true" PreserveFormat="true"/>
  <Map ID="122" Name="methodResponse_карта78" RootElement="methodResponse" SchemaID="Schema79" ShowImportExportValidationErrors="false" AutoFit="true" Append="false" PreserveSortAFLayout="true" PreserveFormat="true"/>
  <Map ID="123" Name="methodResponse_карта79" RootElement="methodResponse" SchemaID="Schema80" ShowImportExportValidationErrors="false" AutoFit="true" Append="false" PreserveSortAFLayout="true" PreserveFormat="true"/>
  <Map ID="9" Name="methodResponse_карта8" RootElement="methodResponse" SchemaID="Schema9" ShowImportExportValidationErrors="false" AutoFit="true" Append="false" PreserveSortAFLayout="true" PreserveFormat="true"/>
  <Map ID="124" Name="methodResponse_карта80" RootElement="methodResponse" SchemaID="Schema81" ShowImportExportValidationErrors="false" AutoFit="true" Append="false" PreserveSortAFLayout="true" PreserveFormat="true"/>
  <Map ID="127" Name="methodResponse_карта81" RootElement="methodResponse" SchemaID="Schema82" ShowImportExportValidationErrors="false" AutoFit="true" Append="false" PreserveSortAFLayout="true" PreserveFormat="true"/>
  <Map ID="128" Name="methodResponse_карта82" RootElement="methodResponse" SchemaID="Schema83" ShowImportExportValidationErrors="false" AutoFit="true" Append="false" PreserveSortAFLayout="true" PreserveFormat="true"/>
  <Map ID="129" Name="methodResponse_карта83" RootElement="methodResponse" SchemaID="Schema84" ShowImportExportValidationErrors="false" AutoFit="true" Append="false" PreserveSortAFLayout="true" PreserveFormat="true"/>
  <Map ID="130" Name="methodResponse_карта84" RootElement="methodResponse" SchemaID="Schema85" ShowImportExportValidationErrors="false" AutoFit="true" Append="false" PreserveSortAFLayout="true" PreserveFormat="true"/>
  <Map ID="131" Name="methodResponse_карта85" RootElement="methodResponse" SchemaID="Schema86" ShowImportExportValidationErrors="false" AutoFit="true" Append="false" PreserveSortAFLayout="true" PreserveFormat="true"/>
  <Map ID="133" Name="methodResponse_карта86" RootElement="methodResponse" SchemaID="Schema87" ShowImportExportValidationErrors="false" AutoFit="true" Append="false" PreserveSortAFLayout="true" PreserveFormat="true"/>
  <Map ID="134" Name="methodResponse_карта87" RootElement="methodResponse" SchemaID="Schema88" ShowImportExportValidationErrors="false" AutoFit="true" Append="false" PreserveSortAFLayout="true" PreserveFormat="true"/>
  <Map ID="135" Name="methodResponse_карта88" RootElement="methodResponse" SchemaID="Schema89" ShowImportExportValidationErrors="false" AutoFit="true" Append="false" PreserveSortAFLayout="true" PreserveFormat="true"/>
  <Map ID="136" Name="methodResponse_карта89" RootElement="methodResponse" SchemaID="Schema90" ShowImportExportValidationErrors="false" AutoFit="true" Append="false" PreserveSortAFLayout="true" PreserveFormat="true"/>
  <Map ID="10" Name="methodResponse_карта9" RootElement="methodResponse" SchemaID="Schema10" ShowImportExportValidationErrors="false" AutoFit="true" Append="false" PreserveSortAFLayout="true" PreserveFormat="true">
    <DataBinding FileBinding="true" ConnectionID="5" DataBindingLoadMode="1"/>
  </Map>
  <Map ID="137" Name="methodResponse_карта90" RootElement="methodResponse" SchemaID="Schema91" ShowImportExportValidationErrors="false" AutoFit="true" Append="false" PreserveSortAFLayout="true" PreserveFormat="true"/>
  <Map ID="138" Name="methodResponse_карта91" RootElement="methodResponse" SchemaID="Schema92" ShowImportExportValidationErrors="false" AutoFit="true" Append="false" PreserveSortAFLayout="true" PreserveFormat="true"/>
  <Map ID="140" Name="methodResponse_карта92" RootElement="methodResponse" SchemaID="Schema93" ShowImportExportValidationErrors="false" AutoFit="true" Append="false" PreserveSortAFLayout="true" PreserveFormat="true"/>
  <Map ID="141" Name="methodResponse_карта93" RootElement="methodResponse" SchemaID="Schema94" ShowImportExportValidationErrors="false" AutoFit="true" Append="false" PreserveSortAFLayout="true" PreserveFormat="true"/>
  <Map ID="142" Name="methodResponse_карта94" RootElement="methodResponse" SchemaID="Schema95" ShowImportExportValidationErrors="false" AutoFit="true" Append="false" PreserveSortAFLayout="true" PreserveFormat="true"/>
  <Map ID="143" Name="methodResponse_карта95" RootElement="methodResponse" SchemaID="Schema96" ShowImportExportValidationErrors="false" AutoFit="true" Append="false" PreserveSortAFLayout="true" PreserveFormat="true"/>
  <Map ID="144" Name="methodResponse_карта96" RootElement="methodResponse" SchemaID="Schema97" ShowImportExportValidationErrors="false" AutoFit="true" Append="false" PreserveSortAFLayout="true" PreserveFormat="true"/>
  <Map ID="145" Name="methodResponse_карта97" RootElement="methodResponse" SchemaID="Schema98" ShowImportExportValidationErrors="false" AutoFit="true" Append="false" PreserveSortAFLayout="true" PreserveFormat="true"/>
  <Map ID="146" Name="methodResponse_карта98" RootElement="methodResponse" SchemaID="Schema99" ShowImportExportValidationErrors="false" AutoFit="true" Append="false" PreserveSortAFLayout="true" PreserveFormat="true"/>
  <Map ID="147" Name="methodResponse_карта99" RootElement="methodResponse" SchemaID="Schema100" ShowImportExportValidationErrors="false" AutoFit="true" Append="false" PreserveSortAFLayout="true" PreserveFormat="true"/>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xmlMaps" Target="xmlMaps.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19</xdr:col>
          <xdr:colOff>137160</xdr:colOff>
          <xdr:row>0</xdr:row>
          <xdr:rowOff>0</xdr:rowOff>
        </xdr:from>
        <xdr:to>
          <xdr:col>22</xdr:col>
          <xdr:colOff>228600</xdr:colOff>
          <xdr:row>0</xdr:row>
          <xdr:rowOff>182880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7620</xdr:colOff>
          <xdr:row>0</xdr:row>
          <xdr:rowOff>0</xdr:rowOff>
        </xdr:from>
        <xdr:to>
          <xdr:col>7</xdr:col>
          <xdr:colOff>76200</xdr:colOff>
          <xdr:row>0</xdr:row>
          <xdr:rowOff>342900</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500-000001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121920</xdr:colOff>
          <xdr:row>0</xdr:row>
          <xdr:rowOff>0</xdr:rowOff>
        </xdr:from>
        <xdr:to>
          <xdr:col>15</xdr:col>
          <xdr:colOff>716280</xdr:colOff>
          <xdr:row>0</xdr:row>
          <xdr:rowOff>342900</xdr:rowOff>
        </xdr:to>
        <xdr:sp macro="" textlink="">
          <xdr:nvSpPr>
            <xdr:cNvPr id="16386" name="Button 4" hidden="1">
              <a:extLst>
                <a:ext uri="{63B3BB69-23CF-44E3-9099-C40C66FF867C}">
                  <a14:compatExt spid="_x0000_s16386"/>
                </a:ext>
                <a:ext uri="{FF2B5EF4-FFF2-40B4-BE49-F238E27FC236}">
                  <a16:creationId xmlns:a16="http://schemas.microsoft.com/office/drawing/2014/main" id="{00000000-0008-0000-0500-0000024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7620</xdr:colOff>
          <xdr:row>0</xdr:row>
          <xdr:rowOff>0</xdr:rowOff>
        </xdr:from>
        <xdr:to>
          <xdr:col>7</xdr:col>
          <xdr:colOff>76200</xdr:colOff>
          <xdr:row>0</xdr:row>
          <xdr:rowOff>342900</xdr:rowOff>
        </xdr:to>
        <xdr:sp macro="" textlink="">
          <xdr:nvSpPr>
            <xdr:cNvPr id="16387" name="Button 1" hidden="1">
              <a:extLst>
                <a:ext uri="{63B3BB69-23CF-44E3-9099-C40C66FF867C}">
                  <a14:compatExt spid="_x0000_s16387"/>
                </a:ext>
                <a:ext uri="{FF2B5EF4-FFF2-40B4-BE49-F238E27FC236}">
                  <a16:creationId xmlns:a16="http://schemas.microsoft.com/office/drawing/2014/main" id="{00000000-0008-0000-0500-000001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121920</xdr:colOff>
          <xdr:row>0</xdr:row>
          <xdr:rowOff>0</xdr:rowOff>
        </xdr:from>
        <xdr:to>
          <xdr:col>15</xdr:col>
          <xdr:colOff>716280</xdr:colOff>
          <xdr:row>0</xdr:row>
          <xdr:rowOff>342900</xdr:rowOff>
        </xdr:to>
        <xdr:sp macro="" textlink="">
          <xdr:nvSpPr>
            <xdr:cNvPr id="16388" name="Button 4" hidden="1">
              <a:extLst>
                <a:ext uri="{63B3BB69-23CF-44E3-9099-C40C66FF867C}">
                  <a14:compatExt spid="_x0000_s16388"/>
                </a:ext>
                <a:ext uri="{FF2B5EF4-FFF2-40B4-BE49-F238E27FC236}">
                  <a16:creationId xmlns:a16="http://schemas.microsoft.com/office/drawing/2014/main" id="{00000000-0008-0000-0500-0000024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Офіс">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Офіс">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Офіс">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4.bin"/><Relationship Id="rId1" Type="http://schemas.openxmlformats.org/officeDocument/2006/relationships/hyperlink" Target="http://agroliga.com.ua/en/" TargetMode="Externa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5.xml"/><Relationship Id="rId2" Type="http://schemas.openxmlformats.org/officeDocument/2006/relationships/drawing" Target="../drawings/drawing2.xml"/><Relationship Id="rId1" Type="http://schemas.openxmlformats.org/officeDocument/2006/relationships/printerSettings" Target="../printerSettings/printerSettings5.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F169"/>
  <sheetViews>
    <sheetView topLeftCell="A13" workbookViewId="0">
      <selection activeCell="B34" sqref="B34"/>
    </sheetView>
  </sheetViews>
  <sheetFormatPr defaultRowHeight="14.4" x14ac:dyDescent="0.3"/>
  <cols>
    <col min="1" max="1" width="11" bestFit="1" customWidth="1"/>
    <col min="2" max="2" width="80.88671875" bestFit="1" customWidth="1"/>
  </cols>
  <sheetData>
    <row r="1" spans="1:1" x14ac:dyDescent="0.3">
      <c r="A1" t="s">
        <v>548</v>
      </c>
    </row>
    <row r="2" spans="1:1" x14ac:dyDescent="0.3">
      <c r="A2" t="s">
        <v>549</v>
      </c>
    </row>
    <row r="3" spans="1:1" x14ac:dyDescent="0.3">
      <c r="A3" t="s">
        <v>550</v>
      </c>
    </row>
    <row r="4" spans="1:1" x14ac:dyDescent="0.3">
      <c r="A4" t="s">
        <v>551</v>
      </c>
    </row>
    <row r="5" spans="1:1" x14ac:dyDescent="0.3">
      <c r="A5" t="s">
        <v>552</v>
      </c>
    </row>
    <row r="6" spans="1:1" x14ac:dyDescent="0.3">
      <c r="A6" t="s">
        <v>553</v>
      </c>
    </row>
    <row r="7" spans="1:1" x14ac:dyDescent="0.3">
      <c r="A7" t="s">
        <v>554</v>
      </c>
    </row>
    <row r="8" spans="1:1" x14ac:dyDescent="0.3">
      <c r="A8" t="s">
        <v>555</v>
      </c>
    </row>
    <row r="9" spans="1:1" x14ac:dyDescent="0.3">
      <c r="A9" t="s">
        <v>556</v>
      </c>
    </row>
    <row r="10" spans="1:1" x14ac:dyDescent="0.3">
      <c r="A10" t="s">
        <v>557</v>
      </c>
    </row>
    <row r="11" spans="1:1" x14ac:dyDescent="0.3">
      <c r="A11" t="s">
        <v>558</v>
      </c>
    </row>
    <row r="12" spans="1:1" x14ac:dyDescent="0.3">
      <c r="A12" t="s">
        <v>559</v>
      </c>
    </row>
    <row r="13" spans="1:1" x14ac:dyDescent="0.3">
      <c r="A13" t="s">
        <v>560</v>
      </c>
    </row>
    <row r="15" spans="1:1" x14ac:dyDescent="0.3">
      <c r="A15" t="s">
        <v>561</v>
      </c>
    </row>
    <row r="17" spans="1:6" x14ac:dyDescent="0.3">
      <c r="A17" s="44" t="s">
        <v>565</v>
      </c>
    </row>
    <row r="18" spans="1:6" x14ac:dyDescent="0.3">
      <c r="A18" t="s">
        <v>548</v>
      </c>
    </row>
    <row r="19" spans="1:6" x14ac:dyDescent="0.3">
      <c r="A19" t="s">
        <v>549</v>
      </c>
    </row>
    <row r="20" spans="1:6" x14ac:dyDescent="0.3">
      <c r="A20" t="s">
        <v>553</v>
      </c>
    </row>
    <row r="21" spans="1:6" x14ac:dyDescent="0.3">
      <c r="A21" t="s">
        <v>554</v>
      </c>
    </row>
    <row r="22" spans="1:6" x14ac:dyDescent="0.3">
      <c r="A22" t="s">
        <v>555</v>
      </c>
    </row>
    <row r="23" spans="1:6" x14ac:dyDescent="0.3">
      <c r="A23" t="s">
        <v>563</v>
      </c>
    </row>
    <row r="24" spans="1:6" x14ac:dyDescent="0.3">
      <c r="A24" t="s">
        <v>564</v>
      </c>
    </row>
    <row r="26" spans="1:6" x14ac:dyDescent="0.3">
      <c r="A26" t="s">
        <v>566</v>
      </c>
    </row>
    <row r="31" spans="1:6" x14ac:dyDescent="0.3">
      <c r="A31">
        <v>235514</v>
      </c>
      <c r="B31" t="s">
        <v>277</v>
      </c>
      <c r="C31" t="s">
        <v>589</v>
      </c>
      <c r="D31" t="s">
        <v>573</v>
      </c>
      <c r="E31">
        <v>398058</v>
      </c>
      <c r="F31" t="s">
        <v>592</v>
      </c>
    </row>
    <row r="32" spans="1:6" x14ac:dyDescent="0.3">
      <c r="A32">
        <v>217160</v>
      </c>
      <c r="B32" t="s">
        <v>278</v>
      </c>
      <c r="C32" t="s">
        <v>594</v>
      </c>
      <c r="D32" t="s">
        <v>585</v>
      </c>
      <c r="E32">
        <v>398058</v>
      </c>
      <c r="F32" t="s">
        <v>595</v>
      </c>
    </row>
    <row r="169" spans="1:1" x14ac:dyDescent="0.3">
      <c r="A169" t="s">
        <v>261</v>
      </c>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9"/>
  <dimension ref="A1"/>
  <sheetViews>
    <sheetView workbookViewId="0">
      <selection activeCell="E16" sqref="E16"/>
    </sheetView>
  </sheetViews>
  <sheetFormatPr defaultRowHeight="14.4" x14ac:dyDescent="0.3"/>
  <sheetData/>
  <pageMargins left="0.7" right="0.7" top="0.75" bottom="0.75" header="0.3" footer="0.3"/>
  <pageSetup paperSize="9" orientation="portrait" horizontalDpi="4294967295" verticalDpi="4294967295"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F4"/>
  <sheetViews>
    <sheetView workbookViewId="0">
      <selection activeCell="B4" sqref="B4:E4"/>
    </sheetView>
  </sheetViews>
  <sheetFormatPr defaultRowHeight="14.4" x14ac:dyDescent="0.3"/>
  <cols>
    <col min="1" max="1" width="15.88671875" customWidth="1"/>
    <col min="5" max="5" width="9.33203125" customWidth="1"/>
  </cols>
  <sheetData>
    <row r="1" spans="1:6" x14ac:dyDescent="0.3">
      <c r="A1" s="17" t="s">
        <v>276</v>
      </c>
      <c r="B1" s="46" t="s">
        <v>504</v>
      </c>
      <c r="C1" s="46"/>
      <c r="D1" s="46"/>
      <c r="E1" s="46"/>
      <c r="F1" s="24" t="s">
        <v>503</v>
      </c>
    </row>
    <row r="2" spans="1:6" x14ac:dyDescent="0.3">
      <c r="A2" s="18" t="s">
        <v>277</v>
      </c>
      <c r="B2" s="47" t="s">
        <v>509</v>
      </c>
      <c r="C2" s="47"/>
      <c r="D2" s="47"/>
      <c r="E2" s="47"/>
      <c r="F2" s="23">
        <v>277364</v>
      </c>
    </row>
    <row r="3" spans="1:6" x14ac:dyDescent="0.3">
      <c r="A3" s="18" t="s">
        <v>278</v>
      </c>
      <c r="B3" s="47" t="s">
        <v>571</v>
      </c>
      <c r="C3" s="47"/>
      <c r="D3" s="47"/>
      <c r="E3" s="47"/>
      <c r="F3" s="42">
        <v>344816</v>
      </c>
    </row>
    <row r="4" spans="1:6" x14ac:dyDescent="0.3">
      <c r="A4" s="18" t="s">
        <v>279</v>
      </c>
      <c r="B4" s="48" t="s">
        <v>536</v>
      </c>
      <c r="C4" s="47"/>
      <c r="D4" s="47"/>
      <c r="E4" s="47"/>
      <c r="F4" s="42">
        <v>285543</v>
      </c>
    </row>
  </sheetData>
  <mergeCells count="4">
    <mergeCell ref="B1:E1"/>
    <mergeCell ref="B2:E2"/>
    <mergeCell ref="B3:E3"/>
    <mergeCell ref="B4:E4"/>
  </mergeCells>
  <pageMargins left="0.7" right="0.7" top="0.75" bottom="0.75" header="0.3" footer="0.3"/>
  <pageSetup paperSize="9" orientation="portrait" horizontalDpi="4294967295" verticalDpi="4294967295"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8"/>
  <dimension ref="A1:C225"/>
  <sheetViews>
    <sheetView topLeftCell="A205" workbookViewId="0">
      <selection activeCell="C226" sqref="C226"/>
    </sheetView>
  </sheetViews>
  <sheetFormatPr defaultRowHeight="14.4" x14ac:dyDescent="0.3"/>
  <cols>
    <col min="1" max="1" width="4" bestFit="1" customWidth="1"/>
    <col min="2" max="2" width="13.88671875" bestFit="1" customWidth="1"/>
    <col min="3" max="3" width="40.33203125" bestFit="1" customWidth="1"/>
  </cols>
  <sheetData>
    <row r="1" spans="1:3" x14ac:dyDescent="0.3">
      <c r="A1" s="4">
        <f>COUNTA(B:B)-1</f>
        <v>224</v>
      </c>
      <c r="B1" s="5" t="s">
        <v>13</v>
      </c>
      <c r="C1" s="6" t="s">
        <v>14</v>
      </c>
    </row>
    <row r="2" spans="1:3" x14ac:dyDescent="0.3">
      <c r="A2">
        <v>1</v>
      </c>
      <c r="B2" t="s">
        <v>15</v>
      </c>
      <c r="C2" t="s">
        <v>16</v>
      </c>
    </row>
    <row r="3" spans="1:3" x14ac:dyDescent="0.3">
      <c r="A3">
        <v>2</v>
      </c>
      <c r="B3" t="s">
        <v>547</v>
      </c>
      <c r="C3" t="s">
        <v>546</v>
      </c>
    </row>
    <row r="4" spans="1:3" x14ac:dyDescent="0.3">
      <c r="A4">
        <v>3</v>
      </c>
      <c r="B4" t="s">
        <v>494</v>
      </c>
      <c r="C4" t="s">
        <v>495</v>
      </c>
    </row>
    <row r="5" spans="1:3" x14ac:dyDescent="0.3">
      <c r="A5">
        <v>4</v>
      </c>
      <c r="B5" t="s">
        <v>492</v>
      </c>
      <c r="C5" t="s">
        <v>493</v>
      </c>
    </row>
    <row r="6" spans="1:3" x14ac:dyDescent="0.3">
      <c r="A6">
        <v>5</v>
      </c>
      <c r="B6" t="s">
        <v>480</v>
      </c>
      <c r="C6" t="s">
        <v>481</v>
      </c>
    </row>
    <row r="7" spans="1:3" x14ac:dyDescent="0.3">
      <c r="A7">
        <v>6</v>
      </c>
      <c r="B7" t="s">
        <v>474</v>
      </c>
      <c r="C7" t="s">
        <v>475</v>
      </c>
    </row>
    <row r="8" spans="1:3" x14ac:dyDescent="0.3">
      <c r="A8">
        <v>7</v>
      </c>
      <c r="B8" t="s">
        <v>451</v>
      </c>
      <c r="C8" t="s">
        <v>452</v>
      </c>
    </row>
    <row r="9" spans="1:3" x14ac:dyDescent="0.3">
      <c r="A9">
        <v>8</v>
      </c>
      <c r="B9" t="s">
        <v>471</v>
      </c>
      <c r="C9" t="s">
        <v>470</v>
      </c>
    </row>
    <row r="10" spans="1:3" x14ac:dyDescent="0.3">
      <c r="A10">
        <v>9</v>
      </c>
      <c r="B10" t="s">
        <v>435</v>
      </c>
      <c r="C10" t="s">
        <v>434</v>
      </c>
    </row>
    <row r="11" spans="1:3" x14ac:dyDescent="0.3">
      <c r="A11">
        <v>10</v>
      </c>
      <c r="B11" t="s">
        <v>362</v>
      </c>
      <c r="C11" t="s">
        <v>363</v>
      </c>
    </row>
    <row r="12" spans="1:3" x14ac:dyDescent="0.3">
      <c r="A12">
        <v>11</v>
      </c>
      <c r="B12" t="s">
        <v>357</v>
      </c>
      <c r="C12" t="s">
        <v>358</v>
      </c>
    </row>
    <row r="13" spans="1:3" x14ac:dyDescent="0.3">
      <c r="A13">
        <v>12</v>
      </c>
      <c r="B13" t="s">
        <v>324</v>
      </c>
      <c r="C13" t="s">
        <v>325</v>
      </c>
    </row>
    <row r="14" spans="1:3" x14ac:dyDescent="0.3">
      <c r="A14">
        <v>13</v>
      </c>
      <c r="B14" t="s">
        <v>317</v>
      </c>
      <c r="C14" t="s">
        <v>316</v>
      </c>
    </row>
    <row r="15" spans="1:3" x14ac:dyDescent="0.3">
      <c r="A15">
        <v>14</v>
      </c>
      <c r="B15" t="s">
        <v>501</v>
      </c>
      <c r="C15" t="s">
        <v>502</v>
      </c>
    </row>
    <row r="16" spans="1:3" x14ac:dyDescent="0.3">
      <c r="A16">
        <v>15</v>
      </c>
      <c r="B16" t="s">
        <v>262</v>
      </c>
      <c r="C16" t="s">
        <v>263</v>
      </c>
    </row>
    <row r="17" spans="1:3" x14ac:dyDescent="0.3">
      <c r="A17">
        <v>16</v>
      </c>
      <c r="B17" t="s">
        <v>460</v>
      </c>
      <c r="C17" t="s">
        <v>459</v>
      </c>
    </row>
    <row r="18" spans="1:3" x14ac:dyDescent="0.3">
      <c r="A18">
        <v>17</v>
      </c>
      <c r="B18" t="s">
        <v>264</v>
      </c>
      <c r="C18" t="s">
        <v>265</v>
      </c>
    </row>
    <row r="19" spans="1:3" x14ac:dyDescent="0.3">
      <c r="A19">
        <v>18</v>
      </c>
      <c r="B19" t="s">
        <v>196</v>
      </c>
      <c r="C19" t="s">
        <v>197</v>
      </c>
    </row>
    <row r="20" spans="1:3" x14ac:dyDescent="0.3">
      <c r="A20">
        <v>19</v>
      </c>
      <c r="B20" t="s">
        <v>17</v>
      </c>
      <c r="C20" t="s">
        <v>18</v>
      </c>
    </row>
    <row r="21" spans="1:3" x14ac:dyDescent="0.3">
      <c r="A21">
        <v>20</v>
      </c>
      <c r="B21" t="s">
        <v>19</v>
      </c>
      <c r="C21" t="s">
        <v>20</v>
      </c>
    </row>
    <row r="22" spans="1:3" x14ac:dyDescent="0.3">
      <c r="A22">
        <v>21</v>
      </c>
      <c r="B22" t="s">
        <v>21</v>
      </c>
      <c r="C22" t="s">
        <v>22</v>
      </c>
    </row>
    <row r="23" spans="1:3" x14ac:dyDescent="0.3">
      <c r="A23">
        <v>22</v>
      </c>
      <c r="B23" t="s">
        <v>23</v>
      </c>
      <c r="C23" t="s">
        <v>24</v>
      </c>
    </row>
    <row r="24" spans="1:3" x14ac:dyDescent="0.3">
      <c r="A24">
        <v>23</v>
      </c>
      <c r="B24" t="s">
        <v>25</v>
      </c>
      <c r="C24" t="s">
        <v>26</v>
      </c>
    </row>
    <row r="25" spans="1:3" x14ac:dyDescent="0.3">
      <c r="A25">
        <v>24</v>
      </c>
      <c r="B25" t="s">
        <v>0</v>
      </c>
      <c r="C25" t="s">
        <v>97</v>
      </c>
    </row>
    <row r="26" spans="1:3" x14ac:dyDescent="0.3">
      <c r="A26">
        <v>25</v>
      </c>
      <c r="B26" t="s">
        <v>27</v>
      </c>
      <c r="C26" t="s">
        <v>28</v>
      </c>
    </row>
    <row r="27" spans="1:3" x14ac:dyDescent="0.3">
      <c r="A27">
        <v>26</v>
      </c>
      <c r="B27" t="s">
        <v>29</v>
      </c>
      <c r="C27" t="s">
        <v>30</v>
      </c>
    </row>
    <row r="28" spans="1:3" x14ac:dyDescent="0.3">
      <c r="A28">
        <v>27</v>
      </c>
      <c r="B28" t="s">
        <v>225</v>
      </c>
      <c r="C28" t="s">
        <v>226</v>
      </c>
    </row>
    <row r="29" spans="1:3" x14ac:dyDescent="0.3">
      <c r="A29">
        <v>28</v>
      </c>
      <c r="B29" t="s">
        <v>31</v>
      </c>
      <c r="C29" t="s">
        <v>32</v>
      </c>
    </row>
    <row r="30" spans="1:3" x14ac:dyDescent="0.3">
      <c r="A30">
        <v>29</v>
      </c>
      <c r="B30" t="s">
        <v>33</v>
      </c>
      <c r="C30" t="s">
        <v>34</v>
      </c>
    </row>
    <row r="31" spans="1:3" x14ac:dyDescent="0.3">
      <c r="A31">
        <v>30</v>
      </c>
      <c r="B31" t="s">
        <v>35</v>
      </c>
      <c r="C31" t="s">
        <v>199</v>
      </c>
    </row>
    <row r="32" spans="1:3" x14ac:dyDescent="0.3">
      <c r="A32">
        <v>31</v>
      </c>
      <c r="B32" t="s">
        <v>36</v>
      </c>
      <c r="C32" t="s">
        <v>37</v>
      </c>
    </row>
    <row r="33" spans="1:3" x14ac:dyDescent="0.3">
      <c r="A33">
        <v>32</v>
      </c>
      <c r="B33" t="s">
        <v>38</v>
      </c>
      <c r="C33" t="s">
        <v>39</v>
      </c>
    </row>
    <row r="34" spans="1:3" x14ac:dyDescent="0.3">
      <c r="A34">
        <v>33</v>
      </c>
      <c r="B34" t="s">
        <v>40</v>
      </c>
      <c r="C34" t="s">
        <v>41</v>
      </c>
    </row>
    <row r="35" spans="1:3" x14ac:dyDescent="0.3">
      <c r="A35">
        <v>34</v>
      </c>
      <c r="B35" t="s">
        <v>42</v>
      </c>
      <c r="C35" t="s">
        <v>43</v>
      </c>
    </row>
    <row r="36" spans="1:3" x14ac:dyDescent="0.3">
      <c r="A36">
        <v>35</v>
      </c>
      <c r="B36" t="s">
        <v>44</v>
      </c>
      <c r="C36" t="s">
        <v>45</v>
      </c>
    </row>
    <row r="37" spans="1:3" x14ac:dyDescent="0.3">
      <c r="A37">
        <v>36</v>
      </c>
      <c r="B37" t="s">
        <v>46</v>
      </c>
      <c r="C37" t="s">
        <v>47</v>
      </c>
    </row>
    <row r="38" spans="1:3" x14ac:dyDescent="0.3">
      <c r="A38">
        <v>37</v>
      </c>
      <c r="B38" t="s">
        <v>48</v>
      </c>
      <c r="C38" t="s">
        <v>49</v>
      </c>
    </row>
    <row r="39" spans="1:3" x14ac:dyDescent="0.3">
      <c r="A39">
        <v>38</v>
      </c>
      <c r="B39" t="s">
        <v>50</v>
      </c>
      <c r="C39" t="s">
        <v>51</v>
      </c>
    </row>
    <row r="40" spans="1:3" x14ac:dyDescent="0.3">
      <c r="A40">
        <v>39</v>
      </c>
      <c r="B40" t="s">
        <v>52</v>
      </c>
      <c r="C40" t="s">
        <v>53</v>
      </c>
    </row>
    <row r="41" spans="1:3" x14ac:dyDescent="0.3">
      <c r="A41">
        <v>40</v>
      </c>
      <c r="B41" t="s">
        <v>54</v>
      </c>
      <c r="C41" t="s">
        <v>55</v>
      </c>
    </row>
    <row r="42" spans="1:3" x14ac:dyDescent="0.3">
      <c r="A42">
        <v>41</v>
      </c>
      <c r="B42" t="s">
        <v>56</v>
      </c>
      <c r="C42" t="s">
        <v>57</v>
      </c>
    </row>
    <row r="43" spans="1:3" x14ac:dyDescent="0.3">
      <c r="A43">
        <v>42</v>
      </c>
      <c r="B43" t="s">
        <v>58</v>
      </c>
      <c r="C43" t="s">
        <v>59</v>
      </c>
    </row>
    <row r="44" spans="1:3" x14ac:dyDescent="0.3">
      <c r="A44">
        <v>43</v>
      </c>
      <c r="B44" t="s">
        <v>60</v>
      </c>
      <c r="C44" t="s">
        <v>61</v>
      </c>
    </row>
    <row r="45" spans="1:3" x14ac:dyDescent="0.3">
      <c r="A45">
        <v>44</v>
      </c>
      <c r="B45" t="s">
        <v>62</v>
      </c>
      <c r="C45" t="s">
        <v>63</v>
      </c>
    </row>
    <row r="46" spans="1:3" x14ac:dyDescent="0.3">
      <c r="A46">
        <v>45</v>
      </c>
      <c r="B46" t="s">
        <v>545</v>
      </c>
      <c r="C46" t="s">
        <v>64</v>
      </c>
    </row>
    <row r="47" spans="1:3" x14ac:dyDescent="0.3">
      <c r="A47">
        <v>46</v>
      </c>
      <c r="B47" t="s">
        <v>65</v>
      </c>
      <c r="C47" t="s">
        <v>66</v>
      </c>
    </row>
    <row r="48" spans="1:3" x14ac:dyDescent="0.3">
      <c r="A48">
        <v>47</v>
      </c>
      <c r="B48" t="s">
        <v>67</v>
      </c>
      <c r="C48" t="s">
        <v>68</v>
      </c>
    </row>
    <row r="49" spans="1:3" x14ac:dyDescent="0.3">
      <c r="A49">
        <v>48</v>
      </c>
      <c r="B49" t="s">
        <v>69</v>
      </c>
      <c r="C49" t="s">
        <v>70</v>
      </c>
    </row>
    <row r="50" spans="1:3" x14ac:dyDescent="0.3">
      <c r="A50">
        <v>49</v>
      </c>
      <c r="B50" t="s">
        <v>71</v>
      </c>
      <c r="C50" t="s">
        <v>72</v>
      </c>
    </row>
    <row r="51" spans="1:3" x14ac:dyDescent="0.3">
      <c r="A51">
        <v>50</v>
      </c>
      <c r="B51" t="s">
        <v>73</v>
      </c>
      <c r="C51" t="s">
        <v>74</v>
      </c>
    </row>
    <row r="52" spans="1:3" x14ac:dyDescent="0.3">
      <c r="A52">
        <v>51</v>
      </c>
      <c r="B52" t="s">
        <v>75</v>
      </c>
      <c r="C52" t="s">
        <v>76</v>
      </c>
    </row>
    <row r="53" spans="1:3" x14ac:dyDescent="0.3">
      <c r="A53">
        <v>52</v>
      </c>
      <c r="B53" t="s">
        <v>318</v>
      </c>
      <c r="C53" t="s">
        <v>319</v>
      </c>
    </row>
    <row r="54" spans="1:3" x14ac:dyDescent="0.3">
      <c r="A54">
        <v>53</v>
      </c>
      <c r="B54" t="s">
        <v>78</v>
      </c>
      <c r="C54" t="s">
        <v>79</v>
      </c>
    </row>
    <row r="55" spans="1:3" x14ac:dyDescent="0.3">
      <c r="A55">
        <v>54</v>
      </c>
      <c r="B55" t="s">
        <v>80</v>
      </c>
      <c r="C55" t="s">
        <v>81</v>
      </c>
    </row>
    <row r="56" spans="1:3" x14ac:dyDescent="0.3">
      <c r="A56">
        <v>55</v>
      </c>
      <c r="B56" t="s">
        <v>82</v>
      </c>
      <c r="C56" t="s">
        <v>83</v>
      </c>
    </row>
    <row r="57" spans="1:3" x14ac:dyDescent="0.3">
      <c r="A57">
        <v>56</v>
      </c>
      <c r="B57" t="s">
        <v>84</v>
      </c>
      <c r="C57" t="s">
        <v>85</v>
      </c>
    </row>
    <row r="58" spans="1:3" x14ac:dyDescent="0.3">
      <c r="A58">
        <v>57</v>
      </c>
      <c r="B58" t="s">
        <v>86</v>
      </c>
      <c r="C58" t="s">
        <v>87</v>
      </c>
    </row>
    <row r="59" spans="1:3" x14ac:dyDescent="0.3">
      <c r="A59">
        <v>58</v>
      </c>
      <c r="B59" t="s">
        <v>88</v>
      </c>
      <c r="C59" t="s">
        <v>89</v>
      </c>
    </row>
    <row r="60" spans="1:3" x14ac:dyDescent="0.3">
      <c r="A60">
        <v>59</v>
      </c>
      <c r="B60" t="s">
        <v>90</v>
      </c>
      <c r="C60" t="s">
        <v>98</v>
      </c>
    </row>
    <row r="61" spans="1:3" x14ac:dyDescent="0.3">
      <c r="A61">
        <v>60</v>
      </c>
      <c r="B61" t="s">
        <v>91</v>
      </c>
      <c r="C61" t="s">
        <v>92</v>
      </c>
    </row>
    <row r="62" spans="1:3" x14ac:dyDescent="0.3">
      <c r="A62">
        <v>61</v>
      </c>
      <c r="B62" t="s">
        <v>93</v>
      </c>
      <c r="C62" t="s">
        <v>94</v>
      </c>
    </row>
    <row r="63" spans="1:3" x14ac:dyDescent="0.3">
      <c r="A63">
        <v>62</v>
      </c>
      <c r="B63" t="s">
        <v>95</v>
      </c>
      <c r="C63" t="s">
        <v>96</v>
      </c>
    </row>
    <row r="64" spans="1:3" x14ac:dyDescent="0.3">
      <c r="A64">
        <v>63</v>
      </c>
      <c r="B64" t="s">
        <v>99</v>
      </c>
      <c r="C64" t="s">
        <v>100</v>
      </c>
    </row>
    <row r="65" spans="1:3" x14ac:dyDescent="0.3">
      <c r="A65">
        <v>64</v>
      </c>
      <c r="B65" t="s">
        <v>101</v>
      </c>
      <c r="C65" t="s">
        <v>432</v>
      </c>
    </row>
    <row r="66" spans="1:3" x14ac:dyDescent="0.3">
      <c r="A66">
        <v>65</v>
      </c>
      <c r="B66" t="s">
        <v>102</v>
      </c>
      <c r="C66" t="s">
        <v>103</v>
      </c>
    </row>
    <row r="67" spans="1:3" x14ac:dyDescent="0.3">
      <c r="A67">
        <v>66</v>
      </c>
      <c r="B67" t="s">
        <v>104</v>
      </c>
      <c r="C67" t="s">
        <v>105</v>
      </c>
    </row>
    <row r="68" spans="1:3" x14ac:dyDescent="0.3">
      <c r="A68">
        <v>67</v>
      </c>
      <c r="B68" t="s">
        <v>106</v>
      </c>
      <c r="C68" t="s">
        <v>107</v>
      </c>
    </row>
    <row r="69" spans="1:3" x14ac:dyDescent="0.3">
      <c r="A69">
        <v>68</v>
      </c>
      <c r="B69" t="s">
        <v>108</v>
      </c>
      <c r="C69" t="s">
        <v>109</v>
      </c>
    </row>
    <row r="70" spans="1:3" x14ac:dyDescent="0.3">
      <c r="A70">
        <v>69</v>
      </c>
      <c r="B70" t="s">
        <v>110</v>
      </c>
      <c r="C70" t="s">
        <v>111</v>
      </c>
    </row>
    <row r="71" spans="1:3" x14ac:dyDescent="0.3">
      <c r="A71">
        <v>70</v>
      </c>
      <c r="B71" t="s">
        <v>112</v>
      </c>
      <c r="C71" t="s">
        <v>113</v>
      </c>
    </row>
    <row r="72" spans="1:3" x14ac:dyDescent="0.3">
      <c r="A72">
        <v>71</v>
      </c>
      <c r="B72" t="s">
        <v>114</v>
      </c>
      <c r="C72" t="s">
        <v>115</v>
      </c>
    </row>
    <row r="73" spans="1:3" x14ac:dyDescent="0.3">
      <c r="A73">
        <v>72</v>
      </c>
      <c r="B73" t="s">
        <v>116</v>
      </c>
      <c r="C73" t="s">
        <v>117</v>
      </c>
    </row>
    <row r="74" spans="1:3" x14ac:dyDescent="0.3">
      <c r="A74">
        <v>73</v>
      </c>
      <c r="B74" t="s">
        <v>119</v>
      </c>
      <c r="C74" t="s">
        <v>118</v>
      </c>
    </row>
    <row r="75" spans="1:3" x14ac:dyDescent="0.3">
      <c r="A75">
        <v>74</v>
      </c>
      <c r="B75" t="s">
        <v>120</v>
      </c>
      <c r="C75" t="s">
        <v>121</v>
      </c>
    </row>
    <row r="76" spans="1:3" x14ac:dyDescent="0.3">
      <c r="A76">
        <v>75</v>
      </c>
      <c r="B76" t="s">
        <v>122</v>
      </c>
      <c r="C76" t="s">
        <v>123</v>
      </c>
    </row>
    <row r="77" spans="1:3" x14ac:dyDescent="0.3">
      <c r="A77">
        <v>76</v>
      </c>
      <c r="B77" t="s">
        <v>124</v>
      </c>
      <c r="C77" t="s">
        <v>125</v>
      </c>
    </row>
    <row r="78" spans="1:3" x14ac:dyDescent="0.3">
      <c r="A78">
        <v>77</v>
      </c>
      <c r="B78" t="s">
        <v>127</v>
      </c>
      <c r="C78" t="s">
        <v>126</v>
      </c>
    </row>
    <row r="79" spans="1:3" x14ac:dyDescent="0.3">
      <c r="A79">
        <v>78</v>
      </c>
      <c r="B79" t="s">
        <v>128</v>
      </c>
      <c r="C79" t="s">
        <v>129</v>
      </c>
    </row>
    <row r="80" spans="1:3" x14ac:dyDescent="0.3">
      <c r="A80">
        <v>79</v>
      </c>
      <c r="B80" t="s">
        <v>130</v>
      </c>
      <c r="C80" t="s">
        <v>131</v>
      </c>
    </row>
    <row r="81" spans="1:3" x14ac:dyDescent="0.3">
      <c r="A81">
        <v>80</v>
      </c>
      <c r="B81" t="s">
        <v>132</v>
      </c>
      <c r="C81" t="s">
        <v>223</v>
      </c>
    </row>
    <row r="82" spans="1:3" x14ac:dyDescent="0.3">
      <c r="A82">
        <v>81</v>
      </c>
      <c r="B82" t="s">
        <v>133</v>
      </c>
      <c r="C82" t="s">
        <v>134</v>
      </c>
    </row>
    <row r="83" spans="1:3" x14ac:dyDescent="0.3">
      <c r="A83">
        <v>82</v>
      </c>
      <c r="B83" t="s">
        <v>180</v>
      </c>
      <c r="C83" t="s">
        <v>181</v>
      </c>
    </row>
    <row r="84" spans="1:3" x14ac:dyDescent="0.3">
      <c r="A84">
        <v>83</v>
      </c>
      <c r="B84" t="s">
        <v>182</v>
      </c>
      <c r="C84" t="s">
        <v>183</v>
      </c>
    </row>
    <row r="85" spans="1:3" x14ac:dyDescent="0.3">
      <c r="A85">
        <v>84</v>
      </c>
      <c r="B85" t="s">
        <v>184</v>
      </c>
      <c r="C85" t="s">
        <v>185</v>
      </c>
    </row>
    <row r="86" spans="1:3" x14ac:dyDescent="0.3">
      <c r="A86">
        <v>85</v>
      </c>
      <c r="B86" t="s">
        <v>186</v>
      </c>
      <c r="C86" t="s">
        <v>187</v>
      </c>
    </row>
    <row r="87" spans="1:3" x14ac:dyDescent="0.3">
      <c r="A87">
        <v>86</v>
      </c>
      <c r="B87" t="s">
        <v>188</v>
      </c>
      <c r="C87" t="s">
        <v>45</v>
      </c>
    </row>
    <row r="88" spans="1:3" x14ac:dyDescent="0.3">
      <c r="A88">
        <v>87</v>
      </c>
      <c r="B88" t="s">
        <v>189</v>
      </c>
      <c r="C88" t="s">
        <v>190</v>
      </c>
    </row>
    <row r="89" spans="1:3" x14ac:dyDescent="0.3">
      <c r="A89">
        <v>88</v>
      </c>
      <c r="B89" t="s">
        <v>191</v>
      </c>
      <c r="C89" t="s">
        <v>192</v>
      </c>
    </row>
    <row r="90" spans="1:3" x14ac:dyDescent="0.3">
      <c r="A90">
        <v>89</v>
      </c>
      <c r="B90" t="s">
        <v>193</v>
      </c>
      <c r="C90" t="s">
        <v>194</v>
      </c>
    </row>
    <row r="91" spans="1:3" x14ac:dyDescent="0.3">
      <c r="A91">
        <v>90</v>
      </c>
      <c r="B91" t="s">
        <v>200</v>
      </c>
      <c r="C91" t="s">
        <v>201</v>
      </c>
    </row>
    <row r="92" spans="1:3" x14ac:dyDescent="0.3">
      <c r="A92">
        <v>91</v>
      </c>
      <c r="B92" t="s">
        <v>202</v>
      </c>
      <c r="C92" t="s">
        <v>203</v>
      </c>
    </row>
    <row r="93" spans="1:3" x14ac:dyDescent="0.3">
      <c r="A93">
        <v>92</v>
      </c>
      <c r="B93" t="s">
        <v>204</v>
      </c>
      <c r="C93" t="s">
        <v>205</v>
      </c>
    </row>
    <row r="94" spans="1:3" x14ac:dyDescent="0.3">
      <c r="A94">
        <v>93</v>
      </c>
      <c r="B94" t="s">
        <v>206</v>
      </c>
      <c r="C94" t="s">
        <v>207</v>
      </c>
    </row>
    <row r="95" spans="1:3" x14ac:dyDescent="0.3">
      <c r="A95">
        <v>94</v>
      </c>
      <c r="B95" t="s">
        <v>208</v>
      </c>
      <c r="C95" t="s">
        <v>209</v>
      </c>
    </row>
    <row r="96" spans="1:3" x14ac:dyDescent="0.3">
      <c r="A96">
        <v>95</v>
      </c>
      <c r="B96" t="s">
        <v>210</v>
      </c>
      <c r="C96" t="s">
        <v>211</v>
      </c>
    </row>
    <row r="97" spans="1:3" x14ac:dyDescent="0.3">
      <c r="A97">
        <v>96</v>
      </c>
      <c r="B97" t="s">
        <v>212</v>
      </c>
      <c r="C97" t="s">
        <v>213</v>
      </c>
    </row>
    <row r="98" spans="1:3" x14ac:dyDescent="0.3">
      <c r="A98">
        <v>97</v>
      </c>
      <c r="B98" t="s">
        <v>214</v>
      </c>
      <c r="C98" t="s">
        <v>215</v>
      </c>
    </row>
    <row r="99" spans="1:3" x14ac:dyDescent="0.3">
      <c r="A99">
        <v>98</v>
      </c>
      <c r="B99" t="s">
        <v>216</v>
      </c>
      <c r="C99" t="s">
        <v>77</v>
      </c>
    </row>
    <row r="100" spans="1:3" x14ac:dyDescent="0.3">
      <c r="A100">
        <v>99</v>
      </c>
      <c r="B100" t="s">
        <v>217</v>
      </c>
      <c r="C100" t="s">
        <v>218</v>
      </c>
    </row>
    <row r="101" spans="1:3" x14ac:dyDescent="0.3">
      <c r="A101">
        <v>100</v>
      </c>
      <c r="B101" t="s">
        <v>219</v>
      </c>
      <c r="C101" t="s">
        <v>220</v>
      </c>
    </row>
    <row r="102" spans="1:3" x14ac:dyDescent="0.3">
      <c r="A102">
        <v>101</v>
      </c>
      <c r="B102" t="s">
        <v>221</v>
      </c>
      <c r="C102" t="s">
        <v>222</v>
      </c>
    </row>
    <row r="103" spans="1:3" x14ac:dyDescent="0.3">
      <c r="A103">
        <v>102</v>
      </c>
      <c r="B103" t="s">
        <v>228</v>
      </c>
      <c r="C103" t="s">
        <v>229</v>
      </c>
    </row>
    <row r="104" spans="1:3" x14ac:dyDescent="0.3">
      <c r="A104">
        <v>103</v>
      </c>
      <c r="B104" t="s">
        <v>230</v>
      </c>
      <c r="C104" t="s">
        <v>76</v>
      </c>
    </row>
    <row r="105" spans="1:3" x14ac:dyDescent="0.3">
      <c r="A105">
        <v>104</v>
      </c>
      <c r="B105" t="s">
        <v>231</v>
      </c>
      <c r="C105" t="s">
        <v>275</v>
      </c>
    </row>
    <row r="106" spans="1:3" x14ac:dyDescent="0.3">
      <c r="A106">
        <v>105</v>
      </c>
      <c r="B106" t="s">
        <v>232</v>
      </c>
      <c r="C106" t="s">
        <v>233</v>
      </c>
    </row>
    <row r="107" spans="1:3" x14ac:dyDescent="0.3">
      <c r="A107">
        <v>106</v>
      </c>
      <c r="B107" t="s">
        <v>234</v>
      </c>
      <c r="C107" t="s">
        <v>235</v>
      </c>
    </row>
    <row r="108" spans="1:3" x14ac:dyDescent="0.3">
      <c r="A108">
        <v>107</v>
      </c>
      <c r="B108" t="s">
        <v>236</v>
      </c>
      <c r="C108" t="s">
        <v>237</v>
      </c>
    </row>
    <row r="109" spans="1:3" x14ac:dyDescent="0.3">
      <c r="A109">
        <v>108</v>
      </c>
      <c r="B109" t="s">
        <v>238</v>
      </c>
      <c r="C109" t="s">
        <v>239</v>
      </c>
    </row>
    <row r="110" spans="1:3" x14ac:dyDescent="0.3">
      <c r="A110">
        <v>109</v>
      </c>
      <c r="B110" t="s">
        <v>240</v>
      </c>
      <c r="C110" t="s">
        <v>241</v>
      </c>
    </row>
    <row r="111" spans="1:3" x14ac:dyDescent="0.3">
      <c r="A111">
        <v>110</v>
      </c>
      <c r="B111" t="s">
        <v>242</v>
      </c>
      <c r="C111" t="s">
        <v>243</v>
      </c>
    </row>
    <row r="112" spans="1:3" x14ac:dyDescent="0.3">
      <c r="A112">
        <v>111</v>
      </c>
      <c r="B112" t="s">
        <v>244</v>
      </c>
      <c r="C112" t="s">
        <v>245</v>
      </c>
    </row>
    <row r="113" spans="1:3" x14ac:dyDescent="0.3">
      <c r="A113">
        <v>112</v>
      </c>
      <c r="B113" t="s">
        <v>246</v>
      </c>
      <c r="C113" t="s">
        <v>247</v>
      </c>
    </row>
    <row r="114" spans="1:3" x14ac:dyDescent="0.3">
      <c r="A114">
        <v>113</v>
      </c>
      <c r="B114" t="s">
        <v>248</v>
      </c>
      <c r="C114" t="s">
        <v>249</v>
      </c>
    </row>
    <row r="115" spans="1:3" x14ac:dyDescent="0.3">
      <c r="A115">
        <v>114</v>
      </c>
      <c r="B115" t="s">
        <v>250</v>
      </c>
      <c r="C115" t="s">
        <v>306</v>
      </c>
    </row>
    <row r="116" spans="1:3" x14ac:dyDescent="0.3">
      <c r="A116">
        <v>115</v>
      </c>
      <c r="B116" t="s">
        <v>251</v>
      </c>
      <c r="C116" t="s">
        <v>252</v>
      </c>
    </row>
    <row r="117" spans="1:3" x14ac:dyDescent="0.3">
      <c r="A117">
        <v>116</v>
      </c>
      <c r="B117" t="s">
        <v>253</v>
      </c>
      <c r="C117" t="s">
        <v>254</v>
      </c>
    </row>
    <row r="118" spans="1:3" x14ac:dyDescent="0.3">
      <c r="A118">
        <v>117</v>
      </c>
      <c r="B118" t="s">
        <v>255</v>
      </c>
      <c r="C118" t="s">
        <v>256</v>
      </c>
    </row>
    <row r="119" spans="1:3" x14ac:dyDescent="0.3">
      <c r="A119">
        <v>118</v>
      </c>
      <c r="B119" t="s">
        <v>257</v>
      </c>
      <c r="C119" t="s">
        <v>258</v>
      </c>
    </row>
    <row r="120" spans="1:3" x14ac:dyDescent="0.3">
      <c r="A120">
        <v>119</v>
      </c>
      <c r="B120" t="s">
        <v>259</v>
      </c>
      <c r="C120" t="s">
        <v>260</v>
      </c>
    </row>
    <row r="121" spans="1:3" x14ac:dyDescent="0.3">
      <c r="A121">
        <v>120</v>
      </c>
      <c r="B121" t="s">
        <v>266</v>
      </c>
      <c r="C121" t="s">
        <v>30</v>
      </c>
    </row>
    <row r="122" spans="1:3" x14ac:dyDescent="0.3">
      <c r="A122">
        <v>121</v>
      </c>
      <c r="B122" t="s">
        <v>267</v>
      </c>
      <c r="C122" t="s">
        <v>268</v>
      </c>
    </row>
    <row r="123" spans="1:3" x14ac:dyDescent="0.3">
      <c r="A123">
        <v>122</v>
      </c>
      <c r="B123" t="s">
        <v>269</v>
      </c>
      <c r="C123" t="s">
        <v>270</v>
      </c>
    </row>
    <row r="124" spans="1:3" x14ac:dyDescent="0.3">
      <c r="A124">
        <v>123</v>
      </c>
      <c r="B124" t="s">
        <v>271</v>
      </c>
      <c r="C124" t="s">
        <v>272</v>
      </c>
    </row>
    <row r="125" spans="1:3" x14ac:dyDescent="0.3">
      <c r="A125">
        <v>124</v>
      </c>
      <c r="B125" t="s">
        <v>273</v>
      </c>
      <c r="C125" t="s">
        <v>274</v>
      </c>
    </row>
    <row r="126" spans="1:3" x14ac:dyDescent="0.3">
      <c r="A126">
        <v>125</v>
      </c>
      <c r="B126" t="s">
        <v>280</v>
      </c>
      <c r="C126" t="s">
        <v>281</v>
      </c>
    </row>
    <row r="127" spans="1:3" x14ac:dyDescent="0.3">
      <c r="A127">
        <v>126</v>
      </c>
      <c r="B127" t="s">
        <v>282</v>
      </c>
      <c r="C127" t="s">
        <v>562</v>
      </c>
    </row>
    <row r="128" spans="1:3" x14ac:dyDescent="0.3">
      <c r="A128">
        <v>127</v>
      </c>
      <c r="B128" t="s">
        <v>283</v>
      </c>
      <c r="C128" t="s">
        <v>284</v>
      </c>
    </row>
    <row r="129" spans="1:3" x14ac:dyDescent="0.3">
      <c r="A129">
        <v>128</v>
      </c>
      <c r="B129" t="s">
        <v>285</v>
      </c>
      <c r="C129" t="s">
        <v>30</v>
      </c>
    </row>
    <row r="130" spans="1:3" x14ac:dyDescent="0.3">
      <c r="A130">
        <v>129</v>
      </c>
      <c r="B130" t="s">
        <v>286</v>
      </c>
      <c r="C130" t="s">
        <v>287</v>
      </c>
    </row>
    <row r="131" spans="1:3" x14ac:dyDescent="0.3">
      <c r="A131">
        <v>130</v>
      </c>
      <c r="B131" t="s">
        <v>288</v>
      </c>
      <c r="C131" t="s">
        <v>289</v>
      </c>
    </row>
    <row r="132" spans="1:3" x14ac:dyDescent="0.3">
      <c r="A132">
        <v>131</v>
      </c>
      <c r="B132" t="s">
        <v>290</v>
      </c>
      <c r="C132" t="s">
        <v>291</v>
      </c>
    </row>
    <row r="133" spans="1:3" x14ac:dyDescent="0.3">
      <c r="A133">
        <v>132</v>
      </c>
      <c r="B133" t="s">
        <v>292</v>
      </c>
      <c r="C133" t="s">
        <v>293</v>
      </c>
    </row>
    <row r="134" spans="1:3" x14ac:dyDescent="0.3">
      <c r="A134">
        <v>133</v>
      </c>
      <c r="B134" t="s">
        <v>294</v>
      </c>
      <c r="C134" t="s">
        <v>295</v>
      </c>
    </row>
    <row r="135" spans="1:3" x14ac:dyDescent="0.3">
      <c r="A135">
        <v>134</v>
      </c>
      <c r="B135" t="s">
        <v>298</v>
      </c>
      <c r="C135" t="s">
        <v>299</v>
      </c>
    </row>
    <row r="136" spans="1:3" x14ac:dyDescent="0.3">
      <c r="A136">
        <v>135</v>
      </c>
      <c r="B136" t="s">
        <v>300</v>
      </c>
      <c r="C136" t="s">
        <v>301</v>
      </c>
    </row>
    <row r="137" spans="1:3" x14ac:dyDescent="0.3">
      <c r="A137">
        <v>136</v>
      </c>
      <c r="B137" t="s">
        <v>302</v>
      </c>
      <c r="C137" t="s">
        <v>303</v>
      </c>
    </row>
    <row r="138" spans="1:3" x14ac:dyDescent="0.3">
      <c r="A138">
        <v>137</v>
      </c>
      <c r="B138" t="s">
        <v>304</v>
      </c>
      <c r="C138" t="s">
        <v>305</v>
      </c>
    </row>
    <row r="139" spans="1:3" x14ac:dyDescent="0.3">
      <c r="A139">
        <v>138</v>
      </c>
      <c r="B139" t="s">
        <v>310</v>
      </c>
      <c r="C139" t="s">
        <v>311</v>
      </c>
    </row>
    <row r="140" spans="1:3" x14ac:dyDescent="0.3">
      <c r="A140">
        <v>139</v>
      </c>
      <c r="B140" t="s">
        <v>312</v>
      </c>
      <c r="C140" t="s">
        <v>313</v>
      </c>
    </row>
    <row r="141" spans="1:3" x14ac:dyDescent="0.3">
      <c r="A141">
        <v>140</v>
      </c>
      <c r="B141" t="s">
        <v>314</v>
      </c>
      <c r="C141" t="s">
        <v>315</v>
      </c>
    </row>
    <row r="142" spans="1:3" x14ac:dyDescent="0.3">
      <c r="A142">
        <v>141</v>
      </c>
      <c r="B142" t="s">
        <v>321</v>
      </c>
      <c r="C142" t="s">
        <v>322</v>
      </c>
    </row>
    <row r="143" spans="1:3" x14ac:dyDescent="0.3">
      <c r="A143">
        <v>142</v>
      </c>
      <c r="B143" t="s">
        <v>320</v>
      </c>
      <c r="C143" t="s">
        <v>323</v>
      </c>
    </row>
    <row r="144" spans="1:3" x14ac:dyDescent="0.3">
      <c r="A144">
        <v>143</v>
      </c>
      <c r="B144" t="s">
        <v>326</v>
      </c>
      <c r="C144" t="s">
        <v>327</v>
      </c>
    </row>
    <row r="145" spans="1:3" x14ac:dyDescent="0.3">
      <c r="A145">
        <v>144</v>
      </c>
      <c r="B145" t="s">
        <v>328</v>
      </c>
      <c r="C145" t="s">
        <v>329</v>
      </c>
    </row>
    <row r="146" spans="1:3" x14ac:dyDescent="0.3">
      <c r="A146">
        <v>145</v>
      </c>
      <c r="B146" t="s">
        <v>330</v>
      </c>
      <c r="C146" t="s">
        <v>331</v>
      </c>
    </row>
    <row r="147" spans="1:3" x14ac:dyDescent="0.3">
      <c r="A147">
        <v>146</v>
      </c>
      <c r="B147" t="s">
        <v>332</v>
      </c>
      <c r="C147" t="s">
        <v>333</v>
      </c>
    </row>
    <row r="148" spans="1:3" x14ac:dyDescent="0.3">
      <c r="A148">
        <v>147</v>
      </c>
      <c r="B148" t="s">
        <v>337</v>
      </c>
      <c r="C148" t="s">
        <v>338</v>
      </c>
    </row>
    <row r="149" spans="1:3" x14ac:dyDescent="0.3">
      <c r="A149">
        <v>148</v>
      </c>
      <c r="B149" t="s">
        <v>339</v>
      </c>
      <c r="C149" t="s">
        <v>340</v>
      </c>
    </row>
    <row r="150" spans="1:3" x14ac:dyDescent="0.3">
      <c r="A150">
        <v>149</v>
      </c>
      <c r="B150" t="s">
        <v>341</v>
      </c>
      <c r="C150" t="s">
        <v>342</v>
      </c>
    </row>
    <row r="151" spans="1:3" x14ac:dyDescent="0.3">
      <c r="A151">
        <v>150</v>
      </c>
      <c r="B151" t="s">
        <v>343</v>
      </c>
      <c r="C151" t="s">
        <v>344</v>
      </c>
    </row>
    <row r="152" spans="1:3" x14ac:dyDescent="0.3">
      <c r="A152">
        <v>151</v>
      </c>
      <c r="B152" t="s">
        <v>345</v>
      </c>
      <c r="C152" t="s">
        <v>346</v>
      </c>
    </row>
    <row r="153" spans="1:3" x14ac:dyDescent="0.3">
      <c r="A153">
        <v>152</v>
      </c>
      <c r="B153" t="s">
        <v>347</v>
      </c>
      <c r="C153" t="s">
        <v>348</v>
      </c>
    </row>
    <row r="154" spans="1:3" x14ac:dyDescent="0.3">
      <c r="A154">
        <v>153</v>
      </c>
      <c r="B154" t="s">
        <v>349</v>
      </c>
      <c r="C154" t="s">
        <v>350</v>
      </c>
    </row>
    <row r="155" spans="1:3" x14ac:dyDescent="0.3">
      <c r="A155">
        <v>154</v>
      </c>
      <c r="B155" t="s">
        <v>351</v>
      </c>
      <c r="C155" t="s">
        <v>352</v>
      </c>
    </row>
    <row r="156" spans="1:3" x14ac:dyDescent="0.3">
      <c r="A156">
        <v>155</v>
      </c>
      <c r="B156" t="s">
        <v>353</v>
      </c>
      <c r="C156" t="s">
        <v>354</v>
      </c>
    </row>
    <row r="157" spans="1:3" x14ac:dyDescent="0.3">
      <c r="A157">
        <v>156</v>
      </c>
      <c r="B157" t="s">
        <v>355</v>
      </c>
      <c r="C157" t="s">
        <v>356</v>
      </c>
    </row>
    <row r="158" spans="1:3" x14ac:dyDescent="0.3">
      <c r="A158">
        <v>157</v>
      </c>
      <c r="B158" t="s">
        <v>359</v>
      </c>
      <c r="C158" t="s">
        <v>364</v>
      </c>
    </row>
    <row r="159" spans="1:3" x14ac:dyDescent="0.3">
      <c r="A159">
        <v>158</v>
      </c>
      <c r="B159" t="s">
        <v>360</v>
      </c>
      <c r="C159" t="s">
        <v>361</v>
      </c>
    </row>
    <row r="160" spans="1:3" x14ac:dyDescent="0.3">
      <c r="A160">
        <v>159</v>
      </c>
      <c r="B160" t="s">
        <v>367</v>
      </c>
      <c r="C160" t="s">
        <v>368</v>
      </c>
    </row>
    <row r="161" spans="1:3" x14ac:dyDescent="0.3">
      <c r="A161">
        <v>160</v>
      </c>
      <c r="B161" t="s">
        <v>369</v>
      </c>
      <c r="C161" t="s">
        <v>370</v>
      </c>
    </row>
    <row r="162" spans="1:3" x14ac:dyDescent="0.3">
      <c r="A162">
        <v>161</v>
      </c>
      <c r="B162" t="s">
        <v>366</v>
      </c>
      <c r="C162" t="s">
        <v>371</v>
      </c>
    </row>
    <row r="163" spans="1:3" x14ac:dyDescent="0.3">
      <c r="A163">
        <v>162</v>
      </c>
      <c r="B163" t="s">
        <v>372</v>
      </c>
      <c r="C163" t="s">
        <v>373</v>
      </c>
    </row>
    <row r="164" spans="1:3" x14ac:dyDescent="0.3">
      <c r="A164">
        <v>163</v>
      </c>
      <c r="B164" t="s">
        <v>365</v>
      </c>
      <c r="C164" t="s">
        <v>374</v>
      </c>
    </row>
    <row r="165" spans="1:3" x14ac:dyDescent="0.3">
      <c r="A165">
        <v>164</v>
      </c>
      <c r="B165" t="s">
        <v>378</v>
      </c>
      <c r="C165" t="s">
        <v>379</v>
      </c>
    </row>
    <row r="166" spans="1:3" x14ac:dyDescent="0.3">
      <c r="A166">
        <v>165</v>
      </c>
      <c r="B166" t="s">
        <v>380</v>
      </c>
      <c r="C166" t="s">
        <v>381</v>
      </c>
    </row>
    <row r="167" spans="1:3" x14ac:dyDescent="0.3">
      <c r="A167">
        <v>166</v>
      </c>
      <c r="B167" t="s">
        <v>382</v>
      </c>
      <c r="C167" t="s">
        <v>383</v>
      </c>
    </row>
    <row r="168" spans="1:3" x14ac:dyDescent="0.3">
      <c r="A168">
        <v>167</v>
      </c>
      <c r="B168" t="s">
        <v>384</v>
      </c>
      <c r="C168" t="s">
        <v>385</v>
      </c>
    </row>
    <row r="169" spans="1:3" x14ac:dyDescent="0.3">
      <c r="A169">
        <v>168</v>
      </c>
      <c r="B169" t="s">
        <v>377</v>
      </c>
      <c r="C169" t="s">
        <v>386</v>
      </c>
    </row>
    <row r="170" spans="1:3" x14ac:dyDescent="0.3">
      <c r="A170">
        <v>169</v>
      </c>
      <c r="B170" t="s">
        <v>387</v>
      </c>
      <c r="C170" t="s">
        <v>388</v>
      </c>
    </row>
    <row r="171" spans="1:3" x14ac:dyDescent="0.3">
      <c r="A171">
        <v>170</v>
      </c>
      <c r="B171" t="s">
        <v>389</v>
      </c>
      <c r="C171" t="s">
        <v>390</v>
      </c>
    </row>
    <row r="172" spans="1:3" x14ac:dyDescent="0.3">
      <c r="A172">
        <v>171</v>
      </c>
      <c r="B172" t="s">
        <v>376</v>
      </c>
      <c r="C172" t="s">
        <v>391</v>
      </c>
    </row>
    <row r="173" spans="1:3" x14ac:dyDescent="0.3">
      <c r="A173">
        <v>172</v>
      </c>
      <c r="B173" t="s">
        <v>393</v>
      </c>
      <c r="C173" t="s">
        <v>394</v>
      </c>
    </row>
    <row r="174" spans="1:3" x14ac:dyDescent="0.3">
      <c r="A174">
        <v>173</v>
      </c>
      <c r="B174" t="s">
        <v>395</v>
      </c>
      <c r="C174" t="s">
        <v>396</v>
      </c>
    </row>
    <row r="175" spans="1:3" x14ac:dyDescent="0.3">
      <c r="A175">
        <v>174</v>
      </c>
      <c r="B175" t="s">
        <v>397</v>
      </c>
      <c r="C175" t="s">
        <v>398</v>
      </c>
    </row>
    <row r="176" spans="1:3" x14ac:dyDescent="0.3">
      <c r="A176">
        <v>175</v>
      </c>
      <c r="B176" t="s">
        <v>399</v>
      </c>
      <c r="C176" t="s">
        <v>400</v>
      </c>
    </row>
    <row r="177" spans="1:3" x14ac:dyDescent="0.3">
      <c r="A177">
        <v>176</v>
      </c>
      <c r="B177" t="s">
        <v>401</v>
      </c>
      <c r="C177" t="s">
        <v>402</v>
      </c>
    </row>
    <row r="178" spans="1:3" x14ac:dyDescent="0.3">
      <c r="A178">
        <v>177</v>
      </c>
      <c r="B178" t="s">
        <v>403</v>
      </c>
      <c r="C178" t="s">
        <v>249</v>
      </c>
    </row>
    <row r="179" spans="1:3" x14ac:dyDescent="0.3">
      <c r="A179">
        <v>178</v>
      </c>
      <c r="B179" t="s">
        <v>404</v>
      </c>
      <c r="C179" t="s">
        <v>436</v>
      </c>
    </row>
    <row r="180" spans="1:3" x14ac:dyDescent="0.3">
      <c r="A180">
        <v>179</v>
      </c>
      <c r="B180" t="s">
        <v>405</v>
      </c>
      <c r="C180" t="s">
        <v>406</v>
      </c>
    </row>
    <row r="181" spans="1:3" x14ac:dyDescent="0.3">
      <c r="A181">
        <v>180</v>
      </c>
      <c r="B181" t="s">
        <v>407</v>
      </c>
      <c r="C181" t="s">
        <v>408</v>
      </c>
    </row>
    <row r="182" spans="1:3" x14ac:dyDescent="0.3">
      <c r="A182">
        <v>181</v>
      </c>
      <c r="B182" t="s">
        <v>409</v>
      </c>
      <c r="C182" t="s">
        <v>410</v>
      </c>
    </row>
    <row r="183" spans="1:3" x14ac:dyDescent="0.3">
      <c r="A183">
        <v>182</v>
      </c>
      <c r="B183" t="s">
        <v>392</v>
      </c>
      <c r="C183" t="s">
        <v>411</v>
      </c>
    </row>
    <row r="184" spans="1:3" x14ac:dyDescent="0.3">
      <c r="A184">
        <v>183</v>
      </c>
      <c r="B184" t="s">
        <v>412</v>
      </c>
      <c r="C184" t="s">
        <v>413</v>
      </c>
    </row>
    <row r="185" spans="1:3" x14ac:dyDescent="0.3">
      <c r="A185">
        <v>184</v>
      </c>
      <c r="B185" t="s">
        <v>414</v>
      </c>
      <c r="C185" t="s">
        <v>415</v>
      </c>
    </row>
    <row r="186" spans="1:3" x14ac:dyDescent="0.3">
      <c r="A186">
        <v>185</v>
      </c>
      <c r="B186" t="s">
        <v>417</v>
      </c>
      <c r="C186" t="s">
        <v>418</v>
      </c>
    </row>
    <row r="187" spans="1:3" x14ac:dyDescent="0.3">
      <c r="A187">
        <v>186</v>
      </c>
      <c r="B187" t="s">
        <v>419</v>
      </c>
      <c r="C187" t="s">
        <v>420</v>
      </c>
    </row>
    <row r="188" spans="1:3" x14ac:dyDescent="0.3">
      <c r="A188">
        <v>187</v>
      </c>
      <c r="B188" t="s">
        <v>421</v>
      </c>
      <c r="C188" t="s">
        <v>422</v>
      </c>
    </row>
    <row r="189" spans="1:3" x14ac:dyDescent="0.3">
      <c r="A189">
        <v>188</v>
      </c>
      <c r="B189" t="s">
        <v>423</v>
      </c>
      <c r="C189" t="s">
        <v>424</v>
      </c>
    </row>
    <row r="190" spans="1:3" x14ac:dyDescent="0.3">
      <c r="A190">
        <v>189</v>
      </c>
      <c r="B190" t="s">
        <v>416</v>
      </c>
      <c r="C190" t="s">
        <v>425</v>
      </c>
    </row>
    <row r="191" spans="1:3" x14ac:dyDescent="0.3">
      <c r="A191">
        <v>190</v>
      </c>
      <c r="B191" t="s">
        <v>426</v>
      </c>
      <c r="C191" t="s">
        <v>427</v>
      </c>
    </row>
    <row r="192" spans="1:3" x14ac:dyDescent="0.3">
      <c r="A192">
        <v>191</v>
      </c>
      <c r="B192" t="s">
        <v>437</v>
      </c>
      <c r="C192" t="s">
        <v>438</v>
      </c>
    </row>
    <row r="193" spans="1:3" x14ac:dyDescent="0.3">
      <c r="A193">
        <v>192</v>
      </c>
      <c r="B193" t="s">
        <v>439</v>
      </c>
      <c r="C193" t="s">
        <v>440</v>
      </c>
    </row>
    <row r="194" spans="1:3" x14ac:dyDescent="0.3">
      <c r="A194">
        <v>193</v>
      </c>
      <c r="B194" t="s">
        <v>441</v>
      </c>
      <c r="C194" t="s">
        <v>442</v>
      </c>
    </row>
    <row r="195" spans="1:3" x14ac:dyDescent="0.3">
      <c r="A195">
        <v>194</v>
      </c>
      <c r="B195" t="s">
        <v>444</v>
      </c>
      <c r="C195" t="s">
        <v>443</v>
      </c>
    </row>
    <row r="196" spans="1:3" x14ac:dyDescent="0.3">
      <c r="A196">
        <v>195</v>
      </c>
      <c r="B196" t="s">
        <v>445</v>
      </c>
      <c r="C196" t="s">
        <v>446</v>
      </c>
    </row>
    <row r="197" spans="1:3" x14ac:dyDescent="0.3">
      <c r="A197">
        <v>196</v>
      </c>
      <c r="B197" t="s">
        <v>448</v>
      </c>
      <c r="C197" t="s">
        <v>447</v>
      </c>
    </row>
    <row r="198" spans="1:3" x14ac:dyDescent="0.3">
      <c r="A198">
        <v>197</v>
      </c>
      <c r="B198" t="s">
        <v>449</v>
      </c>
      <c r="C198" t="s">
        <v>450</v>
      </c>
    </row>
    <row r="199" spans="1:3" x14ac:dyDescent="0.3">
      <c r="A199">
        <v>198</v>
      </c>
      <c r="B199" t="s">
        <v>453</v>
      </c>
      <c r="C199" t="s">
        <v>454</v>
      </c>
    </row>
    <row r="200" spans="1:3" x14ac:dyDescent="0.3">
      <c r="A200">
        <v>199</v>
      </c>
      <c r="B200" t="s">
        <v>455</v>
      </c>
      <c r="C200" t="s">
        <v>456</v>
      </c>
    </row>
    <row r="201" spans="1:3" x14ac:dyDescent="0.3">
      <c r="A201">
        <v>200</v>
      </c>
      <c r="B201" t="s">
        <v>457</v>
      </c>
      <c r="C201" t="s">
        <v>458</v>
      </c>
    </row>
    <row r="202" spans="1:3" x14ac:dyDescent="0.3">
      <c r="A202">
        <v>201</v>
      </c>
      <c r="B202" t="s">
        <v>461</v>
      </c>
      <c r="C202" t="s">
        <v>462</v>
      </c>
    </row>
    <row r="203" spans="1:3" x14ac:dyDescent="0.3">
      <c r="A203">
        <v>202</v>
      </c>
      <c r="B203" t="s">
        <v>463</v>
      </c>
      <c r="C203" t="s">
        <v>464</v>
      </c>
    </row>
    <row r="204" spans="1:3" x14ac:dyDescent="0.3">
      <c r="A204">
        <v>203</v>
      </c>
      <c r="B204" t="s">
        <v>466</v>
      </c>
      <c r="C204" t="s">
        <v>467</v>
      </c>
    </row>
    <row r="205" spans="1:3" x14ac:dyDescent="0.3">
      <c r="A205">
        <v>204</v>
      </c>
      <c r="B205" t="s">
        <v>468</v>
      </c>
      <c r="C205" t="s">
        <v>469</v>
      </c>
    </row>
    <row r="206" spans="1:3" x14ac:dyDescent="0.3">
      <c r="A206">
        <v>205</v>
      </c>
      <c r="B206" t="s">
        <v>472</v>
      </c>
      <c r="C206" t="s">
        <v>473</v>
      </c>
    </row>
    <row r="207" spans="1:3" x14ac:dyDescent="0.3">
      <c r="A207">
        <v>206</v>
      </c>
      <c r="B207" t="s">
        <v>476</v>
      </c>
      <c r="C207" t="s">
        <v>477</v>
      </c>
    </row>
    <row r="208" spans="1:3" x14ac:dyDescent="0.3">
      <c r="A208">
        <v>207</v>
      </c>
      <c r="B208" t="s">
        <v>479</v>
      </c>
      <c r="C208" t="s">
        <v>478</v>
      </c>
    </row>
    <row r="209" spans="1:3" x14ac:dyDescent="0.3">
      <c r="A209">
        <v>208</v>
      </c>
      <c r="B209" t="s">
        <v>465</v>
      </c>
      <c r="C209" t="s">
        <v>482</v>
      </c>
    </row>
    <row r="210" spans="1:3" x14ac:dyDescent="0.3">
      <c r="A210">
        <v>209</v>
      </c>
      <c r="B210" t="s">
        <v>483</v>
      </c>
      <c r="C210" t="s">
        <v>484</v>
      </c>
    </row>
    <row r="211" spans="1:3" x14ac:dyDescent="0.3">
      <c r="A211">
        <v>210</v>
      </c>
      <c r="B211" t="s">
        <v>496</v>
      </c>
      <c r="C211" t="s">
        <v>497</v>
      </c>
    </row>
    <row r="212" spans="1:3" x14ac:dyDescent="0.3">
      <c r="A212">
        <v>211</v>
      </c>
      <c r="B212" t="s">
        <v>491</v>
      </c>
      <c r="C212" t="s">
        <v>500</v>
      </c>
    </row>
    <row r="213" spans="1:3" x14ac:dyDescent="0.3">
      <c r="A213">
        <v>212</v>
      </c>
      <c r="B213" t="s">
        <v>498</v>
      </c>
      <c r="C213" t="s">
        <v>499</v>
      </c>
    </row>
    <row r="214" spans="1:3" x14ac:dyDescent="0.3">
      <c r="A214">
        <v>213</v>
      </c>
      <c r="B214" t="s">
        <v>510</v>
      </c>
      <c r="C214" t="s">
        <v>511</v>
      </c>
    </row>
    <row r="215" spans="1:3" x14ac:dyDescent="0.3">
      <c r="A215">
        <v>214</v>
      </c>
      <c r="B215" t="s">
        <v>524</v>
      </c>
      <c r="C215" t="s">
        <v>525</v>
      </c>
    </row>
    <row r="216" spans="1:3" x14ac:dyDescent="0.3">
      <c r="A216">
        <v>215</v>
      </c>
      <c r="B216" t="s">
        <v>528</v>
      </c>
      <c r="C216" t="s">
        <v>529</v>
      </c>
    </row>
    <row r="217" spans="1:3" x14ac:dyDescent="0.3">
      <c r="A217">
        <v>216</v>
      </c>
      <c r="B217" t="s">
        <v>532</v>
      </c>
      <c r="C217" t="s">
        <v>531</v>
      </c>
    </row>
    <row r="218" spans="1:3" x14ac:dyDescent="0.3">
      <c r="A218">
        <v>217</v>
      </c>
      <c r="B218" t="s">
        <v>533</v>
      </c>
      <c r="C218" t="s">
        <v>534</v>
      </c>
    </row>
    <row r="219" spans="1:3" x14ac:dyDescent="0.3">
      <c r="A219">
        <v>218</v>
      </c>
      <c r="B219" t="s">
        <v>537</v>
      </c>
      <c r="C219" t="s">
        <v>538</v>
      </c>
    </row>
    <row r="220" spans="1:3" x14ac:dyDescent="0.3">
      <c r="A220">
        <v>219</v>
      </c>
      <c r="B220" t="s">
        <v>539</v>
      </c>
      <c r="C220" t="s">
        <v>540</v>
      </c>
    </row>
    <row r="221" spans="1:3" x14ac:dyDescent="0.3">
      <c r="A221">
        <v>220</v>
      </c>
      <c r="B221" t="s">
        <v>541</v>
      </c>
      <c r="C221" t="s">
        <v>542</v>
      </c>
    </row>
    <row r="222" spans="1:3" x14ac:dyDescent="0.3">
      <c r="A222">
        <v>221</v>
      </c>
      <c r="B222" t="s">
        <v>543</v>
      </c>
      <c r="C222" t="s">
        <v>544</v>
      </c>
    </row>
    <row r="223" spans="1:3" x14ac:dyDescent="0.3">
      <c r="A223">
        <v>222</v>
      </c>
      <c r="B223" t="s">
        <v>568</v>
      </c>
      <c r="C223" t="s">
        <v>569</v>
      </c>
    </row>
    <row r="224" spans="1:3" x14ac:dyDescent="0.3">
      <c r="A224">
        <v>223</v>
      </c>
      <c r="B224" t="s">
        <v>586</v>
      </c>
      <c r="C224" t="s">
        <v>587</v>
      </c>
    </row>
    <row r="225" spans="1:3" x14ac:dyDescent="0.3">
      <c r="A225">
        <v>224</v>
      </c>
      <c r="B225" t="s">
        <v>588</v>
      </c>
      <c r="C225" t="s">
        <v>596</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Y4"/>
  <sheetViews>
    <sheetView topLeftCell="B1" zoomScale="80" zoomScaleNormal="80" workbookViewId="0">
      <selection activeCell="I22" sqref="I22"/>
    </sheetView>
  </sheetViews>
  <sheetFormatPr defaultRowHeight="14.4" x14ac:dyDescent="0.3"/>
  <cols>
    <col min="1" max="1" width="3.5546875" bestFit="1" customWidth="1"/>
    <col min="2" max="2" width="10.109375" bestFit="1" customWidth="1"/>
    <col min="3" max="3" width="10.44140625" bestFit="1" customWidth="1"/>
    <col min="4" max="4" width="20.109375" bestFit="1" customWidth="1"/>
    <col min="5" max="5" width="14.109375" bestFit="1" customWidth="1"/>
    <col min="6" max="6" width="12.33203125" bestFit="1" customWidth="1"/>
    <col min="7" max="7" width="15.33203125" bestFit="1" customWidth="1"/>
    <col min="8" max="8" width="10.5546875" customWidth="1"/>
    <col min="9" max="9" width="12.33203125" customWidth="1"/>
    <col min="10" max="10" width="7.6640625" customWidth="1"/>
    <col min="11" max="12" width="8.33203125" customWidth="1"/>
    <col min="13" max="13" width="9.33203125" bestFit="1" customWidth="1"/>
    <col min="14" max="14" width="6.5546875" bestFit="1" customWidth="1"/>
    <col min="15" max="15" width="4.88671875" bestFit="1" customWidth="1"/>
    <col min="16" max="16" width="16.5546875" bestFit="1" customWidth="1"/>
    <col min="18" max="18" width="13.44140625" bestFit="1" customWidth="1"/>
    <col min="19" max="19" width="10.33203125" bestFit="1" customWidth="1"/>
  </cols>
  <sheetData>
    <row r="1" spans="1:25" ht="15" thickBot="1" x14ac:dyDescent="0.35">
      <c r="A1" s="1" t="s">
        <v>6</v>
      </c>
      <c r="B1" s="1" t="s">
        <v>1</v>
      </c>
      <c r="C1" s="1" t="s">
        <v>2</v>
      </c>
      <c r="D1" s="1" t="s">
        <v>3</v>
      </c>
      <c r="E1" s="1" t="s">
        <v>4</v>
      </c>
      <c r="F1" s="1" t="s">
        <v>5</v>
      </c>
      <c r="G1" s="2" t="s">
        <v>7</v>
      </c>
      <c r="H1" s="2" t="s">
        <v>505</v>
      </c>
      <c r="I1" s="2" t="s">
        <v>506</v>
      </c>
      <c r="J1" s="2" t="s">
        <v>507</v>
      </c>
      <c r="K1" s="2" t="s">
        <v>508</v>
      </c>
      <c r="L1" s="3" t="s">
        <v>8</v>
      </c>
      <c r="M1" s="3" t="s">
        <v>9</v>
      </c>
      <c r="N1" s="3" t="s">
        <v>10</v>
      </c>
      <c r="O1" s="3" t="s">
        <v>11</v>
      </c>
      <c r="P1" s="3" t="s">
        <v>12</v>
      </c>
      <c r="Q1" s="22" t="s">
        <v>276</v>
      </c>
      <c r="R1" s="21" t="s">
        <v>276</v>
      </c>
      <c r="S1" s="20" t="s">
        <v>277</v>
      </c>
      <c r="X1" s="16" t="s">
        <v>227</v>
      </c>
      <c r="Y1" s="19" t="s">
        <v>572</v>
      </c>
    </row>
    <row r="2" spans="1:25" x14ac:dyDescent="0.3">
      <c r="A2">
        <v>3</v>
      </c>
      <c r="B2">
        <v>382049</v>
      </c>
      <c r="C2" t="s">
        <v>578</v>
      </c>
      <c r="D2" t="s">
        <v>577</v>
      </c>
      <c r="E2" t="s">
        <v>580</v>
      </c>
      <c r="F2" t="s">
        <v>580</v>
      </c>
      <c r="G2" t="s">
        <v>576</v>
      </c>
      <c r="H2" t="s">
        <v>575</v>
      </c>
      <c r="I2">
        <v>396763</v>
      </c>
      <c r="J2" t="s">
        <v>579</v>
      </c>
      <c r="K2" t="s">
        <v>530</v>
      </c>
      <c r="L2" t="s">
        <v>596</v>
      </c>
      <c r="M2" t="s">
        <v>597</v>
      </c>
      <c r="O2" s="43" t="s">
        <v>581</v>
      </c>
      <c r="P2" s="43" t="s">
        <v>574</v>
      </c>
      <c r="Q2" t="s">
        <v>278</v>
      </c>
    </row>
    <row r="3" spans="1:25" x14ac:dyDescent="0.3">
      <c r="A3">
        <v>4</v>
      </c>
      <c r="B3">
        <v>377605</v>
      </c>
      <c r="C3" t="s">
        <v>578</v>
      </c>
      <c r="D3" t="s">
        <v>535</v>
      </c>
      <c r="E3" s="51" t="s">
        <v>580</v>
      </c>
      <c r="F3" t="s">
        <v>580</v>
      </c>
      <c r="G3" t="s">
        <v>576</v>
      </c>
      <c r="H3" t="s">
        <v>582</v>
      </c>
      <c r="I3">
        <v>396763</v>
      </c>
      <c r="J3" t="s">
        <v>579</v>
      </c>
      <c r="K3" t="s">
        <v>530</v>
      </c>
      <c r="L3" t="s">
        <v>596</v>
      </c>
      <c r="M3" t="s">
        <v>598</v>
      </c>
      <c r="O3" s="43" t="s">
        <v>581</v>
      </c>
      <c r="P3" s="43" t="s">
        <v>574</v>
      </c>
      <c r="Q3" t="s">
        <v>278</v>
      </c>
    </row>
    <row r="4" spans="1:25" x14ac:dyDescent="0.3">
      <c r="A4">
        <v>5</v>
      </c>
      <c r="B4">
        <v>217160</v>
      </c>
      <c r="C4" t="s">
        <v>578</v>
      </c>
      <c r="D4" t="s">
        <v>584</v>
      </c>
      <c r="E4" t="s">
        <v>580</v>
      </c>
      <c r="F4" t="s">
        <v>580</v>
      </c>
      <c r="G4" t="s">
        <v>576</v>
      </c>
      <c r="H4" t="s">
        <v>583</v>
      </c>
      <c r="I4">
        <v>396763</v>
      </c>
      <c r="J4" t="s">
        <v>579</v>
      </c>
      <c r="K4" t="s">
        <v>530</v>
      </c>
      <c r="L4" t="s">
        <v>596</v>
      </c>
      <c r="M4" t="s">
        <v>599</v>
      </c>
      <c r="O4" s="43" t="s">
        <v>581</v>
      </c>
      <c r="P4" s="43" t="s">
        <v>574</v>
      </c>
      <c r="Q4" t="s">
        <v>278</v>
      </c>
    </row>
  </sheetData>
  <sortState ref="A2:P44">
    <sortCondition ref="G1"/>
  </sortState>
  <dataValidations count="2">
    <dataValidation type="list" allowBlank="1" showInputMessage="1" showErrorMessage="1" sqref="Y1">
      <formula1>"Работа,Дом"</formula1>
    </dataValidation>
    <dataValidation type="list" allowBlank="1" showInputMessage="1" showErrorMessage="1" sqref="S1">
      <formula1>"Максим,Курко,Нанопласт,ВСЕ"</formula1>
    </dataValidation>
  </dataValidations>
  <hyperlinks>
    <hyperlink ref="E3" r:id="rId1"/>
  </hyperlinks>
  <pageMargins left="0.7" right="0.7" top="0.75" bottom="0.75" header="0.3" footer="0.3"/>
  <pageSetup paperSize="9" orientation="portrait" horizontalDpi="4294967295" verticalDpi="4294967295" r:id="rId2"/>
  <drawing r:id="rId3"/>
  <legacyDrawing r:id="rId4"/>
  <mc:AlternateContent xmlns:mc="http://schemas.openxmlformats.org/markup-compatibility/2006">
    <mc:Choice Requires="x14">
      <controls>
        <mc:AlternateContent xmlns:mc="http://schemas.openxmlformats.org/markup-compatibility/2006">
          <mc:Choice Requires="x14">
            <control shapeId="8193" r:id="rId5" name="Button 1">
              <controlPr defaultSize="0" print="0" autoFill="0" autoPict="0" macro="[0]!Get_New_Isue">
                <anchor moveWithCells="1" sizeWithCells="1">
                  <from>
                    <xdr:col>19</xdr:col>
                    <xdr:colOff>137160</xdr:colOff>
                    <xdr:row>0</xdr:row>
                    <xdr:rowOff>0</xdr:rowOff>
                  </from>
                  <to>
                    <xdr:col>22</xdr:col>
                    <xdr:colOff>228600</xdr:colOff>
                    <xdr:row>0</xdr:row>
                    <xdr:rowOff>182880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0"/>
  <dimension ref="A1:V12"/>
  <sheetViews>
    <sheetView tabSelected="1" zoomScale="70" zoomScaleNormal="70" workbookViewId="0">
      <selection activeCell="I28" sqref="I28"/>
    </sheetView>
  </sheetViews>
  <sheetFormatPr defaultRowHeight="14.4" x14ac:dyDescent="0.3"/>
  <cols>
    <col min="1" max="1" width="11.44140625" customWidth="1"/>
    <col min="3" max="3" width="15.5546875" bestFit="1" customWidth="1"/>
    <col min="4" max="4" width="22.33203125" bestFit="1" customWidth="1"/>
    <col min="5" max="5" width="16.44140625" bestFit="1" customWidth="1"/>
    <col min="7" max="7" width="16.44140625" bestFit="1" customWidth="1"/>
    <col min="9" max="9" width="13.33203125" bestFit="1" customWidth="1"/>
    <col min="12" max="12" width="10.44140625" customWidth="1"/>
    <col min="16" max="16" width="13.6640625" bestFit="1" customWidth="1"/>
    <col min="21" max="21" width="9.5546875" customWidth="1"/>
  </cols>
  <sheetData>
    <row r="1" spans="1:22" ht="32.25" customHeight="1" thickBot="1" x14ac:dyDescent="0.35">
      <c r="A1" s="49"/>
      <c r="B1" s="49"/>
      <c r="C1" s="40" t="s">
        <v>135</v>
      </c>
      <c r="D1" s="7"/>
      <c r="H1" s="45" t="s">
        <v>567</v>
      </c>
      <c r="L1" s="8" t="s">
        <v>136</v>
      </c>
    </row>
    <row r="2" spans="1:22" ht="29.4" thickBot="1" x14ac:dyDescent="0.35">
      <c r="A2" s="50"/>
      <c r="B2" s="50"/>
      <c r="C2" s="25">
        <f>COUNTA(A:A)</f>
        <v>10</v>
      </c>
      <c r="D2" s="26" t="s">
        <v>276</v>
      </c>
      <c r="E2" s="27" t="s">
        <v>3</v>
      </c>
      <c r="F2" s="28" t="s">
        <v>512</v>
      </c>
      <c r="G2" s="29" t="s">
        <v>513</v>
      </c>
      <c r="H2" s="30" t="s">
        <v>514</v>
      </c>
      <c r="I2" s="31" t="s">
        <v>515</v>
      </c>
      <c r="J2" s="32" t="s">
        <v>516</v>
      </c>
      <c r="K2" s="33"/>
      <c r="L2" s="34" t="s">
        <v>517</v>
      </c>
      <c r="M2" s="33"/>
      <c r="N2" s="35" t="s">
        <v>518</v>
      </c>
      <c r="O2" s="33"/>
      <c r="P2" s="36" t="s">
        <v>519</v>
      </c>
      <c r="Q2" s="33"/>
      <c r="R2" s="37" t="s">
        <v>520</v>
      </c>
      <c r="S2" s="33"/>
      <c r="T2" s="27" t="s">
        <v>521</v>
      </c>
      <c r="U2" s="38" t="s">
        <v>522</v>
      </c>
      <c r="V2" s="39" t="s">
        <v>523</v>
      </c>
    </row>
    <row r="3" spans="1:22" x14ac:dyDescent="0.3">
      <c r="A3">
        <v>382049</v>
      </c>
      <c r="C3" t="s">
        <v>578</v>
      </c>
      <c r="D3" t="s">
        <v>278</v>
      </c>
      <c r="E3" t="s">
        <v>593</v>
      </c>
      <c r="G3" t="s">
        <v>576</v>
      </c>
      <c r="H3">
        <v>396763</v>
      </c>
      <c r="L3" s="41" t="s">
        <v>607</v>
      </c>
      <c r="R3" t="s">
        <v>606</v>
      </c>
      <c r="T3" s="52" t="s">
        <v>608</v>
      </c>
      <c r="U3" t="s">
        <v>527</v>
      </c>
      <c r="V3" t="s">
        <v>570</v>
      </c>
    </row>
    <row r="4" spans="1:22" x14ac:dyDescent="0.3">
      <c r="A4" t="s">
        <v>601</v>
      </c>
      <c r="F4" s="41" t="s">
        <v>602</v>
      </c>
      <c r="G4">
        <v>9005</v>
      </c>
      <c r="H4" s="41" t="s">
        <v>603</v>
      </c>
      <c r="I4">
        <v>5643</v>
      </c>
      <c r="J4" s="41" t="s">
        <v>604</v>
      </c>
      <c r="K4">
        <v>994</v>
      </c>
      <c r="L4" s="41" t="s">
        <v>606</v>
      </c>
      <c r="N4" s="41" t="s">
        <v>605</v>
      </c>
      <c r="P4" s="41">
        <v>82.8</v>
      </c>
    </row>
    <row r="5" spans="1:22" x14ac:dyDescent="0.3">
      <c r="A5">
        <v>377605</v>
      </c>
      <c r="C5" t="s">
        <v>578</v>
      </c>
      <c r="D5" t="s">
        <v>278</v>
      </c>
      <c r="E5" t="s">
        <v>224</v>
      </c>
      <c r="G5" t="s">
        <v>576</v>
      </c>
      <c r="H5">
        <v>396763</v>
      </c>
      <c r="L5" s="41" t="s">
        <v>614</v>
      </c>
      <c r="R5" t="s">
        <v>606</v>
      </c>
      <c r="T5" s="52" t="s">
        <v>615</v>
      </c>
      <c r="U5" t="s">
        <v>527</v>
      </c>
      <c r="V5" t="s">
        <v>570</v>
      </c>
    </row>
    <row r="6" spans="1:22" x14ac:dyDescent="0.3">
      <c r="A6" t="s">
        <v>609</v>
      </c>
      <c r="F6" s="41" t="s">
        <v>591</v>
      </c>
      <c r="G6" t="s">
        <v>591</v>
      </c>
    </row>
    <row r="7" spans="1:22" x14ac:dyDescent="0.3">
      <c r="A7" t="s">
        <v>600</v>
      </c>
      <c r="F7" s="41" t="s">
        <v>610</v>
      </c>
      <c r="G7">
        <v>19790</v>
      </c>
      <c r="H7" s="41" t="s">
        <v>611</v>
      </c>
      <c r="I7">
        <v>8674</v>
      </c>
      <c r="J7" s="41" t="s">
        <v>612</v>
      </c>
      <c r="K7">
        <v>1000</v>
      </c>
      <c r="L7" s="41" t="s">
        <v>606</v>
      </c>
      <c r="N7" s="41" t="s">
        <v>613</v>
      </c>
      <c r="P7" s="41">
        <v>89.9</v>
      </c>
    </row>
    <row r="8" spans="1:22" x14ac:dyDescent="0.3">
      <c r="A8">
        <v>217160</v>
      </c>
      <c r="C8" t="s">
        <v>578</v>
      </c>
      <c r="D8" t="s">
        <v>278</v>
      </c>
      <c r="E8" t="s">
        <v>594</v>
      </c>
      <c r="G8" t="s">
        <v>576</v>
      </c>
      <c r="H8">
        <v>396763</v>
      </c>
      <c r="L8" s="41" t="s">
        <v>627</v>
      </c>
      <c r="R8" t="s">
        <v>606</v>
      </c>
      <c r="T8" s="52" t="s">
        <v>628</v>
      </c>
      <c r="U8" t="s">
        <v>527</v>
      </c>
      <c r="V8" t="s">
        <v>570</v>
      </c>
    </row>
    <row r="9" spans="1:22" ht="15" customHeight="1" x14ac:dyDescent="0.3">
      <c r="A9" t="s">
        <v>601</v>
      </c>
      <c r="F9" t="s">
        <v>590</v>
      </c>
    </row>
    <row r="10" spans="1:22" x14ac:dyDescent="0.3">
      <c r="A10" t="s">
        <v>600</v>
      </c>
      <c r="F10" t="s">
        <v>590</v>
      </c>
    </row>
    <row r="11" spans="1:22" x14ac:dyDescent="0.3">
      <c r="A11" t="s">
        <v>616</v>
      </c>
      <c r="F11" s="41" t="s">
        <v>617</v>
      </c>
      <c r="G11">
        <v>12366</v>
      </c>
      <c r="H11" s="41" t="s">
        <v>618</v>
      </c>
      <c r="I11">
        <v>3455</v>
      </c>
      <c r="J11" s="41" t="s">
        <v>619</v>
      </c>
      <c r="K11">
        <v>992</v>
      </c>
      <c r="L11" s="41" t="s">
        <v>620</v>
      </c>
      <c r="N11" s="41" t="s">
        <v>621</v>
      </c>
      <c r="P11" s="41">
        <v>5.7</v>
      </c>
    </row>
    <row r="12" spans="1:22" x14ac:dyDescent="0.3">
      <c r="A12" t="s">
        <v>622</v>
      </c>
      <c r="F12" s="41" t="s">
        <v>623</v>
      </c>
      <c r="G12">
        <v>18412</v>
      </c>
      <c r="H12" s="41" t="s">
        <v>624</v>
      </c>
      <c r="I12">
        <v>10556</v>
      </c>
      <c r="J12" s="41" t="s">
        <v>625</v>
      </c>
      <c r="K12">
        <v>956</v>
      </c>
      <c r="L12" s="41" t="s">
        <v>606</v>
      </c>
      <c r="N12" s="41" t="s">
        <v>626</v>
      </c>
      <c r="P12" s="41">
        <v>74.400000000000006</v>
      </c>
    </row>
  </sheetData>
  <mergeCells count="2">
    <mergeCell ref="A1:B1"/>
    <mergeCell ref="A2:B2"/>
  </mergeCells>
  <dataValidations count="4">
    <dataValidation type="list" allowBlank="1" showInputMessage="1" showErrorMessage="1" sqref="A2:B2">
      <formula1>"YES,NO"</formula1>
    </dataValidation>
    <dataValidation type="list" allowBlank="1" showInputMessage="1" showErrorMessage="1" sqref="U3">
      <formula1>"OK,NeOK,Отложить"</formula1>
    </dataValidation>
    <dataValidation type="list" allowBlank="1" showInputMessage="1" showErrorMessage="1" sqref="U5">
      <formula1>"OK,NeOK,Отложить"</formula1>
    </dataValidation>
    <dataValidation type="list" allowBlank="1" showInputMessage="1" showErrorMessage="1" sqref="U8">
      <formula1>"OK,NeOK,Отложить"</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forloadlinks">
                <anchor moveWithCells="1" sizeWithCells="1">
                  <from>
                    <xdr:col>4</xdr:col>
                    <xdr:colOff>7620</xdr:colOff>
                    <xdr:row>0</xdr:row>
                    <xdr:rowOff>0</xdr:rowOff>
                  </from>
                  <to>
                    <xdr:col>7</xdr:col>
                    <xdr:colOff>76200</xdr:colOff>
                    <xdr:row>0</xdr:row>
                    <xdr:rowOff>342900</xdr:rowOff>
                  </to>
                </anchor>
              </controlPr>
            </control>
          </mc:Choice>
        </mc:AlternateContent>
        <mc:AlternateContent xmlns:mc="http://schemas.openxmlformats.org/markup-compatibility/2006">
          <mc:Choice Requires="x14">
            <control shapeId="16386" r:id="rId5" name="Button 4">
              <controlPr defaultSize="0" print="0" autoFill="0" autoPict="0" macro="[0]!CloseIsue">
                <anchor moveWithCells="1" sizeWithCells="1">
                  <from>
                    <xdr:col>13</xdr:col>
                    <xdr:colOff>121920</xdr:colOff>
                    <xdr:row>0</xdr:row>
                    <xdr:rowOff>0</xdr:rowOff>
                  </from>
                  <to>
                    <xdr:col>15</xdr:col>
                    <xdr:colOff>716280</xdr:colOff>
                    <xdr:row>0</xdr:row>
                    <xdr:rowOff>342900</xdr:rowOff>
                  </to>
                </anchor>
              </controlPr>
            </control>
          </mc:Choice>
        </mc:AlternateContent>
        <mc:AlternateContent xmlns:mc="http://schemas.openxmlformats.org/markup-compatibility/2006">
          <mc:Choice Requires="x14">
            <control shapeId="16387" r:id="rId6" name="Button 3">
              <controlPr defaultSize="0" print="0" autoFill="0" autoPict="0" macro="[0]!forloadlinks">
                <anchor moveWithCells="1" sizeWithCells="1">
                  <from>
                    <xdr:col>4</xdr:col>
                    <xdr:colOff>7620</xdr:colOff>
                    <xdr:row>0</xdr:row>
                    <xdr:rowOff>0</xdr:rowOff>
                  </from>
                  <to>
                    <xdr:col>7</xdr:col>
                    <xdr:colOff>76200</xdr:colOff>
                    <xdr:row>0</xdr:row>
                    <xdr:rowOff>342900</xdr:rowOff>
                  </to>
                </anchor>
              </controlPr>
            </control>
          </mc:Choice>
        </mc:AlternateContent>
        <mc:AlternateContent xmlns:mc="http://schemas.openxmlformats.org/markup-compatibility/2006">
          <mc:Choice Requires="x14">
            <control shapeId="16388" r:id="rId7" name="Button 4">
              <controlPr defaultSize="0" print="0" autoFill="0" autoPict="0" macro="[0]!CloseIsue">
                <anchor moveWithCells="1" sizeWithCells="1">
                  <from>
                    <xdr:col>13</xdr:col>
                    <xdr:colOff>121920</xdr:colOff>
                    <xdr:row>0</xdr:row>
                    <xdr:rowOff>0</xdr:rowOff>
                  </from>
                  <to>
                    <xdr:col>15</xdr:col>
                    <xdr:colOff>716280</xdr:colOff>
                    <xdr:row>0</xdr:row>
                    <xdr:rowOff>342900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1"/>
  <dimension ref="A1:D60"/>
  <sheetViews>
    <sheetView topLeftCell="A38" workbookViewId="0">
      <selection activeCell="M56" sqref="M56"/>
    </sheetView>
  </sheetViews>
  <sheetFormatPr defaultRowHeight="14.4" x14ac:dyDescent="0.3"/>
  <cols>
    <col min="2" max="2" width="14.5546875" bestFit="1" customWidth="1"/>
    <col min="4" max="4" width="24.44140625" bestFit="1" customWidth="1"/>
  </cols>
  <sheetData>
    <row r="1" spans="1:4" ht="15" thickBot="1" x14ac:dyDescent="0.35">
      <c r="A1" s="10">
        <f>COUNTA(A2:A94)</f>
        <v>9</v>
      </c>
      <c r="B1" s="11" t="s">
        <v>137</v>
      </c>
      <c r="C1" s="12">
        <f>COUNTA(C2:C94)</f>
        <v>59</v>
      </c>
      <c r="D1" s="13" t="s">
        <v>138</v>
      </c>
    </row>
    <row r="2" spans="1:4" x14ac:dyDescent="0.3">
      <c r="A2" s="9" t="s">
        <v>139</v>
      </c>
      <c r="B2" s="14"/>
      <c r="C2" t="s">
        <v>112</v>
      </c>
    </row>
    <row r="3" spans="1:4" x14ac:dyDescent="0.3">
      <c r="A3" s="9" t="s">
        <v>140</v>
      </c>
      <c r="B3" s="14"/>
      <c r="C3" t="s">
        <v>141</v>
      </c>
    </row>
    <row r="4" spans="1:4" x14ac:dyDescent="0.3">
      <c r="A4" s="9" t="s">
        <v>142</v>
      </c>
      <c r="B4" s="14"/>
      <c r="C4" t="s">
        <v>143</v>
      </c>
    </row>
    <row r="5" spans="1:4" x14ac:dyDescent="0.3">
      <c r="A5" s="15" t="s">
        <v>144</v>
      </c>
      <c r="B5" s="14"/>
      <c r="C5" t="s">
        <v>145</v>
      </c>
    </row>
    <row r="6" spans="1:4" x14ac:dyDescent="0.3">
      <c r="A6" s="15" t="s">
        <v>146</v>
      </c>
      <c r="B6" s="14"/>
      <c r="C6" t="s">
        <v>147</v>
      </c>
    </row>
    <row r="7" spans="1:4" x14ac:dyDescent="0.3">
      <c r="A7" t="s">
        <v>148</v>
      </c>
      <c r="B7" s="14"/>
      <c r="C7" t="s">
        <v>149</v>
      </c>
    </row>
    <row r="8" spans="1:4" x14ac:dyDescent="0.3">
      <c r="A8" t="s">
        <v>150</v>
      </c>
      <c r="B8" s="14"/>
      <c r="C8" s="9" t="s">
        <v>151</v>
      </c>
    </row>
    <row r="9" spans="1:4" x14ac:dyDescent="0.3">
      <c r="A9" t="s">
        <v>152</v>
      </c>
      <c r="B9" s="14"/>
      <c r="C9" t="s">
        <v>153</v>
      </c>
    </row>
    <row r="10" spans="1:4" x14ac:dyDescent="0.3">
      <c r="A10" t="s">
        <v>154</v>
      </c>
      <c r="B10" s="14"/>
      <c r="C10" t="s">
        <v>155</v>
      </c>
    </row>
    <row r="11" spans="1:4" x14ac:dyDescent="0.3">
      <c r="B11" s="14"/>
      <c r="C11" t="s">
        <v>156</v>
      </c>
    </row>
    <row r="12" spans="1:4" x14ac:dyDescent="0.3">
      <c r="B12" s="14"/>
      <c r="C12" t="s">
        <v>157</v>
      </c>
    </row>
    <row r="13" spans="1:4" x14ac:dyDescent="0.3">
      <c r="B13" s="14"/>
      <c r="C13" t="s">
        <v>158</v>
      </c>
    </row>
    <row r="14" spans="1:4" x14ac:dyDescent="0.3">
      <c r="B14" s="14"/>
      <c r="C14" t="s">
        <v>159</v>
      </c>
    </row>
    <row r="15" spans="1:4" x14ac:dyDescent="0.3">
      <c r="B15" s="14"/>
      <c r="C15" t="s">
        <v>160</v>
      </c>
    </row>
    <row r="16" spans="1:4" x14ac:dyDescent="0.3">
      <c r="B16" s="14"/>
      <c r="C16" t="s">
        <v>15</v>
      </c>
    </row>
    <row r="17" spans="2:3" x14ac:dyDescent="0.3">
      <c r="B17" s="14"/>
      <c r="C17" t="s">
        <v>161</v>
      </c>
    </row>
    <row r="18" spans="2:3" x14ac:dyDescent="0.3">
      <c r="C18" t="s">
        <v>148</v>
      </c>
    </row>
    <row r="19" spans="2:3" x14ac:dyDescent="0.3">
      <c r="C19" t="s">
        <v>162</v>
      </c>
    </row>
    <row r="20" spans="2:3" x14ac:dyDescent="0.3">
      <c r="C20" t="s">
        <v>163</v>
      </c>
    </row>
    <row r="21" spans="2:3" x14ac:dyDescent="0.3">
      <c r="C21" t="s">
        <v>164</v>
      </c>
    </row>
    <row r="22" spans="2:3" x14ac:dyDescent="0.3">
      <c r="C22" t="s">
        <v>165</v>
      </c>
    </row>
    <row r="23" spans="2:3" x14ac:dyDescent="0.3">
      <c r="C23" t="s">
        <v>147</v>
      </c>
    </row>
    <row r="24" spans="2:3" x14ac:dyDescent="0.3">
      <c r="C24" t="s">
        <v>166</v>
      </c>
    </row>
    <row r="25" spans="2:3" x14ac:dyDescent="0.3">
      <c r="C25" t="s">
        <v>167</v>
      </c>
    </row>
    <row r="26" spans="2:3" x14ac:dyDescent="0.3">
      <c r="C26" t="s">
        <v>168</v>
      </c>
    </row>
    <row r="27" spans="2:3" x14ac:dyDescent="0.3">
      <c r="C27" t="s">
        <v>169</v>
      </c>
    </row>
    <row r="28" spans="2:3" x14ac:dyDescent="0.3">
      <c r="C28" t="s">
        <v>170</v>
      </c>
    </row>
    <row r="29" spans="2:3" x14ac:dyDescent="0.3">
      <c r="C29" t="s">
        <v>171</v>
      </c>
    </row>
    <row r="30" spans="2:3" x14ac:dyDescent="0.3">
      <c r="C30" t="s">
        <v>172</v>
      </c>
    </row>
    <row r="31" spans="2:3" x14ac:dyDescent="0.3">
      <c r="C31" t="s">
        <v>173</v>
      </c>
    </row>
    <row r="32" spans="2:3" x14ac:dyDescent="0.3">
      <c r="C32" t="s">
        <v>174</v>
      </c>
    </row>
    <row r="33" spans="3:3" x14ac:dyDescent="0.3">
      <c r="C33" t="s">
        <v>175</v>
      </c>
    </row>
    <row r="34" spans="3:3" x14ac:dyDescent="0.3">
      <c r="C34" t="s">
        <v>176</v>
      </c>
    </row>
    <row r="35" spans="3:3" x14ac:dyDescent="0.3">
      <c r="C35" t="s">
        <v>177</v>
      </c>
    </row>
    <row r="36" spans="3:3" x14ac:dyDescent="0.3">
      <c r="C36" t="s">
        <v>178</v>
      </c>
    </row>
    <row r="37" spans="3:3" x14ac:dyDescent="0.3">
      <c r="C37" t="s">
        <v>179</v>
      </c>
    </row>
    <row r="38" spans="3:3" x14ac:dyDescent="0.3">
      <c r="C38" t="s">
        <v>195</v>
      </c>
    </row>
    <row r="39" spans="3:3" x14ac:dyDescent="0.3">
      <c r="C39" t="s">
        <v>198</v>
      </c>
    </row>
    <row r="40" spans="3:3" x14ac:dyDescent="0.3">
      <c r="C40" t="s">
        <v>296</v>
      </c>
    </row>
    <row r="41" spans="3:3" x14ac:dyDescent="0.3">
      <c r="C41" t="s">
        <v>297</v>
      </c>
    </row>
    <row r="42" spans="3:3" x14ac:dyDescent="0.3">
      <c r="C42" t="s">
        <v>307</v>
      </c>
    </row>
    <row r="43" spans="3:3" x14ac:dyDescent="0.3">
      <c r="C43" t="s">
        <v>308</v>
      </c>
    </row>
    <row r="44" spans="3:3" x14ac:dyDescent="0.3">
      <c r="C44" t="s">
        <v>309</v>
      </c>
    </row>
    <row r="45" spans="3:3" x14ac:dyDescent="0.3">
      <c r="C45" t="s">
        <v>334</v>
      </c>
    </row>
    <row r="46" spans="3:3" x14ac:dyDescent="0.3">
      <c r="C46" t="s">
        <v>335</v>
      </c>
    </row>
    <row r="47" spans="3:3" x14ac:dyDescent="0.3">
      <c r="C47" t="s">
        <v>336</v>
      </c>
    </row>
    <row r="48" spans="3:3" x14ac:dyDescent="0.3">
      <c r="C48" t="s">
        <v>375</v>
      </c>
    </row>
    <row r="49" spans="3:3" x14ac:dyDescent="0.3">
      <c r="C49" t="s">
        <v>428</v>
      </c>
    </row>
    <row r="50" spans="3:3" x14ac:dyDescent="0.3">
      <c r="C50" t="s">
        <v>429</v>
      </c>
    </row>
    <row r="51" spans="3:3" x14ac:dyDescent="0.3">
      <c r="C51" t="s">
        <v>430</v>
      </c>
    </row>
    <row r="52" spans="3:3" x14ac:dyDescent="0.3">
      <c r="C52" t="s">
        <v>431</v>
      </c>
    </row>
    <row r="53" spans="3:3" x14ac:dyDescent="0.3">
      <c r="C53" t="s">
        <v>433</v>
      </c>
    </row>
    <row r="54" spans="3:3" x14ac:dyDescent="0.3">
      <c r="C54" t="s">
        <v>485</v>
      </c>
    </row>
    <row r="55" spans="3:3" x14ac:dyDescent="0.3">
      <c r="C55" t="s">
        <v>486</v>
      </c>
    </row>
    <row r="56" spans="3:3" x14ac:dyDescent="0.3">
      <c r="C56" t="s">
        <v>487</v>
      </c>
    </row>
    <row r="57" spans="3:3" x14ac:dyDescent="0.3">
      <c r="C57" t="s">
        <v>488</v>
      </c>
    </row>
    <row r="58" spans="3:3" x14ac:dyDescent="0.3">
      <c r="C58" t="s">
        <v>489</v>
      </c>
    </row>
    <row r="59" spans="3:3" x14ac:dyDescent="0.3">
      <c r="C59" t="s">
        <v>490</v>
      </c>
    </row>
    <row r="60" spans="3:3" x14ac:dyDescent="0.3">
      <c r="C60" t="s">
        <v>526</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39E6A0D-EC97-4F4E-9514-9EFA2E2D405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Лист2</vt:lpstr>
      <vt:lpstr>BufferList</vt:lpstr>
      <vt:lpstr>Авторизация</vt:lpstr>
      <vt:lpstr>Ключи</vt:lpstr>
      <vt:lpstr>Список</vt:lpstr>
      <vt:lpstr>Обработка</vt:lpstr>
      <vt:lpstr>Исключения</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Виталик</dc:creator>
  <cp:lastModifiedBy>Черняхівський Віталій Анатолійович</cp:lastModifiedBy>
  <dcterms:created xsi:type="dcterms:W3CDTF">2017-11-24T19:54:25Z</dcterms:created>
  <dcterms:modified xsi:type="dcterms:W3CDTF">2018-02-09T11:17:00Z</dcterms:modified>
</cp:coreProperties>
</file>