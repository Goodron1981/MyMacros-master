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ЦяКнига"/>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3040" windowHeight="9060" tabRatio="767"/>
  </bookViews>
  <sheets>
    <sheet name="Лист2" sheetId="7" r:id="rId1"/>
    <sheet name="BufferList" sheetId="10" state="hidden" r:id="rId2"/>
    <sheet name="Авторизация_PR" sheetId="5" r:id="rId3"/>
    <sheet name="Ключи" sheetId="9" r:id="rId4"/>
    <sheet name="Список" sheetId="6" r:id="rId5"/>
    <sheet name="Обработка" sheetId="11" r:id="rId6"/>
    <sheet name="Исключения" sheetId="12" r:id="rId7"/>
  </sheets>
  <functionGroups builtInGroupCount="18"/>
  <definedNames>
    <definedName name="_xlnm._FilterDatabase" localSheetId="6" hidden="1">Исключения!$C$1:$C$25</definedName>
    <definedName name="_xlnm._FilterDatabase" localSheetId="5" hidden="1">Обработка!$T$1:$T$75</definedName>
    <definedName name="_xlnm._FilterDatabase" localSheetId="4" hidden="1">Список!$H$1:$H$1</definedName>
    <definedName name="api_pr.sape.ru" localSheetId="0">Лист2!#REF!</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 i="12" l="1"/>
  <c r="A1" i="12"/>
  <c r="C2" i="11" l="1"/>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<sst xmlns="http://schemas.openxmlformats.org/spreadsheetml/2006/main" count="341" uniqueCount="289">
  <si>
    <t>Cookies</t>
  </si>
  <si>
    <t>link</t>
  </si>
  <si>
    <t>archive</t>
  </si>
  <si>
    <t>review</t>
  </si>
  <si>
    <t>news</t>
  </si>
  <si>
    <t>ссылка в новости</t>
  </si>
  <si>
    <t>статья</t>
  </si>
  <si>
    <t>обзор</t>
  </si>
  <si>
    <t>ссылка в архиве</t>
  </si>
  <si>
    <t>от 1000 символов с учетом пробелов</t>
  </si>
  <si>
    <t>в ленте новостей</t>
  </si>
  <si>
    <t>в уже готовой статье указнной оптимизатором</t>
  </si>
  <si>
    <t>от 2000 символов с учетом пробелов</t>
  </si>
  <si>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</si>
  <si>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</si>
  <si>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</si>
  <si>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</si>
  <si>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</si>
  <si>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</si>
  <si>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</si>
  <si>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</si>
  <si>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</si>
  <si>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Анкор</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</si>
  <si>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</si>
  <si>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</si>
  <si>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</si>
  <si>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</si>
  <si>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</si>
  <si>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</si>
  <si>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</si>
  <si>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</si>
  <si>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</si>
  <si>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</si>
  <si>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</si>
  <si>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</si>
  <si>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</si>
  <si>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</si>
  <si>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</si>
  <si>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Как орендовать недвижимость.</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</si>
  <si>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</si>
  <si>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</si>
  <si>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</si>
  <si>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</si>
  <si>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</si>
  <si>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</si>
  <si>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</si>
  <si>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</si>
  <si>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</si>
  <si>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</si>
  <si>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</si>
  <si>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</si>
  <si>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</si>
  <si>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</si>
  <si>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</si>
  <si>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</si>
  <si>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</si>
  <si>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</si>
  <si>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</si>
  <si>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</si>
  <si>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</si>
  <si>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</si>
  <si>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</si>
  <si>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</si>
  <si>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</si>
  <si>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</si>
  <si>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</si>
  <si>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</si>
  <si>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</si>
  <si>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</si>
  <si>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</si>
  <si>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</si>
  <si>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</si>
  <si>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</si>
  <si>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</si>
  <si>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</si>
  <si>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</si>
  <si>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</si>
  <si>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</si>
  <si>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</si>
  <si>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</si>
  <si>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</si>
  <si>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</si>
  <si>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</si>
  <si>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</si>
  <si>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</si>
  <si>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</si>
  <si>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</si>
  <si>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</si>
  <si>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</si>
  <si>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</si>
  <si>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</si>
  <si>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</si>
  <si>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шин</t>
  </si>
  <si>
    <t>Как выбрать шины для автомобиля.</t>
  </si>
  <si>
    <t>сайт</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</si>
  <si>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</si>
  <si>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</si>
  <si>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</si>
  <si>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</si>
  <si>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</si>
  <si>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</si>
  <si>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</si>
  <si>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</si>
  <si>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</si>
  <si>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</si>
  <si>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</si>
  <si>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</si>
  <si>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</si>
  <si>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</si>
  <si>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</si>
  <si>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</si>
  <si>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</si>
  <si>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</si>
  <si>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</si>
  <si>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</si>
  <si>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Виды оборудования для медучтереждений.</t>
  </si>
  <si>
    <t>Где применяются электрические генераторы.</t>
  </si>
  <si>
    <t>PR=e07e38cba1eed2510d65ba13639149c8:4257d371afe68a2d22a3b0ed378c6c9915617694; path=/</t>
  </si>
  <si>
    <t>плать</t>
  </si>
  <si>
    <t>Модные платья этого сезона.</t>
  </si>
  <si>
    <t>чугун</t>
  </si>
  <si>
    <t>Прочность изделий из чугуна.</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</si>
  <si>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</si>
  <si>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</si>
  <si>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</si>
  <si>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</si>
  <si>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</si>
  <si>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</si>
  <si>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</si>
  <si>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</si>
  <si>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</si>
  <si>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</si>
  <si>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</si>
  <si>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Как открыть компанию за границей.</t>
  </si>
  <si>
    <t>ресторан</t>
  </si>
  <si>
    <t>Как подобрать ресторан.</t>
  </si>
  <si>
    <t>гинеколог</t>
  </si>
  <si>
    <t>Распостраненные женские болезни.</t>
  </si>
  <si>
    <t>Нужны ли прививки.</t>
  </si>
  <si>
    <t>приви</t>
  </si>
  <si>
    <t>холтер</t>
  </si>
  <si>
    <t>Что такое экг по холтеру.</t>
  </si>
  <si>
    <t>crm</t>
  </si>
  <si>
    <t>Как взаимодействовать с клиентами.</t>
  </si>
  <si>
    <t>путевк</t>
  </si>
  <si>
    <t>Как недорого выбрать тур.</t>
  </si>
  <si>
    <t>Чем уголь выгоднее.</t>
  </si>
  <si>
    <t>угл</t>
  </si>
  <si>
    <t>amway</t>
  </si>
  <si>
    <t>Как побдобрать себе косметику.</t>
  </si>
  <si>
    <t>терминал</t>
  </si>
  <si>
    <t>Как расчитаться картой в магазине.</t>
  </si>
  <si>
    <t>роды</t>
  </si>
  <si>
    <t>отопление</t>
  </si>
  <si>
    <t>Чем обогревать свой дом.</t>
  </si>
  <si>
    <t>Proxy</t>
  </si>
  <si>
    <t>Кол. Строк</t>
  </si>
  <si>
    <t>Конечный текст</t>
  </si>
  <si>
    <t>YES</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</si>
  <si>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</si>
  <si>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</si>
  <si>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</si>
  <si>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</si>
  <si>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</si>
  <si>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</si>
  <si>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</si>
  <si>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</si>
  <si>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</si>
  <si>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</si>
  <si>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</si>
  <si>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</si>
  <si>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</si>
  <si>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</si>
  <si>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</si>
  <si>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</si>
  <si>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</si>
  <si>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</si>
  <si>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</si>
  <si>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</si>
  <si>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</si>
  <si>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</si>
  <si>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</si>
  <si>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</si>
  <si>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</si>
  <si>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</si>
  <si>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</si>
  <si>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</si>
  <si>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</si>
  <si>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</si>
  <si>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</si>
  <si>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</si>
  <si>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</si>
  <si>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</si>
  <si>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</si>
  <si>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</si>
  <si>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</si>
  <si>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</si>
  <si>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</si>
  <si>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</si>
  <si>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</si>
  <si>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</si>
  <si>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</si>
  <si>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</si>
  <si>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</si>
  <si>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</si>
  <si>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</si>
  <si>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</si>
  <si>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</si>
  <si>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</si>
  <si>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</si>
  <si>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</si>
  <si>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</si>
  <si>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Small Text</t>
  </si>
  <si>
    <t>ощадбанк</t>
  </si>
  <si>
    <t>сбербанк</t>
  </si>
  <si>
    <t>NoK</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</si>
  <si>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</si>
  <si>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</si>
  <si>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</si>
  <si>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</si>
  <si>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</si>
  <si>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</si>
  <si>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</si>
  <si>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</si>
  <si>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</si>
  <si>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</si>
  <si>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</si>
  <si>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</si>
  <si>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</si>
  <si>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</si>
  <si>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</si>
  <si>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</si>
  <si>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</si>
  <si>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</si>
  <si>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</si>
  <si>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</si>
  <si>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</si>
  <si>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</si>
  <si>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</si>
  <si>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</si>
  <si>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animan.kiev.ua</t>
  </si>
  <si>
    <t>gv.org.ua</t>
  </si>
  <si>
    <t>elit-a-a.com.ua</t>
  </si>
  <si>
    <t>books.openlib.org.ua</t>
  </si>
  <si>
    <t>webcapitalist.ru</t>
  </si>
  <si>
    <t>hdtv.net.ua</t>
  </si>
  <si>
    <t>interline.net.ua</t>
  </si>
  <si>
    <t>OK</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</si>
  <si>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</si>
  <si>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</si>
  <si>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</si>
  <si>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</si>
  <si>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</si>
  <si>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</si>
  <si>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</si>
  <si>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</si>
  <si>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</si>
  <si>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</si>
  <si>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</si>
  <si>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</si>
  <si>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</si>
  <si>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</si>
  <si>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</si>
  <si>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PR=6e2670f6ba53dca558a0c5f315fe332d:4d2d2f310566254d6639cfe44c2fdf9f0191d06e; path=/</t>
  </si>
  <si>
    <t>антикор</t>
  </si>
  <si>
    <t>Как защитить метал от ржавчины.</t>
  </si>
  <si>
    <t>текстил</t>
  </si>
  <si>
    <t>Используем текстиль в нашем доме.</t>
  </si>
  <si>
    <t>Обработано</t>
  </si>
  <si>
    <t>Не подключена к публикации.</t>
  </si>
  <si>
    <t>smartx.kiev.ua</t>
  </si>
  <si>
    <t>fledur.org.ua</t>
  </si>
  <si>
    <t>McAfee Web Gateway - Notification</t>
  </si>
  <si>
    <t>biscont.com.ua</t>
  </si>
  <si>
    <t>apples-web.org.ua</t>
  </si>
  <si>
    <t>http://born-in-hollywood.com/contacts/</t>
  </si>
  <si>
    <t>роды в калифорнии</t>
  </si>
  <si>
    <t>&lt;a href="http://born-in-hollywood.com/contacts/"&gt;роды в калифорнии&lt;/a&gt;</t>
  </si>
  <si>
    <t>Как женщине подготовится к родам.</t>
  </si>
  <si>
    <t>http://ovulation.org.ua/pict/1492718325.jpg</t>
  </si>
  <si>
    <t>http://mama.tomsk.ru/birth/pain/pain5.html</t>
  </si>
  <si>
    <t>http://www.mamamoldova.com/kak-psixologicheski-podgotovitsya-k-rodam/</t>
  </si>
  <si>
    <t xml:space="preserve"> _x000D_
Главная_x000D_
До рождения _x000D_
Беременность Подготовка к зачатию Роды _x000D_
Беременность _x000D_
Нужны ли все анализы и обследования во… _x000D_
Август 21, 2017_x000D_
Беременность _x000D_
Благотворительный фонд “Свет в руках” помогает всем,… _x000D_
Август 14, 2017_x000D_
Беременность _x000D_
Препараты железа во время беременности увеличивают риск… _x000D_
Июль 3, 2017_x000D_
Беременность _x000D_
Пить ли фолиевую кислоту во время беременности? _x000D_
Июнь 30, 2017_x000D_
Подготовка к зачатию _x000D_
ЭКО без прикрас _x000D_
Октябрь 16, 2017_x000D_
Подготовка к зачатию _x000D_
Что такое правка на зачатие и кому… _x000D_
Октябрь 9, 2017_x000D_
Подготовка к зачатию _x000D_
Мягкая эффективная рисовая чистка для беременных, кормящих… _x000D_
Март 27, 2017_x000D_
Подготовка к зачатию _x000D_
«Как я забеременела благодаря МРП» _x000D_
Январь 2, 2017_x000D_
Роды _x000D_
Кто такая доула, и зачем она нужна? _x000D_
Декабрь 27, 2017_x000D_
Роды _x000D_
Анхелина Мартинес Миранда: «Чаще всего роды в… _x000D_
Октябрь 2, 2017_x000D_
Роды _x000D_
Светлана Акимова: «Как женщина живёт, так она… _x000D_
Сентябрь 25, 2017_x000D_
Роды _x000D_
В Кишинёве пройдёт практический семинар «Мягкое рождение»… _x000D_
Сентябрь 4, 2017_x000D_
Растим малыша _x000D_
Забота о маме Здоровье ребёнка Мудрое воспитание Путешествия с ребёнком Развитие и обучение _x000D_
Забота о маме _x000D_
Три золотых правила здорового питания _x000D_
Октябрь 23, 2017_x000D_
Забота о маме _x000D_
Почему я не устала быть мамой _x000D_
Сентябрь 11, 2017_x000D_
Забота о маме _x000D_
Уникальный мини-курс «Секреты здоровья» в Кишинёве _x000D_
Август 7, 2017_x000D_
Забота о маме _x000D_
Вызовите консультанта! _x000D_
Март 13, 2017_x000D_
Здоровье ребёнка _x000D_
Давать ли новорожденному витамин D? _x000D_
Июль 10, 2017_x000D_
Здоровье ребёнка _x000D_
Ирина Гилёва: “Как я чуть не потеряла… _x000D_
Февраль 6, 2017_x000D_
Здоровье ребёнка _x000D_
Что делать, если у ребёнка высокая температура?… _x000D_
Январь 20, 2017_x000D_
Здоровье ребёнка _x000D_
Алёна Алексеёнок: «Прививки – абсолютное зло» _x000D_
Январь 16, 2017_x000D_
Мудрое воспитание _x000D_
В Кишинёве пройдёт уникальная конференция для родителей… _x000D_
Ноябрь 13, 2017_x000D_
Мудрое воспитание _x000D_
Жизнь слингомамы в картинках _x000D_
Декабрь 19, 2016_x000D_
Мудрое воспитание _x000D_
Как помочь беспризорным детям Кишинёва? Интервью с… _x000D_
Сентябрь 26, 2016_x000D_
Мудрое воспитание _x000D_
Воспитание детей от сердца _x000D_
Август 12, 2016_x000D_
Путешествия с ребёнком _x000D_
Три дня в Венеции с детьми _x000D_
Ноябрь 20, 2017_x000D_
Путешествия с ребёнком _x000D_
Барселона семейная. Инструкция для тех, кто путешествует… _x000D_
Апрель 28, 2017_x000D_
Путешествия с ребёнком _x000D_
Наташа и Саша Ивановы: с детьми автостопом… _x000D_
Февраль 27, 2017_x000D_
Путешествия с ребёнком _x000D_
Ехать ли с ребёнком на Сицилию? _x000D_
Ноябрь 9, 2016_x000D_
Развитие и обучение _x000D_
В Кишинёве открылся домашний детский сад Лены… _x000D_
Сентябрь 19, 2017_x000D_
Развитие и обучение _x000D_
Семейная Мягкая Школа: раскрываем потенциал ребёнка! _x000D_
Май 30, 2017_x000D_
Развитие и обучение _x000D_
Логопедические упражнения на каждый день: проще не… _x000D_
Январь 23, 2017_x000D_
Развитие и обучение _x000D_
Как маме развивать речь малыша с рождения… _x000D_
Январь 9, 2017_x000D_
Готовим детям _x000D_
Готовим детям _x000D_
Три золотых правила здорового питания _x000D_
Октябрь 23, 2017_x000D_
Готовим детям _x000D_
Полезная кунжутная халва для деток: делаем дома… _x000D_
Апрель 3, 2017_x000D_
Готовим детям _x000D_
Кокосовые блинчики _x000D_
Март 20, 2017_x000D_
Готовим детям _x000D_
Новогодний напиток _x000D_
Декабрь 29, 2016_x000D_
Готовим детям _x000D_
Бананово-лимонные кексы _x000D_
Декабрь 16, 2016_x000D_
Мамы Молдовы _x000D_
Мамы Молдовы _x000D_
Две мамы из Кишинёва шьют ЭКО одежду… _x000D_
Август 28, 2017_x000D_
Мамы Молдовы _x000D_
Анна Королецкая: «Каждый раз я рожаю вместе… _x000D_
Январь 30, 2017_x000D_
Мамы Молдовы _x000D_
Аня Селиванова о новом детском эко-садике в… _x000D_
Январь 6, 2017_x000D_
Мамы Молдовы _x000D_
Наталья Забудская: специалист по грудному вскармливанию в… _x000D_
Декабрь 26, 2016_x000D_
Мамы Молдовы _x000D_
Евгения Санкеева: “Хочется продолжить эстафету любви к… _x000D_
Июнь 17, 2016_x000D_
О блоге _x000D_
О блоге _x000D_
Как я в Амстердаме училась на доулу… _x000D_
Апрель 17, 2017_x000D_
О блоге _x000D_
Блог об осознанном родительстве _x000D_
Июль 9, 2014_x000D_
Контакты_x000D_
 _x000D_
блог об осознанном родительстве_x000D_
Главная_x000D_
До рождения _x000D_
Беременность Подготовка к зачатию Роды _x000D_
Беременность _x000D_
Нужны ли все анализы и обследования во… _x000D_
Август 21, 2017_x000D_
Беременность _x000D_
Благотворительный фонд “Свет в руках” помогает всем,… _x000D_
Август 14, 2017_x000D_
Беременность _x000D_
Препараты железа во время беременности увеличивают риск… _x000D_
Июль 3, 2017_x000D_
Беременность _x000D_
Пить ли фолиевую кислоту во время беременности? _x000D_
Июнь 30, 2017_x000D_
Подготовка к зачатию _x000D_
ЭКО без прикрас _x000D_
Октябрь 16, 2017_x000D_
Подготовка к зачатию _x000D_
Что такое правка на зачатие и кому… _x000D_
Октябрь 9, 2017_x000D_
Подготовка к зачатию _x000D_
Мягкая эффективная рисовая чистка для беременных, кормящих… _x000D_
Март 27, 2017_x000D_
Подготовка к зачатию _x000D_
«Как я забеременела благодаря МРП» _x000D_
Январь 2, 2017_x000D_
Роды _x000D_
Кто такая доула, и зачем она нужна? _x000D_
Декабрь 27, 2017_x000D_
Роды _x000D_
Анхелина Мартинес Миранда: «Чаще всего роды в… _x000D_
Октябрь 2, 2017_x000D_
Роды _x000D_
Светлана Акимова: «Как женщина живёт, так она… _x000D_
Сентябрь 25, 2017_x000D_
Роды _x000D_
В Кишинёве пройдёт практический семинар «Мягкое рождение»… _x000D_
Сентябрь 4, 2017_x000D_
Растим малыша _x000D_
Забота о маме Здоровье ребёнка Мудрое воспитание Путешествия с ребёнком Развитие и обучение _x000D_
Забота о маме _x000D_
Три золотых правила здорового питания _x000D_
Октябрь 23, 2017_x000D_
Забота о маме _x000D_
Почему я не устала быть мамой _x000D_
Сентябрь 11, 2017_x000D_
Забота о маме _x000D_
Уникальный мини-курс «Секреты здоровья» в Кишинёве _x000D_
Август 7, 2017_x000D_
Забота о маме _x000D_
Вызовите консультанта! _x000D_
Март 13, 2017_x000D_
Здоровье ребёнка _x000D_
Давать ли новорожденному витамин D? _x000D_
Июль 10, 2017_x000D_
Здоровье ребёнка _x000D_
Ирина Гилёва: “Как я чуть не потеряла… _x000D_
Февраль 6, 2017_x000D_
Здоровье ребёнка _x000D_
Что делать, если у ребёнка высокая температура?… _x000D_
Январь 20, 2017_x000D_
Здоровье ребёнка _x000D_
Алёна Алексеёнок: «Прививки – абсолютное зло» _x000D_
Январь 16, 2017_x000D_
Мудрое воспитание _x000D_
В Кишинёве пройдёт уникальная конференция для родителей… _x000D_
Ноябрь 13, 2017_x000D_
Мудрое воспитание _x000D_
Жизнь слингомамы в картинках _x000D_
Декабрь 19, 2016_x000D_
Мудрое воспитание _x000D_
Как помочь беспризорным детям Кишинёва? Интервью с… _x000D_
Сентябрь 26, 2016_x000D_
Мудрое воспитание _x000D_
Воспитание детей от сердца _x000D_
Август 12, 2016_x000D_
Путешествия с ребёнком _x000D_
Три дня в Венеции с детьми _x000D_
Ноябрь 20, 2017_x000D_
Путешествия с ребёнком _x000D_
Барселона семейная. Инструкция для тех, кто путешествует… _x000D_
Апрель 28, 2017_x000D_
Путешествия с ребёнком _x000D_
Наташа и Саша Ивановы: с детьми автостопом… _x000D_
Февраль 27, 2017_x000D_
Путешествия с ребёнком _x000D_
Ехать ли с ребёнком на Сицилию? _x000D_
Ноябрь 9, 2016_x000D_
Развитие и обучение _x000D_
В Кишинёве открылся домашний детский сад Лены… _x000D_
Сентябрь 19, 2017_x000D_
Развитие и обучение _x000D_
Семейная Мягкая Школа: раскрываем потенциал ребёнка! _x000D_
Май 30, 2017_x000D_
Развитие и обучение _x000D_
Логопедические упражнения на каждый день: проще не… _x000D_
Январь 23, 2017_x000D_
Развитие и обучение _x000D_
Как маме развивать речь малыша с рождения… _x000D_
Январь 9, 2017_x000D_
Готовим детям _x000D_
Готовим детям _x000D_
Три золотых правила здорового питания _x000D_
Октябрь 23, 2017_x000D_
Готовим детям _x000D_
Полезная кунжутная халва для деток: делаем дома… _x000D_
Апрель 3, 2017_x000D_
Готовим детям _x000D_
Кокосовые блинчики _x000D_
Март 20, 2017_x000D_
Готовим детям _x000D_
Новогодний напиток _x000D_
Декабрь 29, 2016_x000D_
Готовим детям _x000D_
Бананово-лимонные кексы _x000D_
Декабрь 16, 2016_x000D_
Мамы Молдовы _x000D_
Мамы Молдовы _x000D_
Две мамы из Кишинёва шьют ЭКО одежду… _x000D_
Август 28, 2017_x000D_
Мамы Молдовы _x000D_
Анна Королецкая: «Каждый раз я рожаю вместе… _x000D_
Январь 30, 2017_x000D_
Мамы Молдовы _x000D_
Аня Селиванова о новом детском эко-садике в… _x000D_
Январь 6, 2017_x000D_
Мамы Молдовы _x000D_
Наталья Забудская: специалист по грудному вскармливанию в… _x000D_
Декабрь 26, 2016_x000D_
Мамы Молдовы _x000D_
Евгения Санкеева: “Хочется продолжить эстафету любви к… _x000D_
Июнь 17, 2016_x000D_
О блоге _x000D_
О блоге _x000D_
Как я в Амстердаме училась на доулу… _x000D_
Апрель 17, 2017_x000D_
О блоге _x000D_
Блог об осознанном родительстве _x000D_
Июль 9, 2014_x000D_
Контакты_x000D_
 _x000D_
Роды_x000D_
Как психологически подготовиться к родам?_x000D_
Ноябрь 26, 2014 _x000D_
 _x000D_
Роды – самое прекрасное в жизни женщины событие, своего рода инициация, которая выводит нас на другой, новый уровень развития и сознания. Ощущения, которые мать испытывает в родах, могут и должны быть запоминающимися на всю жизнь, в лучшем смысле этого слова. Однако вокруг родов в современном мире очень много страхов и стереотипов, с малых лет девочек вольно или невольно «учат», что роды – это страшно, больно и опасно. Поэтому, подойдя к родам, беременная женщина (особенно первородящая), часто испытывает много тревог и опасений (и, к сожалению, из-за своего настроя, она зачастую всё это и получает в родах). Будущая мама боится, что испытает нестерпимо сильную боль, переживает за свою жизнь и жизнь малыша. Думаю, если Вы ожидаете появление крохи на свет, Вы меня понимаете._x000D_
Но я, как женщина, прошедшая через роды, могу Вам сказать: этот процесс может быть совсем другим, нежели нам описывают родственники, соседки и знакомые. Он может быть не таким уж болезненным и совсем не страшным. Говорят, что определённый процент женщин во время родов вообще испытывают оргазмические ощущения. Хотите, чтобы у Вас было так же? Хотите перестать бояться самого ответственного события в своей жизни? Вам лишь нужно психологически подготовиться к родам и настроиться на их самый благоприятный исход. Для этого не обязательно идти к психологу. Есть один простой и доступный всем женщинам мира способ, который наверняка рассеет многие Ваши страхи, связанные с родами. Я сама пользовалась им в своё время, и могу уверенно сказать: это работает._x000D_
Во-первых, я советую Вам побольше узнать о физиологии родов (именно физиологии, а не патологии, ибо природа сделала так, что у 95 процентов всех женщин роды должны быть именно физиологичными). Прочтите в умных книгах для здравомыслящих родителей о стадиях родов, их продолжительности и тех ощущениях, которые женщина может испытывать (а может и не испытывать) во время той или иной стадии. Когда Вы будете знать «врага» в лицо, он перестанет казаться Вам таким страшным, так как Вы будете по крайней мере понимать, чего от него ожидать._x000D_
Во-вторых, поверьте в то, что природа мудра и совершенна, что женское тело знает, как рожать ребёнка, что, если Вы освободите свой разум от всех своих страхов, тело сделает всю работу за Вас. Если в родах нет страхов – в родах нет напряжения, а значит, в родах не будет боли! Это закон, который очень подробно описывает в своей книге «Роды без страха» Грентли Дик-Рид. Доверьтесь не только природе, своему телу, но и своему ребёнку: верьте в то, что он пришёл к Вам, чтобы родиться живым и здоровым. Он также знает, как рождаться на этот свет. Доверяйте ему! Читайте как можно больше вдохновляющих историй естественных родов, чтобы сменить свой вектор из области негативного отношения к родам в сторону их принятия и счастливого, предвкушающего ожидания._x000D_
В-третьих, поработайте со своими страхами при помощи аффирмаций. Это очень мощная и эффективная техника. Это и есть тот метод, о котором я писала в самом начале. Составьте несколько простых предложений, написанных о Ваших будущих родах, как о свершившемся факте. Опишите всё, что для Вас важно. Например: «Я родила живого, здорового ребёнка. Я родила сама, роды прошли естественно и легко. Я чувствую себя хорошо. Мой малыш рядом со мной, он счастлив» (это лишь примерный текст, Вы лучше знаете, чего Вы хотите от Ваших родов). Пожалуйста, откажитесь от использования частицы «не» — употребляйте лишь утвердительные формы. Когда аффирмации готовы, начинайте их писать на бумаге, раз за разом: 10, 20, 30 раз подряд – пока не почувствуете, что Вам полегчало. Возьмите за правило каждый день писать эти аффирмации одинаковое число раз. Исписанные листы храните или сжигайте. Так позитивная, конструктивная информация из сознания переместится в подсознание, создавая там новую программу о Ваших предстоящих родах._x000D_
Лично мне аффирмации помогли невероятно! Только благодаря им я смогла подойти к рождению сына спокойной, гармоничной и уверенной в себе. Потому как у меня ещё с детства было убеждение (благодаря родителям, обществу и СМИ), что родить ребёнка – это почти то же самое, что пройти через огонь, воду и медные трубы._x000D_
Вот, пожалуй, и всё, чем я сегодня могу Вам помочь. Ваши роды обязательно будут прекрасными! Искренняя, безграничная вера – это то, что поможет Вам сделать их такими._x000D_
Как психологически подготовиться к родам? was last modified: Ноябрь 27th, 2014 by admin_x000D_
личный опытроды _x000D_
Предыдущая запись _x000D_
Секреты успевающих мам_x000D_
Следующая запись _x000D_
Мама Антонина из Кишинёва просит о помощи_x000D_
- всего комментариев_x000D_
Вам так же может быть интересно_x000D_
Светлана Акимова: «Как женщина живёт, так она..._x000D_
Сентябрь 25, 2017 _x000D_
Присутствие мужчин негативно влияет на естественные роды_x000D_
Май 11, 2015 _x000D_
Стоит ли стимулировать роды естественно, и к..._x000D_
Январь 13, 2017 _x000D_
Что делать, чтобы в родах не было..._x000D_
Апрель 24, 2017 _x000D_
Почему так важен контакт кожа-к-коже после родов,..._x000D_
Июнь 3, 2016 _x000D_
“Мои прекрасные роды”. История Лены_x000D_
Декабрь 3, 2014 _x000D_
Как в Молдове зарегистрировать ребёнка после домашних..._x000D_
Ноябрь 19, 2015 _x000D_
Искусственный окситоцин. Бомба замедленного действия_x000D_
Май 12, 2017 _x000D_
Рожать ли в воду?_x000D_
Май 8, 2017 _x000D_
Андрей Федореев: «Как я стал отцом»_x000D_
Февраль 11, 2017 _x000D_
Об авторе_x000D_
 _x000D_
Меня зовут Екатерина Микитенко. Я мама, сторонница естественных родов, журналист. В своём блоге я пишу об осознанном родительстве, здоровом образе жизни и необычных, творческих мамах Молдовы._x000D_
Мы в Facebook_x000D_
MamaMoldova_x000D_
_x000D_
Популярные записи_x000D_
Нужно ли маленьким мальчикам “открывать головку”, и в каком возрасте это лучше делать?_x000D_
Октябрь 2, 2014 _x000D_
Как снизить температуру у ребёнка без лекарств?_x000D_
Ноябрь 4, 2014 _x000D_
Правда ли, что нельзя стричь детей до года?_x000D_
Сентябрь 12, 2014 _x000D_
Почему нельзя сразу перерезать пуповину новорожденному ребёнку?_x000D_
Август 1, 2014 _x000D_
Домашний бездрожжевой хлеб за 30 минут_x000D_
Ноябрь 21, 2014 _x000D_
Почему рожать так больно?_x000D_
Апрель 19, 2015 _x000D_
Что подарить ребёнку в два года?_x000D_
Август 29, 2014 _x000D_
Как стимулировать роды естественно. Личный опыт_x000D_
Июль 9, 2014 _x000D_
10 советов беременным от супер-акушерки Валентины Острогляд_x000D_
Сентябрь 13, 2014 _x000D_
Как лечить трещины сосков?_x000D_
Июль 26, 2014 _x000D_
Архивы_x000D_
Архивы  Выберите месяц Декабрь 2017  (1) Ноябрь 2017  (2) Октябрь 2017  (4) Сентябрь 2017  (4) Август 2017  (4) Июль 2017  (4) Июнь 2017  (3) Май 2017  (7) Апрель 2017  (6) Март 2017  (4) Февраль 2017  (5) Январь 2017  (9) Декабрь 2016  (9) Ноябрь 2016  (6) Октябрь 2016  (5) Сентябрь 2016  (9) Август 2016  (8) Июль 2016  (6) Июнь 2016  (8) Май 2016  (9) Апрель 2016  (5) Март 2016  (12) Февраль 2016  (10) Январь 2016  (13) Декабрь 2015  (15) Ноябрь 2015  (6) Октябрь 2015  (7) Сентябрь 2015  (5) Август 2015  (4) Июль 2015  (6) Июнь 2015  (4) Май 2015  (9) Апрель 2015  (7) Март 2015  (8) Февраль 2015  (8) Январь 2015  (3) Декабрь 2014  (19) Ноябрь 2014  (20) Октябрь 2014  (24) Сентябрь 2014  (26) Август 2014  (27) Июль 2014  (29) _x000D_
Мы в Facebook_x000D_
MamaMoldova_x000D_
Свежие записи_x000D_
Кто такая доула, и зачем она нужна?_x000D_
Декабрь 27, 2017 _x000D_
Три дня в Венеции с детьми_x000D_
Ноябрь 20, 2017 _x000D_
В Кишинёве пройдёт уникальная конференция для родителей “MamaPapa Forum”_x000D_
Ноябрь 13, 2017 _x000D_
Рассылка_x000D_
Подпишитесь на нашу рассылку и первыми читайте наши статьи. _x000D_
 _x000D_
 _x000D_
 _x000D_
_x000D_
_x000D_
 _x000D_
Копирование с сайта разрешается при обязательном указании ссылки на сайт: mamamoldova.com_x000D_
© 2017 - MamaMoldova. _x000D_
_x000D_
Наверх_x000D_
Наверх </t>
  </si>
  <si>
    <t xml:space="preserve"> Роды – самое прекрасное в жизни женщины событие, своего рода инициация, которая выводит нас на другой, новый уровень развития и сознания. Ощущения, которые мать испытывает в родах, могут и должны быть запоминающимися на всю жизнь, в лучшем смысле этого слова. Однако вокруг родов в современном мире очень много страхов и стереотипов, с малых лет девочек вольно или невольно «учат», что роды – это страшно, больно и опасно. Поэтому, подойдя к родам, беременная женщина (особенно первородящая), часто испытывает много тревог и опасений (и, к сожалению, из-за своего настроя, она зачастую всё это и получает в родах). Будущая мама боится, что испытает нестерпимо сильную боль, переживает за свою жизнь и жизнь малыша. Думаю, если Вы ожидаете появление крохи на свет, Вы меня понимаете._x000D_ Но я, как женщина, прошедшая через роды, могу Вам сказать: этот процесс может быть совсем другим, нежели нам описывают родственники, соседки и знакомые. Он может быть не таким уж болезненным и совсем не страшным. Говорят, что определённый процент женщин во время родов вообще испытывают оргазмические ощущения. Хотите, чтобы у Вас было так же? Хотите перестать бояться самого ответственного события в своей жизни? Вам лишь нужно психологически подготовиться к родам и настроиться на их самый благоприятный исход. Для этого не обязательно идти к психологу. Есть один простой и доступный всем женщинам мира способ, который наверняка рассеет многие Ваши страхи, связанные с родами. Я сама пользовалась им в своё время, и могу уверенно сказать: это работает._x000D_ Во-первых, я советую Вам побольше узнать о физиологии родов (именно физиологии, а не патологии, ибо природа сделала так, что у 95 процентов всех женщин роды должны быть именно физиологичными). Прочтите в умных книгах для здравомыслящих родителей о стадиях родов, их продолжительности и тех ощущениях, которые женщина может испытывать (а может и не испытывать) во время той или иной стадии. Когда Вы будете знать «врага» в лицо, он перестанет казаться Вам таким страшным, так как Вы будете по крайней мере понимать, чего от него ожидать._x000D_ Во-вторых, поверьте в то, что природа мудра и совершенна, что женское тело знает, как рожать ребёнка, что, если Вы освободите свой разум от всех своих страхов, тело сделает всю работу за Вас. Если в родах нет страхов – в родах нет напряжения, а значит, в родах не будет боли! Это закон, который очень подробно описывает в своей книге «Роды без страха» Грентли Дик-Рид. Доверьтесь не только природе, своему телу, но и своему ребёнку: верьте в то, что он пришёл к Вам, чтобы родиться живым и здоровым. Он также знает, как рождаться на этот свет. Доверяйте ему! Читайте как можно больше вдохновляющих историй естественных родов, чтобы сменить свой вектор из области негативного отношения к родам в сторону их принятия и счастливого, предвкушающего ожидания._x000D_ В-третьих, поработайте со своими страхами при помощи аффирмаций. Это очень мощная и эффективная техника. Это и есть тот метод, о котором я писала в самом начале. Составьте несколько простых предложений, написанных о Ваших будущих родах, как о свершившемся факте. Опишите всё, что для Вас важно. Например: «Я родила живого, здорового ребёнка. Я родила сама, роды прошли естественно и легко. Я чувствую себя хорошо. Мой малыш рядом со мной, он счастлив» (это лишь примерный текст, Вы лучше знаете, чего Вы хотите от Ваших родов). Пожалуйста, откажитесь от использования частицы «не» — употребляйте лишь утвердительные формы. Когда аффирмации готовы, начинайте их писать на бумаге, раз за разом: 10, 20, 30 раз подряд – пока не почувствуете, что Вам полегчало. Возьмите за правило каждый день писать эти аффирмации одинаковое число раз. Исписанные листы храните или сжигайте. Так позитивная, конструктивная информация из сознания переместится в подсознание, создавая там новую программу о Ваших предстоящих родах._x000D_ Лично мне аффирмации помогли невероятно! Только благодаря им я смогла подойти к рождению сына спокойной, гармоничной и уверенной в себе. Потому как у меня ещё с детства было убеждение (благодаря родителям, обществу и СМИ), что родить ребёнка – это почти то же самое, что пройти через огонь, воду и медные трубы._x000D_ Вот, пожалуй, и всё, чем я сегодня могу Вам помочь. Ваши роды обязательно будут прекрасными! Искренняя, безграничная вера – это то, что поможет Вам сделать их такими._x000D_ Меня зовут Екатерина Микитенко. Я мама, сторонница естественных родов, журналист. В своём блоге я пишу об осознанном родительстве, здоровом образе жизни и необычных, творческих мамах Молдовы._x000D_</t>
  </si>
  <si>
    <t xml:space="preserve"> Роды – самое прекрасное в жизни женщины событие, своего рода инициация, которая выводит нас на другой, новый уровень развития и сознания. Ощущения, которые мать испытывает в родах, могут и должны быть запоминающимися на всю жизнь, в лучшем смысле этого слова. Однако вокруг родов в современном мире очень много страхов и стереотипов, с малых лет девочек вольно или невольно «учат», что роды – это страшно, больно и опасно. Поэтому, подойдя к родам, беременная женщина (особенно первородящая), часто испытывает много тревог и опасений (и, к сожалению, из-за своего настроя, она зачастую всё это и получает в родах). Будущая мама боится, что испытает нестерпимо сильную боль, переживает за свою жизнь и жизнь малыша. Думаю, если Вы ожидаете появление крохи на свет, Вы меня понимаете._x000D_ Но я, как женщина, прошедшая через роды, могу Вам сказать: этот процесс может быть совсем другим, нежели нам описывают родственники, соседки и знакомые. Он может быть не таким уж болезненным и совсем не страшным. Говорят, что определённый процент женщин во время родов вообще испытывают оргазмические ощущения. Хотите, чтобы у Вас было так же? Хотите перестать бояться самого ответственного события в своей жизни? Вам лишь нужно психологически подготовиться к родам и настроиться на их самый благоприятный исход. Для этого не обязательно идти к психологу. Есть один простой и доступный всем женщинам мира способ, который наверняка рассеет многие Ваши страхи, связанные с родами. Прочтите в умных книгах для здравомыслящих родителей о стадиях родов, их продолжительности и тех ощущениях, которые женщина может испытывать (а может и не испытывать) во время той или иной стадии. Когда Вы будете знать «врага» в лицо, он перестанет казаться Вам таким страшным, так как Вы будете по крайней мере понимать, чего от него ожидать._x000D_ Во-вторых, поверьте в то, что природа мудра и совершенна, что женское тело знает, как рожать ребёнка, что, если Вы освободите свой разум от всех своих страхов, тело сделает всю работу за Вас. </t>
  </si>
  <si>
    <t xml:space="preserve">Пологи – найпрекрасніше в житті жінки подія, своєрідна ініціація, яка виводить нас на інший, новий рівень розвитку і свідомості. Відчуття, що мати відчуває в пологах, можуть і повинні бути запам'ятовуються на все життя, в кращому сенсі цього слова. Однак навколо пологів у сучасному світі дуже багато страхів і стереотипів, з малих років дівчаток вільно чи мимоволі «вчать», що пологи – це страшно, боляче і небезпечно. Тому, підійшовши до пологів, вагітна жінка (особливо первістка), часто відчуває багато тривог і побоювань (і, на жаль, з-за свого настрою, вона часто все це і отримує в пологах). Майбутня мама боїться, що випробує нестерпно сильну біль, переживає за своє життя і життя малюка. Думаю, якщо Ви очікуєте поява малюка на світ, Ви мене розумієте. Але я, як жінка, що пройшла через пологи, можу Вам сказати: цей процес може бути зовсім іншим, ніж нам описують родичі, сусіди і знайомі. Він може бути не таким болючим і зовсім не страшним. Кажуть, що певний відсоток жінок під час пологів взагалі відчувають оргазмічні відчуття. Хочете, щоб у Вас було так само? Хочете перестати боятися самого відповідального події у своєму житті? Вам лише потрібно психологічно підготуватися до пологів і налаштуватися на їх найсприятливіший результат. Для цього не обов'язково йти до психолога. Є один простий і доступний всім жінкам світу спосіб, який напевно розвіє багато Ваші страхи, пов'язані з пологами. </t>
  </si>
  <si>
    <t>Як жінці підготуватися до пологів.</t>
  </si>
  <si>
    <t>[caption id="" align="aligncenter" width="350"]&lt;img src="http://ovulation.org.ua/pict/1492718325.jpg" alt="" width="350" height="300" /&gt; Як жінці підготуватися до пологів.[/caption]    Пологи – найпрекрасніше в житті жінки подія, своєрідна ініціація, яка виводить нас на інший, новий рівень розвитку і свідомості. Відчуття, що мати відчуває в пологах, можуть і повинні бути запам'ятовуються на все життя, в кращому сенсі цього слова. Однак навколо пологів у сучасному світі дуже багато страхів і стереотипів, з малих років дівчаток вільно чи мимоволі «вчать», що пологи – це страшно, боляче і небезпечно. Тому, підійшовши до пологів, вагітна жінка (особливо первістка), часто відчуває багато тривог і побоювань (і, на жаль, з-за свого настрою, вона часто все це і отримує в пологах). Майбутня мама боїться, що випробує нестерпно сильну біль, переживає за своє життя і життя малюка. Також ви можете знайти все необхідне на ресурсі &lt;a href="http://born-in-hollywood.com/contacts/"&gt;роды в калифорнии&lt;/a&gt;._x000D_
    Думаю, якщо Ви очікуєте поява малюка на світ, Ви мене розумієте. Але я, як жінка, що пройшла через пологи, можу Вам сказати: цей процес може бути зовсім іншим, ніж нам описують родичі, сусіди і знайомі. Він може бути не таким болючим і зовсім не страшним. Кажуть, що певний відсоток жінок під час пологів взагалі відчувають оргазмічні відчуття. Хочете, щоб у Вас було так само? Хочете перестати боятися самого відповідального події у своєму житті? Вам лише потрібно психологічно підготуватися до пологів і налаштуватися на їх найсприятливіший результат. Для цього не обов'язково йти до психолога. _x000D_
     Є один простий і доступний всім жінкам світу спосіб, який напевно розвіє багато Ваші страхи, пов'язані з пологами. Прочитайте в розумних книгах для розсудливих батьків про стадіях пологів, їх тривалість і тих відчуттях, які жінка може відчувати (а може і не відчувати) під час тієї чи іншої стадії. Коли Ви будете знати «ворога» в обличчя, він перестане здаватися таким страшним, так як Ви будете принаймні розуміти, чого від нього очікувати. По-друге, повірте в те, що природа мудра і досконала, що жіноче тіло знає, як народжувати дитину, що, якщо Ви звільніть свій розум від всіх своїх страхів, тіло зробить всю роботу за Вас.</t>
  </si>
  <si>
    <t>http://biscont.com.ua/yak-zhintsi-pidgotuvatysya-do-pologiv/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</si>
</sst>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7"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s>
  <fills count="20">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
      <patternFill patternType="solid">
        <fgColor theme="6" tint="0.59999389629810485"/>
        <bgColor indexed="64"/>
      </patternFill>
    </fill>
    <fill>
      <patternFill patternType="solid">
        <fgColor theme="3" tint="0.59999389629810485"/>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s>
  <cellStyleXfs count="1">
    <xf numFmtId="0" fontId="0" fillId="0" borderId="0"/>
  </cellStyleXfs>
  <cellXfs count="40">
    <xf numFmtId="0" fontId="0" fillId="0" borderId="0" xfId="0"/>
    <xf numFmtId="22" fontId="0" fillId="0" borderId="0" xfId="0" applyNumberFormat="1"/>
    <xf numFmtId="0" fontId="1" fillId="6" borderId="3" xfId="0" applyFont="1" applyFill="1" applyBorder="1"/>
    <xf numFmtId="22" fontId="1" fillId="6" borderId="3" xfId="0" applyNumberFormat="1" applyFont="1" applyFill="1" applyBorder="1"/>
    <xf numFmtId="22" fontId="1" fillId="7" borderId="3" xfId="0" applyNumberFormat="1" applyFont="1" applyFill="1" applyBorder="1"/>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0" fillId="10" borderId="1" xfId="0" applyFill="1" applyBorder="1" applyAlignment="1">
      <alignment horizontal="center" vertical="center"/>
    </xf>
    <xf numFmtId="0" fontId="0" fillId="0" borderId="0" xfId="0" applyAlignment="1"/>
    <xf numFmtId="0" fontId="0" fillId="0" borderId="0" xfId="0" applyAlignment="1">
      <alignment vertical="center"/>
    </xf>
    <xf numFmtId="0" fontId="6" fillId="4" borderId="1" xfId="0" applyFont="1" applyFill="1" applyBorder="1" applyAlignment="1">
      <alignment vertical="center"/>
    </xf>
    <xf numFmtId="0" fontId="6" fillId="3" borderId="1" xfId="0" applyFont="1" applyFill="1" applyBorder="1" applyAlignment="1">
      <alignment vertical="center"/>
    </xf>
    <xf numFmtId="0" fontId="2" fillId="11" borderId="4" xfId="0" applyFont="1" applyFill="1" applyBorder="1" applyAlignment="1">
      <alignment horizontal="center" vertical="center" wrapText="1"/>
    </xf>
    <xf numFmtId="0" fontId="2" fillId="0" borderId="1" xfId="0" applyFont="1" applyFill="1" applyBorder="1" applyAlignment="1">
      <alignment horizontal="center" vertical="center"/>
    </xf>
    <xf numFmtId="0" fontId="0" fillId="0" borderId="5" xfId="0" applyFill="1" applyBorder="1" applyAlignment="1">
      <alignment horizontal="center" vertical="center"/>
    </xf>
    <xf numFmtId="0" fontId="2" fillId="12" borderId="4" xfId="0" applyFont="1" applyFill="1" applyBorder="1" applyAlignment="1">
      <alignment horizontal="center" vertical="center"/>
    </xf>
    <xf numFmtId="0" fontId="0" fillId="13" borderId="0" xfId="0" applyFill="1" applyAlignment="1">
      <alignment vertical="center"/>
    </xf>
    <xf numFmtId="0" fontId="2" fillId="3" borderId="4" xfId="0" applyFont="1" applyFill="1" applyBorder="1" applyAlignment="1">
      <alignment vertical="center"/>
    </xf>
    <xf numFmtId="0" fontId="0" fillId="11" borderId="0" xfId="0" applyFill="1" applyAlignment="1">
      <alignment vertical="center"/>
    </xf>
    <xf numFmtId="0" fontId="2" fillId="14" borderId="4" xfId="0" applyFont="1" applyFill="1" applyBorder="1" applyAlignment="1">
      <alignment vertical="center"/>
    </xf>
    <xf numFmtId="0" fontId="0" fillId="15" borderId="0" xfId="0" applyFill="1" applyAlignment="1">
      <alignment vertical="center"/>
    </xf>
    <xf numFmtId="0" fontId="0" fillId="16" borderId="0" xfId="0" applyFill="1" applyBorder="1" applyAlignment="1">
      <alignment vertical="center"/>
    </xf>
    <xf numFmtId="0" fontId="0" fillId="17" borderId="0" xfId="0" applyFill="1" applyAlignment="1">
      <alignment vertical="center"/>
    </xf>
    <xf numFmtId="0" fontId="0" fillId="7" borderId="0" xfId="0" applyFill="1" applyAlignment="1">
      <alignment vertical="center"/>
    </xf>
    <xf numFmtId="0" fontId="2" fillId="5" borderId="4" xfId="0" applyFont="1" applyFill="1" applyBorder="1" applyAlignment="1">
      <alignment horizontal="center" vertical="center"/>
    </xf>
    <xf numFmtId="0" fontId="0" fillId="9" borderId="4" xfId="0" applyFill="1" applyBorder="1" applyAlignment="1">
      <alignment horizontal="center" vertical="center" wrapText="1"/>
    </xf>
    <xf numFmtId="0" fontId="2" fillId="18" borderId="4" xfId="0" applyFont="1" applyFill="1" applyBorder="1" applyAlignment="1">
      <alignment vertical="center"/>
    </xf>
    <xf numFmtId="0" fontId="0" fillId="0" borderId="0" xfId="0" applyAlignment="1">
      <alignment horizontal="left"/>
    </xf>
    <xf numFmtId="0" fontId="0" fillId="0" borderId="0" xfId="0" applyBorder="1"/>
    <xf numFmtId="0" fontId="0" fillId="0" borderId="2" xfId="0" applyBorder="1" applyAlignment="1">
      <alignment horizontal="center"/>
    </xf>
    <xf numFmtId="0" fontId="0" fillId="19" borderId="6" xfId="0" applyFill="1" applyBorder="1"/>
    <xf numFmtId="0" fontId="0" fillId="0" borderId="7" xfId="0" applyBorder="1" applyAlignment="1">
      <alignment horizontal="center"/>
    </xf>
    <xf numFmtId="0" fontId="0" fillId="11" borderId="8" xfId="0" applyFill="1" applyBorder="1"/>
    <xf numFmtId="0" fontId="0" fillId="0" borderId="9" xfId="0" applyBorder="1"/>
    <xf numFmtId="0" fontId="0" fillId="0" borderId="0" xfId="0" applyFill="1" applyBorder="1"/>
    <xf numFmtId="0" fontId="0" fillId="13" borderId="0" xfId="0" applyFill="1"/>
    <xf numFmtId="0" fontId="1" fillId="2" borderId="1" xfId="0" applyFont="1" applyFill="1" applyBorder="1" applyAlignment="1">
      <alignment horizontal="center"/>
    </xf>
    <xf numFmtId="0" fontId="0" fillId="3" borderId="1" xfId="0" applyFill="1" applyBorder="1" applyAlignment="1">
      <alignment horizontal="center"/>
    </xf>
    <xf numFmtId="0" fontId="5" fillId="8" borderId="1" xfId="0" applyFont="1" applyFill="1" applyBorder="1" applyAlignment="1">
      <alignment horizontal="center" vertical="center"/>
    </xf>
    <xf numFmtId="0" fontId="0" fillId="0" borderId="1" xfId="0" applyBorder="1" applyAlignment="1">
      <alignment horizontal="center" vertical="center"/>
    </xf>
  </cellXfs>
  <cellStyles count="1">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76200</xdr:colOff>
          <xdr:row>0</xdr:row>
          <xdr:rowOff>38100</xdr:rowOff>
        </xdr:from>
        <xdr:to>
          <xdr:col>9</xdr:col>
          <xdr:colOff>426720</xdr:colOff>
          <xdr:row>2</xdr:row>
          <xdr:rowOff>53340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 по PR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99060</xdr:colOff>
          <xdr:row>0</xdr:row>
          <xdr:rowOff>7620</xdr:rowOff>
        </xdr:from>
        <xdr:to>
          <xdr:col>19</xdr:col>
          <xdr:colOff>198120</xdr:colOff>
          <xdr:row>1</xdr:row>
          <xdr:rowOff>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24"/>
  <sheetViews>
    <sheetView tabSelected="1" workbookViewId="0">
      <selection activeCell="G19" sqref="G19"/>
    </sheetView>
  </sheetViews>
  <sheetFormatPr defaultRowHeight="14.4" x14ac:dyDescent="0.3"/>
  <cols>
    <col min="1" max="1" width="16.109375" bestFit="1" customWidth="1"/>
    <col min="3" max="3" width="33.44140625" bestFit="1" customWidth="1"/>
    <col min="6" max="6" width="11" bestFit="1" customWidth="1"/>
    <col min="7" max="7" width="80.88671875" bestFit="1" customWidth="1"/>
  </cols>
  <sheetData>
    <row r="1" spans="1:4" x14ac:dyDescent="0.3">
      <c r="A1" t="s">
        <v>5</v>
      </c>
      <c r="B1" t="s">
        <v>1</v>
      </c>
      <c r="C1" t="s">
        <v>9</v>
      </c>
      <c r="D1" t="s">
        <v>10</v>
      </c>
    </row>
    <row r="2" spans="1:4" x14ac:dyDescent="0.3">
      <c r="A2" t="s">
        <v>6</v>
      </c>
      <c r="B2" t="s">
        <v>4</v>
      </c>
      <c r="C2" t="s">
        <v>12</v>
      </c>
    </row>
    <row r="3" spans="1:4" x14ac:dyDescent="0.3">
      <c r="A3" t="s">
        <v>7</v>
      </c>
      <c r="B3" t="s">
        <v>3</v>
      </c>
      <c r="C3" t="s">
        <v>12</v>
      </c>
    </row>
    <row r="4" spans="1:4" x14ac:dyDescent="0.3">
      <c r="A4" t="s">
        <v>8</v>
      </c>
      <c r="B4" t="s">
        <v>2</v>
      </c>
      <c r="C4" t="s">
        <v>9</v>
      </c>
      <c r="D4" t="s">
        <v>11</v>
      </c>
    </row>
    <row r="8" spans="1:4" x14ac:dyDescent="0.3">
      <c r="A8">
        <v>23397226</v>
      </c>
      <c r="B8" t="s">
        <v>1</v>
      </c>
      <c r="C8" t="s">
        <v>240</v>
      </c>
      <c r="D8" t="s">
        <v>268</v>
      </c>
    </row>
    <row r="9" spans="1:4" x14ac:dyDescent="0.3">
      <c r="A9">
        <v>23397225</v>
      </c>
      <c r="B9" t="s">
        <v>1</v>
      </c>
      <c r="C9" t="s">
        <v>241</v>
      </c>
      <c r="D9" t="s">
        <v>268</v>
      </c>
    </row>
    <row r="10" spans="1:4" x14ac:dyDescent="0.3">
      <c r="A10">
        <v>23397224</v>
      </c>
      <c r="B10" t="s">
        <v>1</v>
      </c>
      <c r="C10" t="s">
        <v>242</v>
      </c>
      <c r="D10" t="s">
        <v>268</v>
      </c>
    </row>
    <row r="11" spans="1:4" x14ac:dyDescent="0.3">
      <c r="A11">
        <v>23397223</v>
      </c>
      <c r="B11" t="s">
        <v>1</v>
      </c>
      <c r="C11" t="s">
        <v>243</v>
      </c>
      <c r="D11" t="s">
        <v>268</v>
      </c>
    </row>
    <row r="12" spans="1:4" x14ac:dyDescent="0.3">
      <c r="A12">
        <v>23391960</v>
      </c>
      <c r="B12" t="s">
        <v>1</v>
      </c>
      <c r="C12" t="s">
        <v>246</v>
      </c>
      <c r="D12" t="s">
        <v>269</v>
      </c>
    </row>
    <row r="13" spans="1:4" x14ac:dyDescent="0.3">
      <c r="A13">
        <v>23397222</v>
      </c>
      <c r="B13" t="s">
        <v>1</v>
      </c>
      <c r="C13" t="s">
        <v>244</v>
      </c>
      <c r="D13" t="s">
        <v>268</v>
      </c>
    </row>
    <row r="14" spans="1:4" x14ac:dyDescent="0.3">
      <c r="A14">
        <v>23397221</v>
      </c>
      <c r="B14" t="s">
        <v>1</v>
      </c>
      <c r="C14" t="s">
        <v>245</v>
      </c>
      <c r="D14" t="s">
        <v>268</v>
      </c>
    </row>
    <row r="16" spans="1:4" x14ac:dyDescent="0.3">
      <c r="A16">
        <v>23419683</v>
      </c>
      <c r="B16" t="s">
        <v>1</v>
      </c>
      <c r="C16" t="s">
        <v>271</v>
      </c>
      <c r="D16" t="s">
        <v>268</v>
      </c>
    </row>
    <row r="17" spans="1:4" x14ac:dyDescent="0.3">
      <c r="A17">
        <v>23425171</v>
      </c>
      <c r="B17" t="s">
        <v>1</v>
      </c>
      <c r="C17" t="s">
        <v>273</v>
      </c>
      <c r="D17" t="s">
        <v>268</v>
      </c>
    </row>
    <row r="18" spans="1:4" x14ac:dyDescent="0.3">
      <c r="A18">
        <v>23427432</v>
      </c>
      <c r="B18" t="s">
        <v>1</v>
      </c>
      <c r="C18" t="s">
        <v>274</v>
      </c>
      <c r="D18" t="s">
        <v>268</v>
      </c>
    </row>
    <row r="19" spans="1:4" x14ac:dyDescent="0.3">
      <c r="A19">
        <v>23432971</v>
      </c>
      <c r="B19" t="s">
        <v>1</v>
      </c>
      <c r="C19" t="s">
        <v>270</v>
      </c>
      <c r="D19" t="s">
        <v>268</v>
      </c>
    </row>
    <row r="20" spans="1:4" x14ac:dyDescent="0.3">
      <c r="A20">
        <v>23432986</v>
      </c>
      <c r="B20" t="s">
        <v>1</v>
      </c>
      <c r="C20" t="s">
        <v>241</v>
      </c>
      <c r="D20" t="s">
        <v>268</v>
      </c>
    </row>
    <row r="21" spans="1:4" x14ac:dyDescent="0.3">
      <c r="A21">
        <v>23433003</v>
      </c>
      <c r="B21" t="s">
        <v>1</v>
      </c>
      <c r="C21" t="s">
        <v>241</v>
      </c>
      <c r="D21" t="s">
        <v>268</v>
      </c>
    </row>
    <row r="22" spans="1:4" x14ac:dyDescent="0.3">
      <c r="A22">
        <v>23435447</v>
      </c>
      <c r="B22" t="s">
        <v>1</v>
      </c>
      <c r="C22" t="s">
        <v>274</v>
      </c>
      <c r="D22" t="s">
        <v>268</v>
      </c>
    </row>
    <row r="23" spans="1:4" x14ac:dyDescent="0.3">
      <c r="A23">
        <v>23432967</v>
      </c>
      <c r="B23" t="s">
        <v>1</v>
      </c>
      <c r="C23" t="s">
        <v>246</v>
      </c>
      <c r="D23" t="s">
        <v>269</v>
      </c>
    </row>
    <row r="24" spans="1:4" x14ac:dyDescent="0.3">
      <c r="A24">
        <v>23435650</v>
      </c>
      <c r="B24" t="s">
        <v>1</v>
      </c>
      <c r="C24" t="s">
        <v>273</v>
      </c>
      <c r="D24" t="s">
        <v>268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E7" sqref="E7"/>
    </sheetView>
  </sheetViews>
  <sheetFormatPr defaultRowHeight="14.4" x14ac:dyDescent="0.3"/>
  <sheetData/>
  <pageMargins left="0.7" right="0.7" top="0.75" bottom="0.75" header="0.3" footer="0.3"/>
  <pageSetup paperSize="9"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
  <dimension ref="A1:D9"/>
  <sheetViews>
    <sheetView workbookViewId="0">
      <selection activeCell="D16" sqref="D16"/>
    </sheetView>
  </sheetViews>
  <sheetFormatPr defaultRowHeight="14.4" x14ac:dyDescent="0.3"/>
  <cols>
    <col min="4" max="4" width="19.109375" customWidth="1"/>
  </cols>
  <sheetData>
    <row r="1" spans="1:4" x14ac:dyDescent="0.3">
      <c r="A1" s="36" t="s">
        <v>0</v>
      </c>
      <c r="B1" s="36"/>
      <c r="C1" s="36"/>
      <c r="D1" s="36"/>
    </row>
    <row r="2" spans="1:4" x14ac:dyDescent="0.3">
      <c r="A2" s="37" t="s">
        <v>263</v>
      </c>
      <c r="B2" s="37"/>
      <c r="C2" s="37"/>
      <c r="D2" s="37"/>
    </row>
    <row r="8" spans="1:4" x14ac:dyDescent="0.3">
      <c r="D8" t="s">
        <v>117</v>
      </c>
    </row>
    <row r="9" spans="1:4" x14ac:dyDescent="0.3">
      <c r="D9" t="s">
        <v>117</v>
      </c>
    </row>
  </sheetData>
  <mergeCells count="2">
    <mergeCell ref="A1:D1"/>
    <mergeCell ref="A2:D2"/>
  </mergeCell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utorisation_PR">
                <anchor moveWithCells="1" sizeWithCells="1">
                  <from>
                    <xdr:col>5</xdr:col>
                    <xdr:colOff>76200</xdr:colOff>
                    <xdr:row>0</xdr:row>
                    <xdr:rowOff>38100</xdr:rowOff>
                  </from>
                  <to>
                    <xdr:col>9</xdr:col>
                    <xdr:colOff>426720</xdr:colOff>
                    <xdr:row>2</xdr:row>
                    <xdr:rowOff>53340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C86"/>
  <sheetViews>
    <sheetView topLeftCell="A55" workbookViewId="0">
      <selection activeCell="C66" sqref="C66"/>
    </sheetView>
  </sheetViews>
  <sheetFormatPr defaultRowHeight="14.4" x14ac:dyDescent="0.3"/>
  <cols>
    <col min="1" max="1" width="3" bestFit="1" customWidth="1"/>
    <col min="2" max="2" width="13.88671875" bestFit="1" customWidth="1"/>
    <col min="3" max="3" width="40.33203125" bestFit="1" customWidth="1"/>
  </cols>
  <sheetData>
    <row r="1" spans="1:3" x14ac:dyDescent="0.3">
      <c r="A1" s="5">
        <f>COUNTA(B:B)-1</f>
        <v>85</v>
      </c>
      <c r="B1" s="6" t="s">
        <v>27</v>
      </c>
      <c r="C1" s="7" t="s">
        <v>28</v>
      </c>
    </row>
    <row r="2" spans="1:3" x14ac:dyDescent="0.3">
      <c r="A2">
        <v>1</v>
      </c>
      <c r="B2" t="s">
        <v>29</v>
      </c>
      <c r="C2" t="s">
        <v>30</v>
      </c>
    </row>
    <row r="3" spans="1:3" x14ac:dyDescent="0.3">
      <c r="A3">
        <v>2</v>
      </c>
      <c r="B3" t="s">
        <v>232</v>
      </c>
      <c r="C3" t="s">
        <v>233</v>
      </c>
    </row>
    <row r="4" spans="1:3" x14ac:dyDescent="0.3">
      <c r="A4">
        <v>3</v>
      </c>
      <c r="B4" t="s">
        <v>31</v>
      </c>
      <c r="C4" t="s">
        <v>32</v>
      </c>
    </row>
    <row r="5" spans="1:3" x14ac:dyDescent="0.3">
      <c r="A5">
        <v>4</v>
      </c>
      <c r="B5" t="s">
        <v>33</v>
      </c>
      <c r="C5" t="s">
        <v>34</v>
      </c>
    </row>
    <row r="6" spans="1:3" x14ac:dyDescent="0.3">
      <c r="A6">
        <v>5</v>
      </c>
      <c r="B6" t="s">
        <v>35</v>
      </c>
      <c r="C6" t="s">
        <v>36</v>
      </c>
    </row>
    <row r="7" spans="1:3" x14ac:dyDescent="0.3">
      <c r="A7">
        <v>6</v>
      </c>
      <c r="B7" t="s">
        <v>37</v>
      </c>
      <c r="C7" t="s">
        <v>38</v>
      </c>
    </row>
    <row r="8" spans="1:3" x14ac:dyDescent="0.3">
      <c r="A8">
        <v>7</v>
      </c>
      <c r="B8" t="s">
        <v>39</v>
      </c>
      <c r="C8" t="s">
        <v>40</v>
      </c>
    </row>
    <row r="9" spans="1:3" x14ac:dyDescent="0.3">
      <c r="A9">
        <v>8</v>
      </c>
      <c r="B9" t="s">
        <v>13</v>
      </c>
      <c r="C9" t="s">
        <v>115</v>
      </c>
    </row>
    <row r="10" spans="1:3" x14ac:dyDescent="0.3">
      <c r="A10">
        <v>9</v>
      </c>
      <c r="B10" t="s">
        <v>41</v>
      </c>
      <c r="C10" t="s">
        <v>42</v>
      </c>
    </row>
    <row r="11" spans="1:3" x14ac:dyDescent="0.3">
      <c r="A11">
        <v>10</v>
      </c>
      <c r="B11" t="s">
        <v>43</v>
      </c>
      <c r="C11" t="s">
        <v>44</v>
      </c>
    </row>
    <row r="12" spans="1:3" x14ac:dyDescent="0.3">
      <c r="A12">
        <v>11</v>
      </c>
      <c r="B12" t="s">
        <v>45</v>
      </c>
      <c r="C12" t="s">
        <v>46</v>
      </c>
    </row>
    <row r="13" spans="1:3" x14ac:dyDescent="0.3">
      <c r="A13">
        <v>12</v>
      </c>
      <c r="B13" t="s">
        <v>47</v>
      </c>
      <c r="C13" t="s">
        <v>48</v>
      </c>
    </row>
    <row r="14" spans="1:3" x14ac:dyDescent="0.3">
      <c r="A14">
        <v>13</v>
      </c>
      <c r="B14" t="s">
        <v>49</v>
      </c>
      <c r="C14" t="s">
        <v>235</v>
      </c>
    </row>
    <row r="15" spans="1:3" x14ac:dyDescent="0.3">
      <c r="A15">
        <v>14</v>
      </c>
      <c r="B15" t="s">
        <v>50</v>
      </c>
      <c r="C15" t="s">
        <v>51</v>
      </c>
    </row>
    <row r="16" spans="1:3" x14ac:dyDescent="0.3">
      <c r="A16">
        <v>15</v>
      </c>
      <c r="B16" t="s">
        <v>52</v>
      </c>
      <c r="C16" t="s">
        <v>53</v>
      </c>
    </row>
    <row r="17" spans="1:3" x14ac:dyDescent="0.3">
      <c r="A17">
        <v>16</v>
      </c>
      <c r="B17" t="s">
        <v>54</v>
      </c>
      <c r="C17" t="s">
        <v>55</v>
      </c>
    </row>
    <row r="18" spans="1:3" x14ac:dyDescent="0.3">
      <c r="A18">
        <v>17</v>
      </c>
      <c r="B18" t="s">
        <v>56</v>
      </c>
      <c r="C18" t="s">
        <v>57</v>
      </c>
    </row>
    <row r="19" spans="1:3" x14ac:dyDescent="0.3">
      <c r="A19">
        <v>18</v>
      </c>
      <c r="B19" t="s">
        <v>58</v>
      </c>
      <c r="C19" t="s">
        <v>59</v>
      </c>
    </row>
    <row r="20" spans="1:3" x14ac:dyDescent="0.3">
      <c r="A20">
        <v>19</v>
      </c>
      <c r="B20" t="s">
        <v>60</v>
      </c>
      <c r="C20" t="s">
        <v>61</v>
      </c>
    </row>
    <row r="21" spans="1:3" x14ac:dyDescent="0.3">
      <c r="A21">
        <v>20</v>
      </c>
      <c r="B21" t="s">
        <v>62</v>
      </c>
      <c r="C21" t="s">
        <v>63</v>
      </c>
    </row>
    <row r="22" spans="1:3" x14ac:dyDescent="0.3">
      <c r="A22">
        <v>21</v>
      </c>
      <c r="B22" t="s">
        <v>64</v>
      </c>
      <c r="C22" t="s">
        <v>65</v>
      </c>
    </row>
    <row r="23" spans="1:3" x14ac:dyDescent="0.3">
      <c r="A23">
        <v>22</v>
      </c>
      <c r="B23" t="s">
        <v>66</v>
      </c>
      <c r="C23" t="s">
        <v>67</v>
      </c>
    </row>
    <row r="24" spans="1:3" x14ac:dyDescent="0.3">
      <c r="A24">
        <v>23</v>
      </c>
      <c r="B24" t="s">
        <v>68</v>
      </c>
      <c r="C24" t="s">
        <v>69</v>
      </c>
    </row>
    <row r="25" spans="1:3" x14ac:dyDescent="0.3">
      <c r="A25">
        <v>24</v>
      </c>
      <c r="B25" t="s">
        <v>70</v>
      </c>
      <c r="C25" t="s">
        <v>71</v>
      </c>
    </row>
    <row r="26" spans="1:3" x14ac:dyDescent="0.3">
      <c r="A26">
        <v>25</v>
      </c>
      <c r="B26" t="s">
        <v>72</v>
      </c>
      <c r="C26" t="s">
        <v>73</v>
      </c>
    </row>
    <row r="27" spans="1:3" x14ac:dyDescent="0.3">
      <c r="A27">
        <v>26</v>
      </c>
      <c r="B27" t="s">
        <v>74</v>
      </c>
      <c r="C27" t="s">
        <v>75</v>
      </c>
    </row>
    <row r="28" spans="1:3" x14ac:dyDescent="0.3">
      <c r="A28">
        <v>27</v>
      </c>
      <c r="B28" t="s">
        <v>76</v>
      </c>
      <c r="C28" t="s">
        <v>77</v>
      </c>
    </row>
    <row r="29" spans="1:3" x14ac:dyDescent="0.3">
      <c r="A29">
        <v>28</v>
      </c>
      <c r="B29" t="s">
        <v>78</v>
      </c>
      <c r="C29" t="s">
        <v>79</v>
      </c>
    </row>
    <row r="30" spans="1:3" x14ac:dyDescent="0.3">
      <c r="A30">
        <v>29</v>
      </c>
      <c r="B30" t="s">
        <v>80</v>
      </c>
      <c r="C30" t="s">
        <v>81</v>
      </c>
    </row>
    <row r="31" spans="1:3" x14ac:dyDescent="0.3">
      <c r="A31">
        <v>30</v>
      </c>
      <c r="B31" t="s">
        <v>82</v>
      </c>
      <c r="C31" t="s">
        <v>83</v>
      </c>
    </row>
    <row r="32" spans="1:3" x14ac:dyDescent="0.3">
      <c r="A32">
        <v>31</v>
      </c>
      <c r="B32" t="s">
        <v>84</v>
      </c>
      <c r="C32" t="s">
        <v>85</v>
      </c>
    </row>
    <row r="33" spans="1:3" x14ac:dyDescent="0.3">
      <c r="A33">
        <v>32</v>
      </c>
      <c r="B33" t="s">
        <v>86</v>
      </c>
      <c r="C33" t="s">
        <v>87</v>
      </c>
    </row>
    <row r="34" spans="1:3" x14ac:dyDescent="0.3">
      <c r="A34">
        <v>33</v>
      </c>
      <c r="B34" t="s">
        <v>88</v>
      </c>
      <c r="C34" t="s">
        <v>89</v>
      </c>
    </row>
    <row r="35" spans="1:3" x14ac:dyDescent="0.3">
      <c r="A35">
        <v>34</v>
      </c>
      <c r="B35" t="s">
        <v>90</v>
      </c>
      <c r="C35" t="s">
        <v>91</v>
      </c>
    </row>
    <row r="36" spans="1:3" x14ac:dyDescent="0.3">
      <c r="A36">
        <v>35</v>
      </c>
      <c r="B36" t="s">
        <v>92</v>
      </c>
      <c r="C36" t="s">
        <v>93</v>
      </c>
    </row>
    <row r="37" spans="1:3" x14ac:dyDescent="0.3">
      <c r="A37">
        <v>36</v>
      </c>
      <c r="B37" t="s">
        <v>94</v>
      </c>
      <c r="C37" t="s">
        <v>95</v>
      </c>
    </row>
    <row r="38" spans="1:3" x14ac:dyDescent="0.3">
      <c r="A38">
        <v>37</v>
      </c>
      <c r="B38" t="s">
        <v>96</v>
      </c>
      <c r="C38" t="s">
        <v>97</v>
      </c>
    </row>
    <row r="39" spans="1:3" x14ac:dyDescent="0.3">
      <c r="A39">
        <v>38</v>
      </c>
      <c r="B39" t="s">
        <v>98</v>
      </c>
      <c r="C39" t="s">
        <v>99</v>
      </c>
    </row>
    <row r="40" spans="1:3" x14ac:dyDescent="0.3">
      <c r="A40">
        <v>39</v>
      </c>
      <c r="B40" t="s">
        <v>100</v>
      </c>
      <c r="C40" t="s">
        <v>101</v>
      </c>
    </row>
    <row r="41" spans="1:3" x14ac:dyDescent="0.3">
      <c r="A41">
        <v>40</v>
      </c>
      <c r="B41" t="s">
        <v>102</v>
      </c>
      <c r="C41" t="s">
        <v>103</v>
      </c>
    </row>
    <row r="42" spans="1:3" x14ac:dyDescent="0.3">
      <c r="A42">
        <v>41</v>
      </c>
      <c r="B42" t="s">
        <v>104</v>
      </c>
      <c r="C42" t="s">
        <v>105</v>
      </c>
    </row>
    <row r="43" spans="1:3" x14ac:dyDescent="0.3">
      <c r="A43">
        <v>42</v>
      </c>
      <c r="B43" t="s">
        <v>106</v>
      </c>
      <c r="C43" t="s">
        <v>107</v>
      </c>
    </row>
    <row r="44" spans="1:3" x14ac:dyDescent="0.3">
      <c r="A44">
        <v>43</v>
      </c>
      <c r="B44" t="s">
        <v>108</v>
      </c>
      <c r="C44" t="s">
        <v>116</v>
      </c>
    </row>
    <row r="45" spans="1:3" x14ac:dyDescent="0.3">
      <c r="A45">
        <v>44</v>
      </c>
      <c r="B45" t="s">
        <v>109</v>
      </c>
      <c r="C45" t="s">
        <v>110</v>
      </c>
    </row>
    <row r="46" spans="1:3" x14ac:dyDescent="0.3">
      <c r="A46">
        <v>45</v>
      </c>
      <c r="B46" t="s">
        <v>111</v>
      </c>
      <c r="C46" t="s">
        <v>112</v>
      </c>
    </row>
    <row r="47" spans="1:3" x14ac:dyDescent="0.3">
      <c r="A47">
        <v>46</v>
      </c>
      <c r="B47" t="s">
        <v>113</v>
      </c>
      <c r="C47" t="s">
        <v>114</v>
      </c>
    </row>
    <row r="48" spans="1:3" x14ac:dyDescent="0.3">
      <c r="A48">
        <v>47</v>
      </c>
      <c r="B48" t="s">
        <v>118</v>
      </c>
      <c r="C48" t="s">
        <v>119</v>
      </c>
    </row>
    <row r="49" spans="1:3" x14ac:dyDescent="0.3">
      <c r="A49">
        <v>48</v>
      </c>
      <c r="B49" t="s">
        <v>120</v>
      </c>
      <c r="C49" t="s">
        <v>121</v>
      </c>
    </row>
    <row r="50" spans="1:3" x14ac:dyDescent="0.3">
      <c r="A50">
        <v>49</v>
      </c>
      <c r="B50" t="s">
        <v>122</v>
      </c>
      <c r="C50" t="s">
        <v>123</v>
      </c>
    </row>
    <row r="51" spans="1:3" x14ac:dyDescent="0.3">
      <c r="A51">
        <v>50</v>
      </c>
      <c r="B51" t="s">
        <v>124</v>
      </c>
      <c r="C51" t="s">
        <v>125</v>
      </c>
    </row>
    <row r="52" spans="1:3" x14ac:dyDescent="0.3">
      <c r="A52">
        <v>51</v>
      </c>
      <c r="B52" t="s">
        <v>126</v>
      </c>
      <c r="C52" t="s">
        <v>127</v>
      </c>
    </row>
    <row r="53" spans="1:3" x14ac:dyDescent="0.3">
      <c r="A53">
        <v>52</v>
      </c>
      <c r="B53" t="s">
        <v>128</v>
      </c>
      <c r="C53" t="s">
        <v>129</v>
      </c>
    </row>
    <row r="54" spans="1:3" x14ac:dyDescent="0.3">
      <c r="A54">
        <v>53</v>
      </c>
      <c r="B54" t="s">
        <v>130</v>
      </c>
      <c r="C54" t="s">
        <v>131</v>
      </c>
    </row>
    <row r="55" spans="1:3" x14ac:dyDescent="0.3">
      <c r="A55">
        <v>54</v>
      </c>
      <c r="B55" t="s">
        <v>132</v>
      </c>
      <c r="C55" t="s">
        <v>133</v>
      </c>
    </row>
    <row r="56" spans="1:3" x14ac:dyDescent="0.3">
      <c r="A56">
        <v>55</v>
      </c>
      <c r="B56" t="s">
        <v>134</v>
      </c>
      <c r="C56" t="s">
        <v>135</v>
      </c>
    </row>
    <row r="57" spans="1:3" x14ac:dyDescent="0.3">
      <c r="A57">
        <v>56</v>
      </c>
      <c r="B57" t="s">
        <v>136</v>
      </c>
      <c r="C57" t="s">
        <v>137</v>
      </c>
    </row>
    <row r="58" spans="1:3" x14ac:dyDescent="0.3">
      <c r="A58">
        <v>57</v>
      </c>
      <c r="B58" t="s">
        <v>139</v>
      </c>
      <c r="C58" t="s">
        <v>138</v>
      </c>
    </row>
    <row r="59" spans="1:3" x14ac:dyDescent="0.3">
      <c r="A59">
        <v>58</v>
      </c>
      <c r="B59" t="s">
        <v>140</v>
      </c>
      <c r="C59" t="s">
        <v>141</v>
      </c>
    </row>
    <row r="60" spans="1:3" x14ac:dyDescent="0.3">
      <c r="A60">
        <v>59</v>
      </c>
      <c r="B60" t="s">
        <v>142</v>
      </c>
      <c r="C60" t="s">
        <v>143</v>
      </c>
    </row>
    <row r="61" spans="1:3" x14ac:dyDescent="0.3">
      <c r="A61">
        <v>60</v>
      </c>
      <c r="B61" t="s">
        <v>144</v>
      </c>
      <c r="C61" t="s">
        <v>145</v>
      </c>
    </row>
    <row r="62" spans="1:3" x14ac:dyDescent="0.3">
      <c r="A62">
        <v>61</v>
      </c>
      <c r="B62" t="s">
        <v>147</v>
      </c>
      <c r="C62" t="s">
        <v>146</v>
      </c>
    </row>
    <row r="63" spans="1:3" x14ac:dyDescent="0.3">
      <c r="A63">
        <v>62</v>
      </c>
      <c r="B63" t="s">
        <v>148</v>
      </c>
      <c r="C63" t="s">
        <v>149</v>
      </c>
    </row>
    <row r="64" spans="1:3" x14ac:dyDescent="0.3">
      <c r="A64">
        <v>63</v>
      </c>
      <c r="B64" t="s">
        <v>150</v>
      </c>
      <c r="C64" t="s">
        <v>151</v>
      </c>
    </row>
    <row r="65" spans="1:3" x14ac:dyDescent="0.3">
      <c r="A65">
        <v>64</v>
      </c>
      <c r="B65" t="s">
        <v>152</v>
      </c>
      <c r="C65" t="s">
        <v>278</v>
      </c>
    </row>
    <row r="66" spans="1:3" x14ac:dyDescent="0.3">
      <c r="A66">
        <v>65</v>
      </c>
      <c r="B66" t="s">
        <v>153</v>
      </c>
      <c r="C66" t="s">
        <v>154</v>
      </c>
    </row>
    <row r="67" spans="1:3" x14ac:dyDescent="0.3">
      <c r="A67">
        <v>66</v>
      </c>
      <c r="B67" t="s">
        <v>216</v>
      </c>
      <c r="C67" t="s">
        <v>217</v>
      </c>
    </row>
    <row r="68" spans="1:3" x14ac:dyDescent="0.3">
      <c r="A68">
        <v>67</v>
      </c>
      <c r="B68" t="s">
        <v>218</v>
      </c>
      <c r="C68" t="s">
        <v>219</v>
      </c>
    </row>
    <row r="69" spans="1:3" x14ac:dyDescent="0.3">
      <c r="A69">
        <v>68</v>
      </c>
      <c r="B69" t="s">
        <v>220</v>
      </c>
      <c r="C69" t="s">
        <v>221</v>
      </c>
    </row>
    <row r="70" spans="1:3" x14ac:dyDescent="0.3">
      <c r="A70">
        <v>69</v>
      </c>
      <c r="B70" t="s">
        <v>222</v>
      </c>
      <c r="C70" t="s">
        <v>223</v>
      </c>
    </row>
    <row r="71" spans="1:3" x14ac:dyDescent="0.3">
      <c r="A71">
        <v>70</v>
      </c>
      <c r="B71" t="s">
        <v>224</v>
      </c>
      <c r="C71" t="s">
        <v>59</v>
      </c>
    </row>
    <row r="72" spans="1:3" x14ac:dyDescent="0.3">
      <c r="A72">
        <v>71</v>
      </c>
      <c r="B72" t="s">
        <v>225</v>
      </c>
      <c r="C72" t="s">
        <v>226</v>
      </c>
    </row>
    <row r="73" spans="1:3" x14ac:dyDescent="0.3">
      <c r="A73">
        <v>72</v>
      </c>
      <c r="B73" t="s">
        <v>227</v>
      </c>
      <c r="C73" t="s">
        <v>228</v>
      </c>
    </row>
    <row r="74" spans="1:3" x14ac:dyDescent="0.3">
      <c r="A74">
        <v>73</v>
      </c>
      <c r="B74" t="s">
        <v>229</v>
      </c>
      <c r="C74" t="s">
        <v>230</v>
      </c>
    </row>
    <row r="75" spans="1:3" x14ac:dyDescent="0.3">
      <c r="A75">
        <v>74</v>
      </c>
      <c r="B75" t="s">
        <v>236</v>
      </c>
      <c r="C75" t="s">
        <v>237</v>
      </c>
    </row>
    <row r="76" spans="1:3" x14ac:dyDescent="0.3">
      <c r="A76">
        <v>75</v>
      </c>
      <c r="B76" t="s">
        <v>238</v>
      </c>
      <c r="C76" t="s">
        <v>239</v>
      </c>
    </row>
    <row r="77" spans="1:3" x14ac:dyDescent="0.3">
      <c r="A77">
        <v>76</v>
      </c>
      <c r="B77" t="s">
        <v>248</v>
      </c>
      <c r="C77" t="s">
        <v>249</v>
      </c>
    </row>
    <row r="78" spans="1:3" x14ac:dyDescent="0.3">
      <c r="A78">
        <v>77</v>
      </c>
      <c r="B78" t="s">
        <v>250</v>
      </c>
      <c r="C78" t="s">
        <v>251</v>
      </c>
    </row>
    <row r="79" spans="1:3" x14ac:dyDescent="0.3">
      <c r="A79">
        <v>78</v>
      </c>
      <c r="B79" t="s">
        <v>252</v>
      </c>
      <c r="C79" t="s">
        <v>253</v>
      </c>
    </row>
    <row r="80" spans="1:3" x14ac:dyDescent="0.3">
      <c r="A80">
        <v>79</v>
      </c>
      <c r="B80" t="s">
        <v>254</v>
      </c>
      <c r="C80" t="s">
        <v>255</v>
      </c>
    </row>
    <row r="81" spans="1:3" x14ac:dyDescent="0.3">
      <c r="A81">
        <v>80</v>
      </c>
      <c r="B81" t="s">
        <v>256</v>
      </c>
      <c r="C81" t="s">
        <v>257</v>
      </c>
    </row>
    <row r="82" spans="1:3" x14ac:dyDescent="0.3">
      <c r="A82">
        <v>81</v>
      </c>
      <c r="B82" t="s">
        <v>258</v>
      </c>
      <c r="C82" t="s">
        <v>259</v>
      </c>
    </row>
    <row r="83" spans="1:3" x14ac:dyDescent="0.3">
      <c r="A83">
        <v>82</v>
      </c>
      <c r="B83" t="s">
        <v>260</v>
      </c>
      <c r="C83" t="s">
        <v>95</v>
      </c>
    </row>
    <row r="84" spans="1:3" x14ac:dyDescent="0.3">
      <c r="A84">
        <v>83</v>
      </c>
      <c r="B84" t="s">
        <v>261</v>
      </c>
      <c r="C84" t="s">
        <v>262</v>
      </c>
    </row>
    <row r="85" spans="1:3" x14ac:dyDescent="0.3">
      <c r="A85">
        <v>84</v>
      </c>
      <c r="B85" t="s">
        <v>264</v>
      </c>
      <c r="C85" t="s">
        <v>265</v>
      </c>
    </row>
    <row r="86" spans="1:3" x14ac:dyDescent="0.3">
      <c r="A86">
        <v>85</v>
      </c>
      <c r="B86" t="s">
        <v>266</v>
      </c>
      <c r="C86" t="s">
        <v>267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M2"/>
  <sheetViews>
    <sheetView zoomScale="80" zoomScaleNormal="80" workbookViewId="0">
      <selection activeCell="D2" sqref="D2"/>
    </sheetView>
  </sheetViews>
  <sheetFormatPr defaultRowHeight="14.4" x14ac:dyDescent="0.3"/>
  <cols>
    <col min="1" max="1" width="3.5546875" bestFit="1" customWidth="1"/>
    <col min="2" max="2" width="9.109375" bestFit="1" customWidth="1"/>
    <col min="3" max="3" width="10.44140625" bestFit="1" customWidth="1"/>
    <col min="4" max="4" width="20.109375" bestFit="1" customWidth="1"/>
    <col min="5" max="5" width="14.109375" bestFit="1" customWidth="1"/>
    <col min="6" max="6" width="12.33203125" bestFit="1" customWidth="1"/>
    <col min="7" max="7" width="15.21875" bestFit="1" customWidth="1"/>
    <col min="8" max="8" width="15.6640625" bestFit="1" customWidth="1"/>
    <col min="9" max="9" width="6.5546875" bestFit="1" customWidth="1"/>
    <col min="10" max="10" width="9.21875" bestFit="1" customWidth="1"/>
    <col min="11" max="11" width="6.5546875" bestFit="1" customWidth="1"/>
    <col min="12" max="12" width="4.88671875" bestFit="1" customWidth="1"/>
    <col min="13" max="13" width="16.5546875" bestFit="1" customWidth="1"/>
  </cols>
  <sheetData>
    <row r="1" spans="1:13" x14ac:dyDescent="0.3">
      <c r="A1" s="2" t="s">
        <v>19</v>
      </c>
      <c r="B1" s="2" t="s">
        <v>14</v>
      </c>
      <c r="C1" s="2" t="s">
        <v>15</v>
      </c>
      <c r="D1" s="2" t="s">
        <v>16</v>
      </c>
      <c r="E1" s="2" t="s">
        <v>17</v>
      </c>
      <c r="F1" s="2" t="s">
        <v>18</v>
      </c>
      <c r="G1" s="3" t="s">
        <v>20</v>
      </c>
      <c r="H1" s="4" t="s">
        <v>21</v>
      </c>
      <c r="I1" s="4" t="s">
        <v>22</v>
      </c>
      <c r="J1" s="4" t="s">
        <v>23</v>
      </c>
      <c r="K1" s="4" t="s">
        <v>24</v>
      </c>
      <c r="L1" s="4" t="s">
        <v>25</v>
      </c>
      <c r="M1" s="4" t="s">
        <v>26</v>
      </c>
    </row>
    <row r="2" spans="1:13" x14ac:dyDescent="0.3">
      <c r="A2">
        <v>53</v>
      </c>
      <c r="B2">
        <v>23435650</v>
      </c>
      <c r="C2" t="s">
        <v>1</v>
      </c>
      <c r="D2" t="s">
        <v>273</v>
      </c>
      <c r="E2" t="s">
        <v>275</v>
      </c>
      <c r="F2" t="s">
        <v>276</v>
      </c>
      <c r="G2" s="1">
        <v>43088.474641203706</v>
      </c>
      <c r="H2" s="35" t="s">
        <v>278</v>
      </c>
      <c r="I2" t="s">
        <v>277</v>
      </c>
      <c r="J2" t="s">
        <v>279</v>
      </c>
      <c r="L2" s="8" t="s">
        <v>272</v>
      </c>
      <c r="M2" s="8" t="s">
        <v>215</v>
      </c>
    </row>
  </sheetData>
  <sortState ref="A2:M63">
    <sortCondition ref="G1"/>
  </sortState>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Isue_Bystatus">
                <anchor moveWithCells="1" sizeWithCells="1">
                  <from>
                    <xdr:col>16</xdr:col>
                    <xdr:colOff>99060</xdr:colOff>
                    <xdr:row>0</xdr:row>
                    <xdr:rowOff>7620</xdr:rowOff>
                  </from>
                  <to>
                    <xdr:col>19</xdr:col>
                    <xdr:colOff>198120</xdr:colOff>
                    <xdr:row>1</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W25"/>
  <sheetViews>
    <sheetView zoomScale="70" zoomScaleNormal="70" workbookViewId="0">
      <selection activeCell="A3" sqref="A3"/>
    </sheetView>
  </sheetViews>
  <sheetFormatPr defaultRowHeight="14.4" x14ac:dyDescent="0.3"/>
  <cols>
    <col min="1" max="1" width="11.5546875" customWidth="1"/>
    <col min="3" max="3" width="15.5546875" bestFit="1" customWidth="1"/>
    <col min="4" max="4" width="22.33203125" bestFit="1" customWidth="1"/>
    <col min="5" max="5" width="16.44140625" bestFit="1" customWidth="1"/>
    <col min="7" max="7" width="16.44140625" bestFit="1" customWidth="1"/>
    <col min="9" max="9" width="13.33203125" bestFit="1" customWidth="1"/>
    <col min="12" max="12" width="10.44140625" customWidth="1"/>
    <col min="16" max="16" width="13.6640625" bestFit="1" customWidth="1"/>
    <col min="21" max="21" width="9.5546875" customWidth="1"/>
  </cols>
  <sheetData>
    <row r="1" spans="1:23" ht="32.25" customHeight="1" thickBot="1" x14ac:dyDescent="0.35">
      <c r="A1" s="38" t="s">
        <v>155</v>
      </c>
      <c r="B1" s="38"/>
      <c r="C1" s="10" t="s">
        <v>156</v>
      </c>
      <c r="D1" s="11"/>
      <c r="L1" s="12" t="s">
        <v>157</v>
      </c>
    </row>
    <row r="2" spans="1:23" s="9" customFormat="1" ht="31.5" customHeight="1" thickBot="1" x14ac:dyDescent="0.35">
      <c r="A2" s="39" t="s">
        <v>158</v>
      </c>
      <c r="B2" s="39"/>
      <c r="C2" s="13">
        <f>COUNTA(A:A)-2</f>
        <v>3</v>
      </c>
      <c r="D2" s="14"/>
      <c r="E2" s="15" t="s">
        <v>16</v>
      </c>
      <c r="F2" s="16" t="s">
        <v>159</v>
      </c>
      <c r="G2" s="17" t="s">
        <v>160</v>
      </c>
      <c r="H2" s="18" t="s">
        <v>161</v>
      </c>
      <c r="I2" s="19" t="s">
        <v>162</v>
      </c>
      <c r="J2" s="20" t="s">
        <v>163</v>
      </c>
      <c r="L2" s="21" t="s">
        <v>164</v>
      </c>
      <c r="N2" s="22" t="s">
        <v>165</v>
      </c>
      <c r="P2" s="23" t="s">
        <v>166</v>
      </c>
      <c r="R2" s="24" t="s">
        <v>167</v>
      </c>
      <c r="T2" s="15" t="s">
        <v>168</v>
      </c>
      <c r="U2" s="25" t="s">
        <v>169</v>
      </c>
      <c r="V2" s="26" t="s">
        <v>170</v>
      </c>
    </row>
    <row r="3" spans="1:23" x14ac:dyDescent="0.3">
      <c r="A3">
        <v>23435650</v>
      </c>
      <c r="E3" t="s">
        <v>273</v>
      </c>
      <c r="G3" s="1">
        <v>43088.474641203706</v>
      </c>
      <c r="L3" s="27" t="s">
        <v>287</v>
      </c>
      <c r="R3" t="s">
        <v>286</v>
      </c>
      <c r="T3" t="s">
        <v>288</v>
      </c>
      <c r="U3" t="s">
        <v>247</v>
      </c>
      <c r="V3" t="s">
        <v>268</v>
      </c>
      <c r="W3" s="28"/>
    </row>
    <row r="4" spans="1:23" x14ac:dyDescent="0.3">
      <c r="A4" t="s">
        <v>280</v>
      </c>
      <c r="F4" s="27" t="s">
        <v>212</v>
      </c>
      <c r="G4" t="s">
        <v>212</v>
      </c>
      <c r="W4" s="28"/>
    </row>
    <row r="5" spans="1:23" x14ac:dyDescent="0.3">
      <c r="A5" t="s">
        <v>281</v>
      </c>
      <c r="F5" s="27" t="s">
        <v>282</v>
      </c>
      <c r="G5">
        <v>14742</v>
      </c>
      <c r="H5" s="27" t="s">
        <v>283</v>
      </c>
      <c r="I5">
        <v>4520</v>
      </c>
      <c r="J5" s="27" t="s">
        <v>284</v>
      </c>
      <c r="K5">
        <v>2001</v>
      </c>
      <c r="L5" s="27" t="s">
        <v>286</v>
      </c>
      <c r="N5" s="27" t="s">
        <v>285</v>
      </c>
      <c r="P5" s="27">
        <v>100</v>
      </c>
      <c r="W5" s="28"/>
    </row>
    <row r="6" spans="1:23" x14ac:dyDescent="0.3">
      <c r="W6" s="28"/>
    </row>
    <row r="7" spans="1:23" x14ac:dyDescent="0.3">
      <c r="W7" s="28"/>
    </row>
    <row r="8" spans="1:23" x14ac:dyDescent="0.3">
      <c r="W8" s="28"/>
    </row>
    <row r="9" spans="1:23" x14ac:dyDescent="0.3">
      <c r="W9" s="28"/>
    </row>
    <row r="10" spans="1:23" x14ac:dyDescent="0.3">
      <c r="W10" s="28"/>
    </row>
    <row r="11" spans="1:23" x14ac:dyDescent="0.3">
      <c r="W11" s="28"/>
    </row>
    <row r="12" spans="1:23" x14ac:dyDescent="0.3">
      <c r="W12" s="28"/>
    </row>
    <row r="13" spans="1:23" x14ac:dyDescent="0.3">
      <c r="W13" s="28"/>
    </row>
    <row r="14" spans="1:23" x14ac:dyDescent="0.3">
      <c r="W14" s="28"/>
    </row>
    <row r="15" spans="1:23" x14ac:dyDescent="0.3">
      <c r="W15" s="28"/>
    </row>
    <row r="16" spans="1:23" x14ac:dyDescent="0.3">
      <c r="W16" s="28"/>
    </row>
    <row r="17" spans="23:23" x14ac:dyDescent="0.3">
      <c r="W17" s="28"/>
    </row>
    <row r="18" spans="23:23" x14ac:dyDescent="0.3">
      <c r="W18" s="28"/>
    </row>
    <row r="19" spans="23:23" x14ac:dyDescent="0.3">
      <c r="W19" s="28"/>
    </row>
    <row r="20" spans="23:23" x14ac:dyDescent="0.3">
      <c r="W20" s="28"/>
    </row>
    <row r="21" spans="23:23" x14ac:dyDescent="0.3">
      <c r="W21" s="28"/>
    </row>
    <row r="22" spans="23:23" x14ac:dyDescent="0.3">
      <c r="W22" s="28"/>
    </row>
    <row r="23" spans="23:23" x14ac:dyDescent="0.3">
      <c r="W23" s="28"/>
    </row>
    <row r="24" spans="23:23" x14ac:dyDescent="0.3">
      <c r="W24" s="28"/>
    </row>
    <row r="25" spans="23:23" x14ac:dyDescent="0.3">
      <c r="W25" s="28"/>
    </row>
  </sheetData>
  <mergeCells count="2">
    <mergeCell ref="A1:B1"/>
    <mergeCell ref="A2:B2"/>
  </mergeCells>
  <dataValidations count="2">
    <dataValidation type="list" allowBlank="1" showInputMessage="1" showErrorMessage="1" sqref="A2:B2">
      <formula1>"YES,NO"</formula1>
    </dataValidation>
    <dataValidation type="list" allowBlank="1" showInputMessage="1" showErrorMessage="1" sqref="U3">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39"/>
  <sheetViews>
    <sheetView topLeftCell="A19" workbookViewId="0">
      <selection activeCell="H36" sqref="H36"/>
    </sheetView>
  </sheetViews>
  <sheetFormatPr defaultRowHeight="14.4" x14ac:dyDescent="0.3"/>
  <cols>
    <col min="2" max="2" width="14.5546875" bestFit="1" customWidth="1"/>
    <col min="4" max="4" width="24.44140625" bestFit="1" customWidth="1"/>
  </cols>
  <sheetData>
    <row r="1" spans="1:4" ht="15" thickBot="1" x14ac:dyDescent="0.35">
      <c r="A1" s="29">
        <f>COUNTA(A2:A94)</f>
        <v>9</v>
      </c>
      <c r="B1" s="30" t="s">
        <v>171</v>
      </c>
      <c r="C1" s="31">
        <f>COUNTA(C2:C94)</f>
        <v>38</v>
      </c>
      <c r="D1" s="32" t="s">
        <v>172</v>
      </c>
    </row>
    <row r="2" spans="1:4" x14ac:dyDescent="0.3">
      <c r="A2" s="28" t="s">
        <v>173</v>
      </c>
      <c r="B2" s="33"/>
      <c r="C2" t="s">
        <v>132</v>
      </c>
    </row>
    <row r="3" spans="1:4" x14ac:dyDescent="0.3">
      <c r="A3" s="28" t="s">
        <v>174</v>
      </c>
      <c r="B3" s="33"/>
      <c r="C3" t="s">
        <v>175</v>
      </c>
    </row>
    <row r="4" spans="1:4" x14ac:dyDescent="0.3">
      <c r="A4" s="28" t="s">
        <v>176</v>
      </c>
      <c r="B4" s="33"/>
      <c r="C4" t="s">
        <v>177</v>
      </c>
    </row>
    <row r="5" spans="1:4" x14ac:dyDescent="0.3">
      <c r="A5" s="34" t="s">
        <v>178</v>
      </c>
      <c r="B5" s="33"/>
      <c r="C5" t="s">
        <v>179</v>
      </c>
    </row>
    <row r="6" spans="1:4" x14ac:dyDescent="0.3">
      <c r="A6" s="34" t="s">
        <v>180</v>
      </c>
      <c r="B6" s="33"/>
      <c r="C6" t="s">
        <v>181</v>
      </c>
    </row>
    <row r="7" spans="1:4" x14ac:dyDescent="0.3">
      <c r="A7" t="s">
        <v>182</v>
      </c>
      <c r="B7" s="33"/>
      <c r="C7" t="s">
        <v>183</v>
      </c>
    </row>
    <row r="8" spans="1:4" x14ac:dyDescent="0.3">
      <c r="A8" t="s">
        <v>184</v>
      </c>
      <c r="B8" s="33"/>
      <c r="C8" s="28" t="s">
        <v>185</v>
      </c>
    </row>
    <row r="9" spans="1:4" x14ac:dyDescent="0.3">
      <c r="A9" t="s">
        <v>186</v>
      </c>
      <c r="B9" s="33"/>
      <c r="C9" t="s">
        <v>187</v>
      </c>
    </row>
    <row r="10" spans="1:4" x14ac:dyDescent="0.3">
      <c r="A10" t="s">
        <v>188</v>
      </c>
      <c r="B10" s="33"/>
      <c r="C10" t="s">
        <v>189</v>
      </c>
    </row>
    <row r="11" spans="1:4" x14ac:dyDescent="0.3">
      <c r="B11" s="33"/>
      <c r="C11" t="s">
        <v>190</v>
      </c>
    </row>
    <row r="12" spans="1:4" x14ac:dyDescent="0.3">
      <c r="B12" s="33"/>
      <c r="C12" t="s">
        <v>191</v>
      </c>
    </row>
    <row r="13" spans="1:4" x14ac:dyDescent="0.3">
      <c r="B13" s="33"/>
      <c r="C13" t="s">
        <v>192</v>
      </c>
    </row>
    <row r="14" spans="1:4" x14ac:dyDescent="0.3">
      <c r="B14" s="33"/>
      <c r="C14" t="s">
        <v>193</v>
      </c>
    </row>
    <row r="15" spans="1:4" x14ac:dyDescent="0.3">
      <c r="B15" s="33"/>
      <c r="C15" t="s">
        <v>194</v>
      </c>
    </row>
    <row r="16" spans="1:4" x14ac:dyDescent="0.3">
      <c r="B16" s="33"/>
      <c r="C16" t="s">
        <v>29</v>
      </c>
    </row>
    <row r="17" spans="2:3" x14ac:dyDescent="0.3">
      <c r="B17" s="33"/>
      <c r="C17" t="s">
        <v>195</v>
      </c>
    </row>
    <row r="18" spans="2:3" x14ac:dyDescent="0.3">
      <c r="C18" t="s">
        <v>182</v>
      </c>
    </row>
    <row r="19" spans="2:3" x14ac:dyDescent="0.3">
      <c r="C19" t="s">
        <v>196</v>
      </c>
    </row>
    <row r="20" spans="2:3" x14ac:dyDescent="0.3">
      <c r="C20" t="s">
        <v>197</v>
      </c>
    </row>
    <row r="21" spans="2:3" x14ac:dyDescent="0.3">
      <c r="C21" t="s">
        <v>198</v>
      </c>
    </row>
    <row r="22" spans="2:3" x14ac:dyDescent="0.3">
      <c r="C22" t="s">
        <v>199</v>
      </c>
    </row>
    <row r="23" spans="2:3" x14ac:dyDescent="0.3">
      <c r="C23" t="s">
        <v>181</v>
      </c>
    </row>
    <row r="24" spans="2:3" x14ac:dyDescent="0.3">
      <c r="C24" t="s">
        <v>200</v>
      </c>
    </row>
    <row r="25" spans="2:3" x14ac:dyDescent="0.3">
      <c r="C25" t="s">
        <v>201</v>
      </c>
    </row>
    <row r="26" spans="2:3" x14ac:dyDescent="0.3">
      <c r="C26" t="s">
        <v>202</v>
      </c>
    </row>
    <row r="27" spans="2:3" x14ac:dyDescent="0.3">
      <c r="C27" t="s">
        <v>203</v>
      </c>
    </row>
    <row r="28" spans="2:3" x14ac:dyDescent="0.3">
      <c r="C28" t="s">
        <v>204</v>
      </c>
    </row>
    <row r="29" spans="2:3" x14ac:dyDescent="0.3">
      <c r="C29" t="s">
        <v>205</v>
      </c>
    </row>
    <row r="30" spans="2:3" x14ac:dyDescent="0.3">
      <c r="C30" t="s">
        <v>206</v>
      </c>
    </row>
    <row r="31" spans="2:3" x14ac:dyDescent="0.3">
      <c r="C31" t="s">
        <v>207</v>
      </c>
    </row>
    <row r="32" spans="2:3" x14ac:dyDescent="0.3">
      <c r="C32" t="s">
        <v>208</v>
      </c>
    </row>
    <row r="33" spans="3:3" x14ac:dyDescent="0.3">
      <c r="C33" t="s">
        <v>209</v>
      </c>
    </row>
    <row r="34" spans="3:3" x14ac:dyDescent="0.3">
      <c r="C34" t="s">
        <v>210</v>
      </c>
    </row>
    <row r="35" spans="3:3" x14ac:dyDescent="0.3">
      <c r="C35" t="s">
        <v>211</v>
      </c>
    </row>
    <row r="36" spans="3:3" x14ac:dyDescent="0.3">
      <c r="C36" t="s">
        <v>213</v>
      </c>
    </row>
    <row r="37" spans="3:3" x14ac:dyDescent="0.3">
      <c r="C37" t="s">
        <v>214</v>
      </c>
    </row>
    <row r="38" spans="3:3" x14ac:dyDescent="0.3">
      <c r="C38" t="s">
        <v>231</v>
      </c>
    </row>
    <row r="39" spans="3:3" x14ac:dyDescent="0.3">
      <c r="C39" t="s">
        <v>234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Лист2</vt:lpstr>
      <vt:lpstr>BufferList</vt:lpstr>
      <vt:lpstr>Авторизация_PR</vt:lpstr>
      <vt:lpstr>Ключи</vt:lpstr>
      <vt:lpstr>Список</vt:lpstr>
      <vt:lpstr>Обработка</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Черняхівський Віталій Анатолійович</cp:lastModifiedBy>
  <dcterms:created xsi:type="dcterms:W3CDTF">2017-11-24T19:54:25Z</dcterms:created>
  <dcterms:modified xsi:type="dcterms:W3CDTF">2018-01-03T11:13:27Z</dcterms:modified>
</cp:coreProperties>
</file>