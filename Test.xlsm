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externalReferences>
    <externalReference r:id="rId8"/>
  </externalReferences>
  <definedNames>
    <definedName name="_xlnm._FilterDatabase" localSheetId="6" hidden="1">Исключения!$C$1:$C$25</definedName>
    <definedName name="_xlnm._FilterDatabase" localSheetId="5" hidden="1">Обработка!$A$1:$A$25</definedName>
    <definedName name="_xlnm._FilterDatabase" localSheetId="4" hidden="1">Список!$H$1:$H$1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<sst xmlns="http://schemas.openxmlformats.org/spreadsheetml/2006/main" count="330" uniqueCount="279">
  <si>
    <t>Cookies</t>
  </si>
  <si>
    <t>link</t>
  </si>
  <si>
    <t>archive</t>
  </si>
  <si>
    <t>review</t>
  </si>
  <si>
    <t>https://billinsan.com/</t>
  </si>
  <si>
    <t>грузоперевозки с китая</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</si>
  <si>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</si>
  <si>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</si>
  <si>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</si>
  <si>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</si>
  <si>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</si>
  <si>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</si>
  <si>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</si>
  <si>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</si>
  <si>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</si>
  <si>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</si>
  <si>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</si>
  <si>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</si>
  <si>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</si>
  <si>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</si>
  <si>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</si>
  <si>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</si>
  <si>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</si>
  <si>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</si>
  <si>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</si>
  <si>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</si>
  <si>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</si>
  <si>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</si>
  <si>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</si>
  <si>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</si>
  <si>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</si>
  <si>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</si>
  <si>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</si>
  <si>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</si>
  <si>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</si>
  <si>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</si>
  <si>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</si>
  <si>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</si>
  <si>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</si>
  <si>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</si>
  <si>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</si>
  <si>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</si>
  <si>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</si>
  <si>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</si>
  <si>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</si>
  <si>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</si>
  <si>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</si>
  <si>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</si>
  <si>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</si>
  <si>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</si>
  <si>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</si>
  <si>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</si>
  <si>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</si>
  <si>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</si>
  <si>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</si>
  <si>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</si>
  <si>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</si>
  <si>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</si>
  <si>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</si>
  <si>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</si>
  <si>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</si>
  <si>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</si>
  <si>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</si>
  <si>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</si>
  <si>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</si>
  <si>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</si>
  <si>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</si>
  <si>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</si>
  <si>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</si>
  <si>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</si>
  <si>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</si>
  <si>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</si>
  <si>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</si>
  <si>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</si>
  <si>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</si>
  <si>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</si>
  <si>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</si>
  <si>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</si>
  <si>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</si>
  <si>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</si>
  <si>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</si>
  <si>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</si>
  <si>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</si>
  <si>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</si>
  <si>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</si>
  <si>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</si>
  <si>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</si>
  <si>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</si>
  <si>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</si>
  <si>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</si>
  <si>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</si>
  <si>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</si>
  <si>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</si>
  <si>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</si>
  <si>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</si>
  <si>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</si>
  <si>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</si>
  <si>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</si>
  <si>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</si>
  <si>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</si>
  <si>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</si>
  <si>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</si>
  <si>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</si>
  <si>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</si>
  <si>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</si>
  <si>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</si>
  <si>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</si>
  <si>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</si>
  <si>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</si>
  <si>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</si>
  <si>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</si>
  <si>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</si>
  <si>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</si>
  <si>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</si>
  <si>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</si>
  <si>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</si>
  <si>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</si>
  <si>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</si>
  <si>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</si>
  <si>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PR=e07e38cba1eed2510d65ba13639149c8:4257d371afe68a2d22a3b0ed378c6c9915617694; path=/</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</si>
  <si>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</si>
  <si>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</si>
  <si>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</si>
  <si>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</si>
  <si>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</si>
  <si>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</si>
  <si>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</si>
  <si>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</si>
  <si>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</si>
  <si>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</si>
  <si>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</si>
  <si>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</si>
  <si>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</si>
  <si>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</si>
  <si>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</si>
  <si>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</si>
  <si>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</si>
  <si>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</si>
  <si>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</si>
  <si>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</si>
  <si>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</si>
  <si>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</si>
  <si>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</si>
  <si>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</si>
  <si>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</si>
  <si>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</si>
  <si>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</si>
  <si>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</si>
  <si>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</si>
  <si>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</si>
  <si>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</si>
  <si>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</si>
  <si>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</si>
  <si>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</si>
  <si>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</si>
  <si>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Как подготовится к родам.</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</si>
  <si>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</si>
  <si>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</si>
  <si>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</si>
  <si>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</si>
  <si>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</si>
  <si>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</si>
  <si>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</si>
  <si>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</si>
  <si>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</si>
  <si>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</si>
  <si>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</si>
  <si>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</si>
  <si>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</si>
  <si>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</si>
  <si>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</si>
  <si>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</si>
  <si>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</si>
  <si>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</si>
  <si>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</si>
  <si>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</si>
  <si>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</si>
  <si>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</si>
  <si>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</si>
  <si>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</si>
  <si>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</si>
  <si>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</si>
  <si>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</si>
  <si>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</si>
  <si>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</si>
  <si>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</si>
  <si>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</si>
  <si>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</si>
  <si>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</si>
  <si>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</si>
  <si>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</si>
  <si>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</si>
  <si>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</si>
  <si>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</si>
  <si>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</si>
  <si>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</si>
  <si>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</si>
  <si>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</si>
  <si>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</si>
  <si>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</si>
  <si>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</si>
  <si>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</si>
  <si>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</si>
  <si>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</si>
  <si>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</si>
  <si>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</si>
  <si>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</si>
  <si>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</si>
  <si>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</si>
  <si>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</si>
  <si>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</si>
  <si>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</si>
  <si>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</si>
  <si>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</si>
  <si>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</si>
  <si>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</si>
  <si>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</si>
  <si>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</si>
  <si>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</si>
  <si>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Международные грузоперевозки.</t>
  </si>
  <si>
    <t>&lt;a href="https://billinsan.com/"&gt;грузоперевозки с китая&lt;/a&gt;</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</si>
  <si>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</si>
  <si>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</si>
  <si>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</si>
  <si>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</si>
  <si>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</si>
  <si>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</si>
  <si>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</si>
  <si>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</si>
  <si>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</si>
  <si>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</si>
  <si>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</si>
  <si>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</si>
  <si>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</si>
  <si>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</si>
  <si>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</si>
  <si>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</si>
  <si>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</si>
  <si>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</si>
  <si>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</si>
  <si>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</si>
  <si>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https://i.ytimg.com/vi/-hFPRlU8K-8/hqdefault.jpg</t>
  </si>
  <si>
    <t>Як правильно закріпити вантаж.</t>
  </si>
  <si>
    <t>http://billinsan.com/</t>
  </si>
  <si>
    <t>международные грузоперевозки из китая</t>
  </si>
  <si>
    <t>&lt;a href="http://billinsan.com/"&gt;международные грузоперевозки из китая&lt;/a&gt;</t>
  </si>
  <si>
    <t>http://mirtransporta.ru/uploads/posts/2012-10/1349253168_03-fixing.jpg</t>
  </si>
  <si>
    <t>https://dalnoboi.pro/camo/4091e68bc766715e9723ac97c06110cd935c3dcd/687474703a2f2f733031382e726164696b616c2e72752f693530362f313230352f63652f6261393930623133616630382e6a7067</t>
  </si>
  <si>
    <t>https://dalnoboi.pro/camo/66efc60471fc3f550339b1b438886e8db8759746/687474703a2f2f733031392e726164696b616c2e72752f693630322f313230342f32362f6538336338613961623462332e6a7067</t>
  </si>
  <si>
    <t>доставка из китая</t>
  </si>
  <si>
    <t>&lt;a href="https://billinsan.com/"&gt;доставка из китая&lt;/a&gt;</t>
  </si>
  <si>
    <t>https://saleway.org/</t>
  </si>
  <si>
    <t>выбор в каталоге Amway</t>
  </si>
  <si>
    <t>&lt;a href="https://saleway.org/"&gt;выбор в каталоге Amway&lt;/a&gt;</t>
  </si>
  <si>
    <t>-30% Продукция Amway — купить, цена в каталоге товаров Амвей Украина ✔ интернет-магазин SaleWay Киев</t>
  </si>
  <si>
    <t>http://gdld.ru/wp-content/uploads/2013/04/kak-vybrat-kosmetiky1.jpg</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</si>
  <si>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</si>
  <si>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</si>
  <si>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</si>
  <si>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</si>
  <si>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</si>
  <si>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</si>
  <si>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</si>
  <si>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</si>
  <si>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</si>
  <si>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</si>
  <si>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</si>
  <si>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ve4e.com.ua</t>
  </si>
  <si>
    <t>OK</t>
  </si>
  <si>
    <t>размещена 29.12.2017 вручную</t>
  </si>
  <si>
    <t>https://ok.ru/glavdoroga/topic/67812705542288</t>
  </si>
  <si>
    <t>http://spokoino.ru/articles/driving/v_chem_opasnost_perevozki_nezakreplennogo_gruza_v_salone/</t>
  </si>
  <si>
    <t xml:space="preserve">Войти Регистрация Автоинструкторы Статьи Помощь ПДД МРЭО О вождении / _x000D_
В чем опасность перевозки незакрепленного груза в салоне?_x000D_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К сожалению, при обучении вождению про это не рассказывают, а ведь данный вопрос очень важен, особенно с точки зрения безопасности._x000D_
Вспоминаем правила перевозки груза_x000D_
Итак, вы собрались на отдых или пикник, а все необходимые вещи не входят в багажник? Конечно, можно расположить их на заднем сиденье или за спинками передних кресел, а можно что-то закрепить на крыше._x000D_
Но здесь-то и кроется опасность, ведь именно такое беспорядочное расположение вещей в машине может стать причиной серьезных травм пассажиров при аварии._x000D_
Инструкторы по вождению напоминают, что при перевозке груза не стоит забывать и о правилах дорожного движения._x000D_
В первую очередь груз не должен закрывать обзор и нарушать устойчивость ТС. Как гласят ПДД, груз к тому же не должен выходить за габариты авто:_x000D_
более чем на один метр спереди;_x000D_
то же самое касается задней части машины;_x000D_
более чем на 40 см сбоку, то есть от внешней части габаритного огня._x000D_
Если же размеры перевозимого груза превышают вышеуказанные значения, то на авто следует устанавливать специальный знак, который называется «крупногабаритный груз».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Допустимая нагрузка_x000D_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Правила крепления груза_x000D_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Для этой цели у многих автомобилей на бортах или в полу имеются специальные серьги-проушины._x000D_
Если все-таки пришлось располагать вещи в салоне, то невысокие и небольшие предметы можно поставить на пол и задвинуть под сиденье насколько это возможно. Габаритные вещи рекомендуется фиксировать ремнями безопасности._x000D_
Видеоматериал о том, как не надо крепить груз на крыше авто:_x000D_
Аккуратной вам и безопасной езды, крепи свою поклажу правильно!_x000D_
В статье использовано изображение с сайта autozam.ru_x000D_
18 ноября, Плехов Константин _x000D_
Теги: Безопасность, Вождение, Все для новичков, ПДД _x000D_
Tweet _x000D_
Похожие статьи_x000D_
— Почему езда по обочине опасна? _x000D_
— Немного о железнодорожных переездах _x000D_
— Пешеходный переход и его опасности _x000D_
— Велосипед, тротуар и газон _x000D_
— Дураки на дорогах _x000D_
 _x000D_
Категории_x000D_
Автомобили _x000D_
Автошколы _x000D_
Аксессуары _x000D_
ГИБДД _x000D_
ДТП _x000D_
За границу _x000D_
Контраварийное вождение _x000D_
Мото _x000D_
Нормативные документы _x000D_
О вождении _x000D_
Обслуживание автомобиля _x000D_
Обучение вождению _x000D_
Оформление документов _x000D_
ПДД _x000D_
Первая помощь _x000D_
Прочее _x000D_
Страхование _x000D_
Угон _x000D_
Устройство автомобиля _x000D_
Теги_x000D_
Автоинструкторы Автомобили Аксессуары Алкоголь Безопасность Вождение Все для новичков Все обо всем ГИБДД ДТП Дороги Изменения ПДД Мастерство Мошеничество ОСАГО Обучение вождению ПДД Покупка автомобиля Права Разбор ДТП Ремонт Сделай сам Страхование Штрафы Экзамен _x000D_
Разработано в студии Future Colors Инструкторы по вождению на одном сайте © 2009-2017, Спокойно.ру +7 (499) 322-01-82 info@spokoino.ru </t>
  </si>
  <si>
    <t xml:space="preserve">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К сожалению, при обучении вождению про это не рассказывают, а ведь данный вопрос очень важен, особенно с точки зрения безопасности._x000D_ Итак, вы собрались на отдых или пикник, а все необходимые вещи не входят в багажник? Конечно, можно расположить их на заднем сиденье или за спинками передних кресел, а можно что-то закрепить на крыше._x000D_ Но здесь-то и кроется опасность, ведь именно такое беспорядочное расположение вещей в машине может стать причиной серьезных травм пассажиров при аварии._x000D_ Инструкторы по вождению напоминают, что при перевозке груза не стоит забывать и о правилах дорожного движения._x000D_ Если же размеры перевозимого груза превышают вышеуказанные значения, то на авто следует устанавливать специальный знак, который называется «крупногабаритный груз».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Для этой цели у многих автомобилей на бортах или в полу имеются специальные серьги-проушины._x000D_ Если все-таки пришлось располагать вещи в салоне, то невысокие и небольшие предметы можно поставить на пол и задвинуть под сиденье насколько это возможно. Габаритные вещи рекомендуется фиксировать ремнями безопасности._x000D_</t>
  </si>
  <si>
    <t xml:space="preserve">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Для этой цели у многих автомобилей на бортах или в полу имеются специальные серьги-проушины._x000D_ Если все-таки пришлось располагать вещи в салоне, то невысокие и небольшие предметы можно поставить на пол и задвинуть под сиденье насколько это возможно. </t>
  </si>
  <si>
    <t xml:space="preserve">Сьогоднішня стаття, думаю, зацікавить любителів подорожей на своєму автомобілі і дачників. Ми поговоримо про те, як правильно кріпити вантаж в багажнику або салоні машини. Це щиток квадратної форми 400 на 400 мм з нанесеними на нього білими і червоними смужками, ширина яких становить 50 мм. Даний знак повинен обов'язково мати світловідбиваючу поверхню. У темний час доби закріплений вантаж ззаду потрібно висвітлювати світлоповертачем або ліхтарем червоного кольору, а спереду — білого. Ще одне правило перевезення вантажів, яке ніколи не потрібно забувати, це визначення їх ваги і допустима (максимальна) навантаження на дах вашого автомобіля. Як правило, дана величина вказується в інструкції з експлуатації ТЗ. Проте не варто плутати допустиме навантаження з вантажопідйомністю авто. Якщо значення вантажопідйомності зазначено 400 кг, і стільки ж ви занурте на дах, то вона просто деформується. Так, іномарки мають навантаження 60-100 кг, хоча ця цифра індивідуальна для різних моделей і марок. Якщо говорити простими словами, то на верхній багажник цілком можна поставити навісний шафка, а ось чавунну ванну так перевозити не радимо. Самі масивні і великі за розмірами предмети потрібно укладати на дно багажника. Не варто залишати важкі речі (приміром, сумки, термоси, вогнегасники) на задній полиці. Якщо станеться аварія, то вони, як правило, летять на голови пасажирів і водія. А от невеликі предмети краще складати в окремі контейнери або пакети. </t>
  </si>
  <si>
    <t>[caption id="" align="aligncenter" width="350"]&lt;img src="https://dalnoboi.pro/camo/4091e68bc766715e9723ac97c06110cd935c3dcd/687474703a2f2f733031382e726164696b616c2e72752f693530362f313230352f63652f6261393930623133616630382e6a7067" alt="" width="350" height="300" /&gt; Як правильно закріпити вантаж.[/caption]    Сьогоднішня стаття, думаю, зацікавить любителів подорожей на своєму автомобілі і дачників. Ми поговоримо про те, як правильно кріпити вантаж в багажнику або салоні машини. Це щиток квадратної форми 400 на 400 мм з нанесеними на нього білими і червоними смужками, ширина яких становить 50 мм. Даний знак повинен обов'язково мати світловідбиваючу поверхню. У темний час доби закріплений вантаж ззаду потрібно висвітлювати світлоповертачем або ліхтарем червоного кольору, а спереду — білого. Ще одне правило перевезення вантажів, яке ніколи не потрібно забувати, це визначення їх ваги і допустима (максимальна) навантаження на дах вашого автомобіля. Як правило, дана величина вказується в інструкції з експлуатації ТЗ. Також ви можете знайти все необхідне на ресурсі &lt;a href="http://billinsan.com/"&gt;международные грузоперевозки из китая&lt;/a&gt;._x000D_
    Проте не варто плутати допустиме навантаження з вантажопідйомністю авто. Якщо значення вантажопідйомності зазначено 400 кг, і стільки ж ви занурте на дах, то вона просто деформується. Так, іномарки мають навантаження 60-100 кг, хоча ця цифра індивідуальна для різних моделей і марок. Якщо говорити простими словами, то на верхній багажник цілком можна поставити навісний шафка, а ось чавунну ванну так перевозити не радимо. Самі масивні і великі за розмірами предмети потрібно укладати на дно багажника. Не варто залишати важкі речі (приміром, сумки, термоси, вогнегасники) на задній полиці. Якщо станеться аварія, то вони, як правило, летять на голови пасажирів і водія. _x000D_
     А от невеликі предмети краще складати в окремі контейнери або пакети. Те, що не влізло в багажник, можна розташувати в спеціальному зовнішньому багажному боксі або кошика, а не в салоні. Багажник краще завжди закривати накладкою, навіть якщо він практично порожній. Якщо ця кришка не закривається з-за висоти покладеного вантажу, то накрийте речі покривалом або такелажної сіткою, а потім закріпіть мотузками або ременями навхрест. Для цієї мети у багатьох автомобілів на бортах або в підлозі є спеціальні сережки-вушка. Якщо все-таки довелося розташовувати речі в салоні, то невисокі і невеликі предмети можна поставити на підлогу і засунути під сидіння наскільки це можливо.</t>
  </si>
  <si>
    <t>http://gv.org.ua/yak-pravilno-zakripiti-vantazh/</t>
  </si>
  <si>
    <t>размещена через Api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</si>
</sst>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s>
  <fills count="20">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s>
  <cellStyleXfs count="1">
    <xf numFmtId="0" fontId="0" fillId="0" borderId="0"/>
  </cellStyleXfs>
  <cellXfs count="39">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426720</xdr:colOff>
          <xdr:row>2</xdr:row>
          <xdr:rowOff>53340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0</xdr:row>
          <xdr:rowOff>7620</xdr:rowOff>
        </xdr:from>
        <xdr:to>
          <xdr:col>19</xdr:col>
          <xdr:colOff>198120</xdr:colOff>
          <xdr:row>1</xdr:row>
          <xdr:rowOff>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58;&#1077;&#1089;&#1090;&#1086;&#1074;&#1072;&#1103;%20&#1074;&#1077;&#1088;&#1089;&#1080;&#11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Ротапост"/>
      <sheetName val="Прод"/>
      <sheetName val="Лист1"/>
      <sheetName val="BufferList"/>
      <sheetName val="Отложенные"/>
      <sheetName val="Исключения"/>
      <sheetName val="Ключи"/>
    </sheetNames>
    <definedNames>
      <definedName name="CloseIsue"/>
    </defined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9"/>
  <sheetViews>
    <sheetView tabSelected="1" workbookViewId="0">
      <selection activeCell="F9" sqref="F9"/>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7</v>
      </c>
      <c r="B1" t="s">
        <v>1</v>
      </c>
      <c r="C1" t="s">
        <v>11</v>
      </c>
      <c r="D1" t="s">
        <v>12</v>
      </c>
    </row>
    <row r="2" spans="1:4" x14ac:dyDescent="0.3">
      <c r="A2" t="s">
        <v>8</v>
      </c>
      <c r="B2" t="s">
        <v>6</v>
      </c>
      <c r="C2" t="s">
        <v>14</v>
      </c>
    </row>
    <row r="3" spans="1:4" x14ac:dyDescent="0.3">
      <c r="A3" t="s">
        <v>9</v>
      </c>
      <c r="B3" t="s">
        <v>3</v>
      </c>
      <c r="C3" t="s">
        <v>14</v>
      </c>
    </row>
    <row r="4" spans="1:4" x14ac:dyDescent="0.3">
      <c r="A4" t="s">
        <v>10</v>
      </c>
      <c r="B4" t="s">
        <v>2</v>
      </c>
      <c r="C4" t="s">
        <v>11</v>
      </c>
      <c r="D4" t="s">
        <v>13</v>
      </c>
    </row>
    <row r="8" spans="1:4" x14ac:dyDescent="0.3">
      <c r="A8">
        <v>23397226</v>
      </c>
      <c r="B8" t="s">
        <v>1</v>
      </c>
      <c r="C8" t="s">
        <v>260</v>
      </c>
      <c r="D8" t="s">
        <v>269</v>
      </c>
    </row>
    <row r="9" spans="1:4" x14ac:dyDescent="0.3">
      <c r="A9">
        <v>23397225</v>
      </c>
      <c r="B9" t="s">
        <v>1</v>
      </c>
      <c r="C9" t="s">
        <v>261</v>
      </c>
      <c r="D9" t="s">
        <v>278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K11" sqref="K11"/>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2"/>
  <sheetViews>
    <sheetView workbookViewId="0">
      <selection activeCell="L16" sqref="L16"/>
    </sheetView>
  </sheetViews>
  <sheetFormatPr defaultRowHeight="14.4" x14ac:dyDescent="0.3"/>
  <cols>
    <col min="4" max="4" width="19.109375" customWidth="1"/>
  </cols>
  <sheetData>
    <row r="1" spans="1:4" x14ac:dyDescent="0.3">
      <c r="A1" s="35" t="s">
        <v>0</v>
      </c>
      <c r="B1" s="35"/>
      <c r="C1" s="35"/>
      <c r="D1" s="35"/>
    </row>
    <row r="2" spans="1:4" x14ac:dyDescent="0.3">
      <c r="A2" s="36" t="s">
        <v>119</v>
      </c>
      <c r="B2" s="36"/>
      <c r="C2" s="36"/>
      <c r="D2" s="36"/>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426720</xdr:colOff>
                    <xdr:row>2</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76"/>
  <sheetViews>
    <sheetView topLeftCell="A61" workbookViewId="0">
      <selection activeCell="C79" sqref="C79"/>
    </sheetView>
  </sheetViews>
  <sheetFormatPr defaultRowHeight="14.4" x14ac:dyDescent="0.3"/>
  <cols>
    <col min="1" max="1" width="3" bestFit="1" customWidth="1"/>
    <col min="2" max="2" width="13.88671875" bestFit="1" customWidth="1"/>
    <col min="3" max="3" width="40.33203125" bestFit="1" customWidth="1"/>
  </cols>
  <sheetData>
    <row r="1" spans="1:3" x14ac:dyDescent="0.3">
      <c r="A1" s="5">
        <f>COUNTA(B:B)-1</f>
        <v>75</v>
      </c>
      <c r="B1" s="6" t="s">
        <v>29</v>
      </c>
      <c r="C1" s="7" t="s">
        <v>30</v>
      </c>
    </row>
    <row r="2" spans="1:3" x14ac:dyDescent="0.3">
      <c r="A2">
        <v>1</v>
      </c>
      <c r="B2" t="s">
        <v>31</v>
      </c>
      <c r="C2" t="s">
        <v>32</v>
      </c>
    </row>
    <row r="3" spans="1:3" x14ac:dyDescent="0.3">
      <c r="A3">
        <v>2</v>
      </c>
      <c r="B3" t="s">
        <v>237</v>
      </c>
      <c r="C3" t="s">
        <v>238</v>
      </c>
    </row>
    <row r="4" spans="1:3" x14ac:dyDescent="0.3">
      <c r="A4">
        <v>3</v>
      </c>
      <c r="B4" t="s">
        <v>33</v>
      </c>
      <c r="C4" t="s">
        <v>34</v>
      </c>
    </row>
    <row r="5" spans="1:3" x14ac:dyDescent="0.3">
      <c r="A5">
        <v>4</v>
      </c>
      <c r="B5" t="s">
        <v>35</v>
      </c>
      <c r="C5" t="s">
        <v>36</v>
      </c>
    </row>
    <row r="6" spans="1:3" x14ac:dyDescent="0.3">
      <c r="A6">
        <v>5</v>
      </c>
      <c r="B6" t="s">
        <v>37</v>
      </c>
      <c r="C6" t="s">
        <v>38</v>
      </c>
    </row>
    <row r="7" spans="1:3" x14ac:dyDescent="0.3">
      <c r="A7">
        <v>6</v>
      </c>
      <c r="B7" t="s">
        <v>39</v>
      </c>
      <c r="C7" t="s">
        <v>40</v>
      </c>
    </row>
    <row r="8" spans="1:3" x14ac:dyDescent="0.3">
      <c r="A8">
        <v>7</v>
      </c>
      <c r="B8" t="s">
        <v>41</v>
      </c>
      <c r="C8" t="s">
        <v>42</v>
      </c>
    </row>
    <row r="9" spans="1:3" x14ac:dyDescent="0.3">
      <c r="A9">
        <v>8</v>
      </c>
      <c r="B9" t="s">
        <v>15</v>
      </c>
      <c r="C9" t="s">
        <v>117</v>
      </c>
    </row>
    <row r="10" spans="1:3" x14ac:dyDescent="0.3">
      <c r="A10">
        <v>9</v>
      </c>
      <c r="B10" t="s">
        <v>43</v>
      </c>
      <c r="C10" t="s">
        <v>44</v>
      </c>
    </row>
    <row r="11" spans="1:3" x14ac:dyDescent="0.3">
      <c r="A11">
        <v>10</v>
      </c>
      <c r="B11" t="s">
        <v>45</v>
      </c>
      <c r="C11" t="s">
        <v>46</v>
      </c>
    </row>
    <row r="12" spans="1:3" x14ac:dyDescent="0.3">
      <c r="A12">
        <v>11</v>
      </c>
      <c r="B12" t="s">
        <v>47</v>
      </c>
      <c r="C12" t="s">
        <v>48</v>
      </c>
    </row>
    <row r="13" spans="1:3" x14ac:dyDescent="0.3">
      <c r="A13">
        <v>12</v>
      </c>
      <c r="B13" t="s">
        <v>49</v>
      </c>
      <c r="C13" t="s">
        <v>50</v>
      </c>
    </row>
    <row r="14" spans="1:3" x14ac:dyDescent="0.3">
      <c r="A14">
        <v>13</v>
      </c>
      <c r="B14" t="s">
        <v>51</v>
      </c>
      <c r="C14" t="s">
        <v>240</v>
      </c>
    </row>
    <row r="15" spans="1:3" x14ac:dyDescent="0.3">
      <c r="A15">
        <v>14</v>
      </c>
      <c r="B15" t="s">
        <v>52</v>
      </c>
      <c r="C15" t="s">
        <v>53</v>
      </c>
    </row>
    <row r="16" spans="1:3" x14ac:dyDescent="0.3">
      <c r="A16">
        <v>15</v>
      </c>
      <c r="B16" t="s">
        <v>54</v>
      </c>
      <c r="C16" t="s">
        <v>55</v>
      </c>
    </row>
    <row r="17" spans="1:3" x14ac:dyDescent="0.3">
      <c r="A17">
        <v>16</v>
      </c>
      <c r="B17" t="s">
        <v>56</v>
      </c>
      <c r="C17" t="s">
        <v>57</v>
      </c>
    </row>
    <row r="18" spans="1:3" x14ac:dyDescent="0.3">
      <c r="A18">
        <v>17</v>
      </c>
      <c r="B18" t="s">
        <v>58</v>
      </c>
      <c r="C18" t="s">
        <v>59</v>
      </c>
    </row>
    <row r="19" spans="1:3" x14ac:dyDescent="0.3">
      <c r="A19">
        <v>18</v>
      </c>
      <c r="B19" t="s">
        <v>60</v>
      </c>
      <c r="C19" t="s">
        <v>61</v>
      </c>
    </row>
    <row r="20" spans="1:3" x14ac:dyDescent="0.3">
      <c r="A20">
        <v>19</v>
      </c>
      <c r="B20" t="s">
        <v>62</v>
      </c>
      <c r="C20" t="s">
        <v>63</v>
      </c>
    </row>
    <row r="21" spans="1:3" x14ac:dyDescent="0.3">
      <c r="A21">
        <v>20</v>
      </c>
      <c r="B21" t="s">
        <v>64</v>
      </c>
      <c r="C21" t="s">
        <v>65</v>
      </c>
    </row>
    <row r="22" spans="1:3" x14ac:dyDescent="0.3">
      <c r="A22">
        <v>21</v>
      </c>
      <c r="B22" t="s">
        <v>66</v>
      </c>
      <c r="C22" t="s">
        <v>67</v>
      </c>
    </row>
    <row r="23" spans="1:3" x14ac:dyDescent="0.3">
      <c r="A23">
        <v>22</v>
      </c>
      <c r="B23" t="s">
        <v>68</v>
      </c>
      <c r="C23" t="s">
        <v>69</v>
      </c>
    </row>
    <row r="24" spans="1:3" x14ac:dyDescent="0.3">
      <c r="A24">
        <v>23</v>
      </c>
      <c r="B24" t="s">
        <v>70</v>
      </c>
      <c r="C24" t="s">
        <v>71</v>
      </c>
    </row>
    <row r="25" spans="1:3" x14ac:dyDescent="0.3">
      <c r="A25">
        <v>24</v>
      </c>
      <c r="B25" t="s">
        <v>72</v>
      </c>
      <c r="C25" t="s">
        <v>73</v>
      </c>
    </row>
    <row r="26" spans="1:3" x14ac:dyDescent="0.3">
      <c r="A26">
        <v>25</v>
      </c>
      <c r="B26" t="s">
        <v>74</v>
      </c>
      <c r="C26" t="s">
        <v>75</v>
      </c>
    </row>
    <row r="27" spans="1:3" x14ac:dyDescent="0.3">
      <c r="A27">
        <v>26</v>
      </c>
      <c r="B27" t="s">
        <v>76</v>
      </c>
      <c r="C27" t="s">
        <v>77</v>
      </c>
    </row>
    <row r="28" spans="1:3" x14ac:dyDescent="0.3">
      <c r="A28">
        <v>27</v>
      </c>
      <c r="B28" t="s">
        <v>78</v>
      </c>
      <c r="C28" t="s">
        <v>79</v>
      </c>
    </row>
    <row r="29" spans="1:3" x14ac:dyDescent="0.3">
      <c r="A29">
        <v>28</v>
      </c>
      <c r="B29" t="s">
        <v>80</v>
      </c>
      <c r="C29" t="s">
        <v>81</v>
      </c>
    </row>
    <row r="30" spans="1:3" x14ac:dyDescent="0.3">
      <c r="A30">
        <v>29</v>
      </c>
      <c r="B30" t="s">
        <v>82</v>
      </c>
      <c r="C30" t="s">
        <v>83</v>
      </c>
    </row>
    <row r="31" spans="1:3" x14ac:dyDescent="0.3">
      <c r="A31">
        <v>30</v>
      </c>
      <c r="B31" t="s">
        <v>84</v>
      </c>
      <c r="C31" t="s">
        <v>85</v>
      </c>
    </row>
    <row r="32" spans="1:3" x14ac:dyDescent="0.3">
      <c r="A32">
        <v>31</v>
      </c>
      <c r="B32" t="s">
        <v>86</v>
      </c>
      <c r="C32" t="s">
        <v>87</v>
      </c>
    </row>
    <row r="33" spans="1:3" x14ac:dyDescent="0.3">
      <c r="A33">
        <v>32</v>
      </c>
      <c r="B33" t="s">
        <v>88</v>
      </c>
      <c r="C33" t="s">
        <v>89</v>
      </c>
    </row>
    <row r="34" spans="1:3" x14ac:dyDescent="0.3">
      <c r="A34">
        <v>33</v>
      </c>
      <c r="B34" t="s">
        <v>90</v>
      </c>
      <c r="C34" t="s">
        <v>91</v>
      </c>
    </row>
    <row r="35" spans="1:3" x14ac:dyDescent="0.3">
      <c r="A35">
        <v>34</v>
      </c>
      <c r="B35" t="s">
        <v>92</v>
      </c>
      <c r="C35" t="s">
        <v>93</v>
      </c>
    </row>
    <row r="36" spans="1:3" x14ac:dyDescent="0.3">
      <c r="A36">
        <v>35</v>
      </c>
      <c r="B36" t="s">
        <v>94</v>
      </c>
      <c r="C36" t="s">
        <v>95</v>
      </c>
    </row>
    <row r="37" spans="1:3" x14ac:dyDescent="0.3">
      <c r="A37">
        <v>36</v>
      </c>
      <c r="B37" t="s">
        <v>96</v>
      </c>
      <c r="C37" t="s">
        <v>97</v>
      </c>
    </row>
    <row r="38" spans="1:3" x14ac:dyDescent="0.3">
      <c r="A38">
        <v>37</v>
      </c>
      <c r="B38" t="s">
        <v>98</v>
      </c>
      <c r="C38" t="s">
        <v>99</v>
      </c>
    </row>
    <row r="39" spans="1:3" x14ac:dyDescent="0.3">
      <c r="A39">
        <v>38</v>
      </c>
      <c r="B39" t="s">
        <v>100</v>
      </c>
      <c r="C39" t="s">
        <v>101</v>
      </c>
    </row>
    <row r="40" spans="1:3" x14ac:dyDescent="0.3">
      <c r="A40">
        <v>39</v>
      </c>
      <c r="B40" t="s">
        <v>102</v>
      </c>
      <c r="C40" t="s">
        <v>103</v>
      </c>
    </row>
    <row r="41" spans="1:3" x14ac:dyDescent="0.3">
      <c r="A41">
        <v>40</v>
      </c>
      <c r="B41" t="s">
        <v>104</v>
      </c>
      <c r="C41" t="s">
        <v>105</v>
      </c>
    </row>
    <row r="42" spans="1:3" x14ac:dyDescent="0.3">
      <c r="A42">
        <v>41</v>
      </c>
      <c r="B42" t="s">
        <v>106</v>
      </c>
      <c r="C42" t="s">
        <v>107</v>
      </c>
    </row>
    <row r="43" spans="1:3" x14ac:dyDescent="0.3">
      <c r="A43">
        <v>42</v>
      </c>
      <c r="B43" t="s">
        <v>108</v>
      </c>
      <c r="C43" t="s">
        <v>109</v>
      </c>
    </row>
    <row r="44" spans="1:3" x14ac:dyDescent="0.3">
      <c r="A44">
        <v>43</v>
      </c>
      <c r="B44" t="s">
        <v>110</v>
      </c>
      <c r="C44" t="s">
        <v>118</v>
      </c>
    </row>
    <row r="45" spans="1:3" x14ac:dyDescent="0.3">
      <c r="A45">
        <v>44</v>
      </c>
      <c r="B45" t="s">
        <v>111</v>
      </c>
      <c r="C45" t="s">
        <v>112</v>
      </c>
    </row>
    <row r="46" spans="1:3" x14ac:dyDescent="0.3">
      <c r="A46">
        <v>45</v>
      </c>
      <c r="B46" t="s">
        <v>113</v>
      </c>
      <c r="C46" t="s">
        <v>114</v>
      </c>
    </row>
    <row r="47" spans="1:3" x14ac:dyDescent="0.3">
      <c r="A47">
        <v>46</v>
      </c>
      <c r="B47" t="s">
        <v>115</v>
      </c>
      <c r="C47" t="s">
        <v>116</v>
      </c>
    </row>
    <row r="48" spans="1:3" x14ac:dyDescent="0.3">
      <c r="A48">
        <v>47</v>
      </c>
      <c r="B48" t="s">
        <v>120</v>
      </c>
      <c r="C48" t="s">
        <v>121</v>
      </c>
    </row>
    <row r="49" spans="1:3" x14ac:dyDescent="0.3">
      <c r="A49">
        <v>48</v>
      </c>
      <c r="B49" t="s">
        <v>122</v>
      </c>
      <c r="C49" t="s">
        <v>123</v>
      </c>
    </row>
    <row r="50" spans="1:3" x14ac:dyDescent="0.3">
      <c r="A50">
        <v>49</v>
      </c>
      <c r="B50" t="s">
        <v>124</v>
      </c>
      <c r="C50" t="s">
        <v>125</v>
      </c>
    </row>
    <row r="51" spans="1:3" x14ac:dyDescent="0.3">
      <c r="A51">
        <v>50</v>
      </c>
      <c r="B51" t="s">
        <v>126</v>
      </c>
      <c r="C51" t="s">
        <v>127</v>
      </c>
    </row>
    <row r="52" spans="1:3" x14ac:dyDescent="0.3">
      <c r="A52">
        <v>51</v>
      </c>
      <c r="B52" t="s">
        <v>128</v>
      </c>
      <c r="C52" t="s">
        <v>129</v>
      </c>
    </row>
    <row r="53" spans="1:3" x14ac:dyDescent="0.3">
      <c r="A53">
        <v>52</v>
      </c>
      <c r="B53" t="s">
        <v>130</v>
      </c>
      <c r="C53" t="s">
        <v>131</v>
      </c>
    </row>
    <row r="54" spans="1:3" x14ac:dyDescent="0.3">
      <c r="A54">
        <v>53</v>
      </c>
      <c r="B54" t="s">
        <v>132</v>
      </c>
      <c r="C54" t="s">
        <v>133</v>
      </c>
    </row>
    <row r="55" spans="1:3" x14ac:dyDescent="0.3">
      <c r="A55">
        <v>54</v>
      </c>
      <c r="B55" t="s">
        <v>134</v>
      </c>
      <c r="C55" t="s">
        <v>135</v>
      </c>
    </row>
    <row r="56" spans="1:3" x14ac:dyDescent="0.3">
      <c r="A56">
        <v>55</v>
      </c>
      <c r="B56" t="s">
        <v>136</v>
      </c>
      <c r="C56" t="s">
        <v>137</v>
      </c>
    </row>
    <row r="57" spans="1:3" x14ac:dyDescent="0.3">
      <c r="A57">
        <v>56</v>
      </c>
      <c r="B57" t="s">
        <v>138</v>
      </c>
      <c r="C57" t="s">
        <v>139</v>
      </c>
    </row>
    <row r="58" spans="1:3" x14ac:dyDescent="0.3">
      <c r="A58">
        <v>57</v>
      </c>
      <c r="B58" t="s">
        <v>141</v>
      </c>
      <c r="C58" t="s">
        <v>140</v>
      </c>
    </row>
    <row r="59" spans="1:3" x14ac:dyDescent="0.3">
      <c r="A59">
        <v>58</v>
      </c>
      <c r="B59" t="s">
        <v>142</v>
      </c>
      <c r="C59" t="s">
        <v>143</v>
      </c>
    </row>
    <row r="60" spans="1:3" x14ac:dyDescent="0.3">
      <c r="A60">
        <v>59</v>
      </c>
      <c r="B60" t="s">
        <v>144</v>
      </c>
      <c r="C60" t="s">
        <v>145</v>
      </c>
    </row>
    <row r="61" spans="1:3" x14ac:dyDescent="0.3">
      <c r="A61">
        <v>60</v>
      </c>
      <c r="B61" t="s">
        <v>146</v>
      </c>
      <c r="C61" t="s">
        <v>147</v>
      </c>
    </row>
    <row r="62" spans="1:3" x14ac:dyDescent="0.3">
      <c r="A62">
        <v>61</v>
      </c>
      <c r="B62" t="s">
        <v>149</v>
      </c>
      <c r="C62" t="s">
        <v>148</v>
      </c>
    </row>
    <row r="63" spans="1:3" x14ac:dyDescent="0.3">
      <c r="A63">
        <v>62</v>
      </c>
      <c r="B63" t="s">
        <v>150</v>
      </c>
      <c r="C63" t="s">
        <v>151</v>
      </c>
    </row>
    <row r="64" spans="1:3" x14ac:dyDescent="0.3">
      <c r="A64">
        <v>63</v>
      </c>
      <c r="B64" t="s">
        <v>152</v>
      </c>
      <c r="C64" t="s">
        <v>153</v>
      </c>
    </row>
    <row r="65" spans="1:3" x14ac:dyDescent="0.3">
      <c r="A65">
        <v>64</v>
      </c>
      <c r="B65" t="s">
        <v>154</v>
      </c>
      <c r="C65" t="s">
        <v>155</v>
      </c>
    </row>
    <row r="66" spans="1:3" x14ac:dyDescent="0.3">
      <c r="A66">
        <v>65</v>
      </c>
      <c r="B66" t="s">
        <v>156</v>
      </c>
      <c r="C66" t="s">
        <v>157</v>
      </c>
    </row>
    <row r="67" spans="1:3" x14ac:dyDescent="0.3">
      <c r="A67">
        <v>66</v>
      </c>
      <c r="B67" t="s">
        <v>221</v>
      </c>
      <c r="C67" t="s">
        <v>222</v>
      </c>
    </row>
    <row r="68" spans="1:3" x14ac:dyDescent="0.3">
      <c r="A68">
        <v>67</v>
      </c>
      <c r="B68" t="s">
        <v>223</v>
      </c>
      <c r="C68" t="s">
        <v>224</v>
      </c>
    </row>
    <row r="69" spans="1:3" x14ac:dyDescent="0.3">
      <c r="A69">
        <v>68</v>
      </c>
      <c r="B69" t="s">
        <v>225</v>
      </c>
      <c r="C69" t="s">
        <v>226</v>
      </c>
    </row>
    <row r="70" spans="1:3" x14ac:dyDescent="0.3">
      <c r="A70">
        <v>69</v>
      </c>
      <c r="B70" t="s">
        <v>227</v>
      </c>
      <c r="C70" t="s">
        <v>228</v>
      </c>
    </row>
    <row r="71" spans="1:3" x14ac:dyDescent="0.3">
      <c r="A71">
        <v>70</v>
      </c>
      <c r="B71" t="s">
        <v>229</v>
      </c>
      <c r="C71" t="s">
        <v>61</v>
      </c>
    </row>
    <row r="72" spans="1:3" x14ac:dyDescent="0.3">
      <c r="A72">
        <v>71</v>
      </c>
      <c r="B72" t="s">
        <v>230</v>
      </c>
      <c r="C72" t="s">
        <v>231</v>
      </c>
    </row>
    <row r="73" spans="1:3" x14ac:dyDescent="0.3">
      <c r="A73">
        <v>72</v>
      </c>
      <c r="B73" t="s">
        <v>232</v>
      </c>
      <c r="C73" t="s">
        <v>233</v>
      </c>
    </row>
    <row r="74" spans="1:3" x14ac:dyDescent="0.3">
      <c r="A74">
        <v>73</v>
      </c>
      <c r="B74" t="s">
        <v>234</v>
      </c>
      <c r="C74" t="s">
        <v>235</v>
      </c>
    </row>
    <row r="75" spans="1:3" x14ac:dyDescent="0.3">
      <c r="A75">
        <v>74</v>
      </c>
      <c r="B75" t="s">
        <v>256</v>
      </c>
      <c r="C75" t="s">
        <v>257</v>
      </c>
    </row>
    <row r="76" spans="1:3" x14ac:dyDescent="0.3">
      <c r="A76">
        <v>75</v>
      </c>
      <c r="B76" t="s">
        <v>258</v>
      </c>
      <c r="C76" t="s">
        <v>259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M8"/>
  <sheetViews>
    <sheetView zoomScale="80" zoomScaleNormal="80" workbookViewId="0">
      <selection activeCell="B2" sqref="B2:D2"/>
    </sheetView>
  </sheetViews>
  <sheetFormatPr defaultRowHeight="14.4" x14ac:dyDescent="0.3"/>
  <cols>
    <col min="1" max="1" width="3.5546875" bestFit="1" customWidth="1"/>
    <col min="2" max="2" width="9.109375" bestFit="1" customWidth="1"/>
    <col min="3" max="3" width="10.44140625" bestFit="1" customWidth="1"/>
    <col min="4" max="4" width="20.109375" bestFit="1" customWidth="1"/>
    <col min="5" max="5" width="14.109375" bestFit="1" customWidth="1"/>
    <col min="6" max="6" width="12.33203125" bestFit="1" customWidth="1"/>
    <col min="7" max="7" width="15.21875" bestFit="1" customWidth="1"/>
    <col min="8" max="8" width="15.6640625" bestFit="1" customWidth="1"/>
    <col min="9" max="9" width="6.5546875" bestFit="1" customWidth="1"/>
    <col min="10" max="10" width="9.21875" bestFit="1" customWidth="1"/>
    <col min="11" max="11" width="6.5546875" bestFit="1" customWidth="1"/>
    <col min="12" max="12" width="4.88671875" bestFit="1" customWidth="1"/>
    <col min="13" max="13" width="16.5546875" bestFit="1" customWidth="1"/>
  </cols>
  <sheetData>
    <row r="1" spans="1:13" x14ac:dyDescent="0.3">
      <c r="A1" s="2" t="s">
        <v>21</v>
      </c>
      <c r="B1" s="2" t="s">
        <v>16</v>
      </c>
      <c r="C1" s="2" t="s">
        <v>17</v>
      </c>
      <c r="D1" s="2" t="s">
        <v>18</v>
      </c>
      <c r="E1" s="2" t="s">
        <v>19</v>
      </c>
      <c r="F1" s="2" t="s">
        <v>20</v>
      </c>
      <c r="G1" s="3" t="s">
        <v>22</v>
      </c>
      <c r="H1" s="4" t="s">
        <v>23</v>
      </c>
      <c r="I1" s="4" t="s">
        <v>24</v>
      </c>
      <c r="J1" s="4" t="s">
        <v>25</v>
      </c>
      <c r="K1" s="4" t="s">
        <v>26</v>
      </c>
      <c r="L1" s="4" t="s">
        <v>27</v>
      </c>
      <c r="M1" s="4" t="s">
        <v>28</v>
      </c>
    </row>
    <row r="2" spans="1:13" x14ac:dyDescent="0.3">
      <c r="A2">
        <v>1</v>
      </c>
      <c r="B2">
        <v>23397225</v>
      </c>
      <c r="C2" t="s">
        <v>1</v>
      </c>
      <c r="D2" t="s">
        <v>261</v>
      </c>
      <c r="E2" t="s">
        <v>243</v>
      </c>
      <c r="F2" t="s">
        <v>244</v>
      </c>
      <c r="G2" s="1">
        <v>43077.027488425927</v>
      </c>
      <c r="H2" t="s">
        <v>240</v>
      </c>
      <c r="I2" t="s">
        <v>245</v>
      </c>
      <c r="J2" t="s">
        <v>247</v>
      </c>
      <c r="L2" s="8" t="s">
        <v>219</v>
      </c>
      <c r="M2" s="8" t="s">
        <v>218</v>
      </c>
    </row>
    <row r="3" spans="1:13" x14ac:dyDescent="0.3">
      <c r="A3">
        <v>2</v>
      </c>
      <c r="B3">
        <v>23397224</v>
      </c>
      <c r="C3" t="s">
        <v>1</v>
      </c>
      <c r="D3" t="s">
        <v>262</v>
      </c>
      <c r="E3" t="s">
        <v>243</v>
      </c>
      <c r="F3" t="s">
        <v>244</v>
      </c>
      <c r="G3" s="1">
        <v>43077.027488425927</v>
      </c>
      <c r="H3" t="s">
        <v>240</v>
      </c>
      <c r="I3" t="s">
        <v>245</v>
      </c>
      <c r="J3" t="s">
        <v>241</v>
      </c>
      <c r="L3" s="8" t="s">
        <v>219</v>
      </c>
      <c r="M3" s="8" t="s">
        <v>218</v>
      </c>
    </row>
    <row r="4" spans="1:13" x14ac:dyDescent="0.3">
      <c r="A4">
        <v>3</v>
      </c>
      <c r="B4">
        <v>23397223</v>
      </c>
      <c r="C4" t="s">
        <v>1</v>
      </c>
      <c r="D4" t="s">
        <v>263</v>
      </c>
      <c r="E4" t="s">
        <v>4</v>
      </c>
      <c r="F4" t="s">
        <v>5</v>
      </c>
      <c r="G4" s="1">
        <v>43077.027488425927</v>
      </c>
      <c r="H4" t="s">
        <v>240</v>
      </c>
      <c r="I4" t="s">
        <v>220</v>
      </c>
      <c r="J4" t="s">
        <v>248</v>
      </c>
      <c r="L4" s="8" t="s">
        <v>219</v>
      </c>
      <c r="M4" s="8" t="s">
        <v>218</v>
      </c>
    </row>
    <row r="5" spans="1:13" x14ac:dyDescent="0.3">
      <c r="A5">
        <v>4</v>
      </c>
      <c r="B5">
        <v>23397222</v>
      </c>
      <c r="C5" t="s">
        <v>1</v>
      </c>
      <c r="D5" t="s">
        <v>264</v>
      </c>
      <c r="E5" t="s">
        <v>4</v>
      </c>
      <c r="F5" t="s">
        <v>5</v>
      </c>
      <c r="G5" s="1">
        <v>43077.027488425927</v>
      </c>
      <c r="H5" t="s">
        <v>240</v>
      </c>
      <c r="I5" t="s">
        <v>220</v>
      </c>
      <c r="J5" t="s">
        <v>241</v>
      </c>
      <c r="L5" s="8" t="s">
        <v>219</v>
      </c>
      <c r="M5" s="8" t="s">
        <v>218</v>
      </c>
    </row>
    <row r="6" spans="1:13" x14ac:dyDescent="0.3">
      <c r="A6">
        <v>5</v>
      </c>
      <c r="B6">
        <v>23397221</v>
      </c>
      <c r="C6" t="s">
        <v>1</v>
      </c>
      <c r="D6" t="s">
        <v>265</v>
      </c>
      <c r="E6" t="s">
        <v>4</v>
      </c>
      <c r="F6" t="s">
        <v>5</v>
      </c>
      <c r="G6" s="1">
        <v>43077.027488425927</v>
      </c>
      <c r="H6" t="s">
        <v>240</v>
      </c>
      <c r="I6" t="s">
        <v>220</v>
      </c>
      <c r="J6" t="s">
        <v>246</v>
      </c>
      <c r="L6" s="8" t="s">
        <v>219</v>
      </c>
      <c r="M6" s="8" t="s">
        <v>218</v>
      </c>
    </row>
    <row r="7" spans="1:13" x14ac:dyDescent="0.3">
      <c r="A7">
        <v>6</v>
      </c>
      <c r="B7">
        <v>23391960</v>
      </c>
      <c r="C7" t="s">
        <v>1</v>
      </c>
      <c r="D7" t="s">
        <v>266</v>
      </c>
      <c r="E7" t="s">
        <v>4</v>
      </c>
      <c r="F7" t="s">
        <v>249</v>
      </c>
      <c r="G7" s="1">
        <v>43075.69258101852</v>
      </c>
      <c r="H7" t="s">
        <v>240</v>
      </c>
      <c r="I7" t="s">
        <v>250</v>
      </c>
      <c r="J7" t="s">
        <v>246</v>
      </c>
      <c r="L7" s="8" t="s">
        <v>219</v>
      </c>
      <c r="M7" s="8" t="s">
        <v>218</v>
      </c>
    </row>
    <row r="8" spans="1:13" x14ac:dyDescent="0.3">
      <c r="A8">
        <v>7</v>
      </c>
      <c r="B8">
        <v>23372461</v>
      </c>
      <c r="C8" t="s">
        <v>3</v>
      </c>
      <c r="D8" t="s">
        <v>267</v>
      </c>
      <c r="E8" t="s">
        <v>251</v>
      </c>
      <c r="F8" t="s">
        <v>252</v>
      </c>
      <c r="G8" s="1">
        <v>43069.755856481483</v>
      </c>
      <c r="H8" t="s">
        <v>151</v>
      </c>
      <c r="I8" t="s">
        <v>253</v>
      </c>
      <c r="J8" t="s">
        <v>255</v>
      </c>
      <c r="L8" s="8" t="s">
        <v>254</v>
      </c>
      <c r="M8" s="8" t="s">
        <v>218</v>
      </c>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16</xdr:col>
                    <xdr:colOff>99060</xdr:colOff>
                    <xdr:row>0</xdr:row>
                    <xdr:rowOff>7620</xdr:rowOff>
                  </from>
                  <to>
                    <xdr:col>19</xdr:col>
                    <xdr:colOff>198120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25"/>
  <sheetViews>
    <sheetView zoomScale="70" zoomScaleNormal="70" workbookViewId="0">
      <selection activeCell="E3" sqref="E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37" t="s">
        <v>158</v>
      </c>
      <c r="B1" s="37"/>
      <c r="C1" s="10" t="s">
        <v>159</v>
      </c>
      <c r="D1" s="11"/>
      <c r="L1" s="12" t="s">
        <v>160</v>
      </c>
    </row>
    <row r="2" spans="1:23" s="9" customFormat="1" ht="31.5" customHeight="1" thickBot="1" x14ac:dyDescent="0.35">
      <c r="A2" s="38" t="s">
        <v>161</v>
      </c>
      <c r="B2" s="38"/>
      <c r="C2" s="13">
        <f>COUNTA(A:A)-2</f>
        <v>3</v>
      </c>
      <c r="D2" s="14"/>
      <c r="E2" s="15" t="s">
        <v>18</v>
      </c>
      <c r="F2" s="16" t="s">
        <v>162</v>
      </c>
      <c r="G2" s="17" t="s">
        <v>163</v>
      </c>
      <c r="H2" s="18" t="s">
        <v>164</v>
      </c>
      <c r="I2" s="19" t="s">
        <v>165</v>
      </c>
      <c r="J2" s="20" t="s">
        <v>166</v>
      </c>
      <c r="L2" s="21" t="s">
        <v>167</v>
      </c>
      <c r="N2" s="22" t="s">
        <v>168</v>
      </c>
      <c r="P2" s="23" t="s">
        <v>169</v>
      </c>
      <c r="R2" s="24" t="s">
        <v>170</v>
      </c>
      <c r="T2" s="15" t="s">
        <v>171</v>
      </c>
      <c r="U2" s="25" t="s">
        <v>172</v>
      </c>
      <c r="V2" s="26" t="s">
        <v>173</v>
      </c>
    </row>
    <row r="3" spans="1:23" x14ac:dyDescent="0.3">
      <c r="A3">
        <v>23397225</v>
      </c>
      <c r="E3" t="s">
        <v>261</v>
      </c>
      <c r="G3" s="1">
        <v>43077.027488425927</v>
      </c>
      <c r="L3" s="27" t="s">
        <v>276</v>
      </c>
      <c r="R3" t="s">
        <v>242</v>
      </c>
      <c r="T3" t="s">
        <v>277</v>
      </c>
      <c r="U3" t="s">
        <v>268</v>
      </c>
      <c r="W3" s="28"/>
    </row>
    <row r="4" spans="1:23" x14ac:dyDescent="0.3">
      <c r="A4" t="s">
        <v>270</v>
      </c>
      <c r="F4" s="27" t="s">
        <v>215</v>
      </c>
      <c r="G4" t="s">
        <v>215</v>
      </c>
      <c r="W4" s="28"/>
    </row>
    <row r="5" spans="1:23" x14ac:dyDescent="0.3">
      <c r="A5" t="s">
        <v>271</v>
      </c>
      <c r="F5" s="27" t="s">
        <v>272</v>
      </c>
      <c r="G5">
        <v>4588</v>
      </c>
      <c r="H5" s="27" t="s">
        <v>273</v>
      </c>
      <c r="I5">
        <v>2926</v>
      </c>
      <c r="J5" s="27" t="s">
        <v>274</v>
      </c>
      <c r="K5">
        <v>2097</v>
      </c>
      <c r="L5" s="27" t="s">
        <v>242</v>
      </c>
      <c r="N5" s="27" t="s">
        <v>275</v>
      </c>
      <c r="P5" s="27">
        <v>100</v>
      </c>
      <c r="W5" s="28"/>
    </row>
    <row r="6" spans="1:23" x14ac:dyDescent="0.3">
      <c r="W6" s="28"/>
    </row>
    <row r="7" spans="1:23" x14ac:dyDescent="0.3">
      <c r="W7" s="28"/>
    </row>
    <row r="8" spans="1:23" x14ac:dyDescent="0.3">
      <c r="W8" s="28"/>
    </row>
    <row r="9" spans="1:23" x14ac:dyDescent="0.3">
      <c r="W9" s="28"/>
    </row>
    <row r="10" spans="1:23" x14ac:dyDescent="0.3">
      <c r="W10" s="28"/>
    </row>
    <row r="11" spans="1:23" x14ac:dyDescent="0.3">
      <c r="W11" s="28"/>
    </row>
    <row r="12" spans="1:23" x14ac:dyDescent="0.3">
      <c r="W12" s="28"/>
    </row>
    <row r="13" spans="1:23" x14ac:dyDescent="0.3">
      <c r="W13" s="28"/>
    </row>
    <row r="14" spans="1:23" x14ac:dyDescent="0.3">
      <c r="W14" s="28"/>
    </row>
    <row r="15" spans="1:23" x14ac:dyDescent="0.3">
      <c r="W15" s="28"/>
    </row>
    <row r="16" spans="1:23" x14ac:dyDescent="0.3">
      <c r="W16" s="28"/>
    </row>
    <row r="17" spans="23:23" x14ac:dyDescent="0.3">
      <c r="W17" s="28"/>
    </row>
    <row r="18" spans="23:23" x14ac:dyDescent="0.3">
      <c r="W18" s="28"/>
    </row>
    <row r="19" spans="23:23" x14ac:dyDescent="0.3">
      <c r="W19" s="28"/>
    </row>
    <row r="20" spans="23:23" x14ac:dyDescent="0.3">
      <c r="W20" s="28"/>
    </row>
    <row r="21" spans="23:23" x14ac:dyDescent="0.3">
      <c r="W21" s="28"/>
    </row>
    <row r="22" spans="23:23" x14ac:dyDescent="0.3">
      <c r="W22" s="28"/>
    </row>
    <row r="23" spans="23:23" x14ac:dyDescent="0.3">
      <c r="W23" s="28"/>
    </row>
    <row r="24" spans="23:23" x14ac:dyDescent="0.3">
      <c r="W24" s="28"/>
    </row>
    <row r="25" spans="23:23" x14ac:dyDescent="0.3">
      <c r="W25" s="28"/>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1]!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39"/>
  <sheetViews>
    <sheetView topLeftCell="A19" workbookViewId="0">
      <selection activeCell="H36" sqref="H36"/>
    </sheetView>
  </sheetViews>
  <sheetFormatPr defaultRowHeight="14.4" x14ac:dyDescent="0.3"/>
  <cols>
    <col min="2" max="2" width="14.5546875" bestFit="1" customWidth="1"/>
    <col min="4" max="4" width="24.44140625" bestFit="1" customWidth="1"/>
  </cols>
  <sheetData>
    <row r="1" spans="1:4" ht="15" thickBot="1" x14ac:dyDescent="0.35">
      <c r="A1" s="29">
        <f>COUNTA(A2:A94)</f>
        <v>9</v>
      </c>
      <c r="B1" s="30" t="s">
        <v>174</v>
      </c>
      <c r="C1" s="31">
        <f>COUNTA(C2:C94)</f>
        <v>38</v>
      </c>
      <c r="D1" s="32" t="s">
        <v>175</v>
      </c>
    </row>
    <row r="2" spans="1:4" x14ac:dyDescent="0.3">
      <c r="A2" s="28" t="s">
        <v>176</v>
      </c>
      <c r="B2" s="33"/>
      <c r="C2" t="s">
        <v>134</v>
      </c>
    </row>
    <row r="3" spans="1:4" x14ac:dyDescent="0.3">
      <c r="A3" s="28" t="s">
        <v>177</v>
      </c>
      <c r="B3" s="33"/>
      <c r="C3" t="s">
        <v>178</v>
      </c>
    </row>
    <row r="4" spans="1:4" x14ac:dyDescent="0.3">
      <c r="A4" s="28" t="s">
        <v>179</v>
      </c>
      <c r="B4" s="33"/>
      <c r="C4" t="s">
        <v>180</v>
      </c>
    </row>
    <row r="5" spans="1:4" x14ac:dyDescent="0.3">
      <c r="A5" s="34" t="s">
        <v>181</v>
      </c>
      <c r="B5" s="33"/>
      <c r="C5" t="s">
        <v>182</v>
      </c>
    </row>
    <row r="6" spans="1:4" x14ac:dyDescent="0.3">
      <c r="A6" s="34" t="s">
        <v>183</v>
      </c>
      <c r="B6" s="33"/>
      <c r="C6" t="s">
        <v>184</v>
      </c>
    </row>
    <row r="7" spans="1:4" x14ac:dyDescent="0.3">
      <c r="A7" t="s">
        <v>185</v>
      </c>
      <c r="B7" s="33"/>
      <c r="C7" t="s">
        <v>186</v>
      </c>
    </row>
    <row r="8" spans="1:4" x14ac:dyDescent="0.3">
      <c r="A8" t="s">
        <v>187</v>
      </c>
      <c r="B8" s="33"/>
      <c r="C8" s="28" t="s">
        <v>188</v>
      </c>
    </row>
    <row r="9" spans="1:4" x14ac:dyDescent="0.3">
      <c r="A9" t="s">
        <v>189</v>
      </c>
      <c r="B9" s="33"/>
      <c r="C9" t="s">
        <v>190</v>
      </c>
    </row>
    <row r="10" spans="1:4" x14ac:dyDescent="0.3">
      <c r="A10" t="s">
        <v>191</v>
      </c>
      <c r="B10" s="33"/>
      <c r="C10" t="s">
        <v>192</v>
      </c>
    </row>
    <row r="11" spans="1:4" x14ac:dyDescent="0.3">
      <c r="B11" s="33"/>
      <c r="C11" t="s">
        <v>193</v>
      </c>
    </row>
    <row r="12" spans="1:4" x14ac:dyDescent="0.3">
      <c r="B12" s="33"/>
      <c r="C12" t="s">
        <v>194</v>
      </c>
    </row>
    <row r="13" spans="1:4" x14ac:dyDescent="0.3">
      <c r="B13" s="33"/>
      <c r="C13" t="s">
        <v>195</v>
      </c>
    </row>
    <row r="14" spans="1:4" x14ac:dyDescent="0.3">
      <c r="B14" s="33"/>
      <c r="C14" t="s">
        <v>196</v>
      </c>
    </row>
    <row r="15" spans="1:4" x14ac:dyDescent="0.3">
      <c r="B15" s="33"/>
      <c r="C15" t="s">
        <v>197</v>
      </c>
    </row>
    <row r="16" spans="1:4" x14ac:dyDescent="0.3">
      <c r="B16" s="33"/>
      <c r="C16" t="s">
        <v>31</v>
      </c>
    </row>
    <row r="17" spans="2:3" x14ac:dyDescent="0.3">
      <c r="B17" s="33"/>
      <c r="C17" t="s">
        <v>198</v>
      </c>
    </row>
    <row r="18" spans="2:3" x14ac:dyDescent="0.3">
      <c r="C18" t="s">
        <v>185</v>
      </c>
    </row>
    <row r="19" spans="2:3" x14ac:dyDescent="0.3">
      <c r="C19" t="s">
        <v>199</v>
      </c>
    </row>
    <row r="20" spans="2:3" x14ac:dyDescent="0.3">
      <c r="C20" t="s">
        <v>200</v>
      </c>
    </row>
    <row r="21" spans="2:3" x14ac:dyDescent="0.3">
      <c r="C21" t="s">
        <v>201</v>
      </c>
    </row>
    <row r="22" spans="2:3" x14ac:dyDescent="0.3">
      <c r="C22" t="s">
        <v>202</v>
      </c>
    </row>
    <row r="23" spans="2:3" x14ac:dyDescent="0.3">
      <c r="C23" t="s">
        <v>184</v>
      </c>
    </row>
    <row r="24" spans="2:3" x14ac:dyDescent="0.3">
      <c r="C24" t="s">
        <v>203</v>
      </c>
    </row>
    <row r="25" spans="2:3" x14ac:dyDescent="0.3">
      <c r="C25" t="s">
        <v>204</v>
      </c>
    </row>
    <row r="26" spans="2:3" x14ac:dyDescent="0.3">
      <c r="C26" t="s">
        <v>205</v>
      </c>
    </row>
    <row r="27" spans="2:3" x14ac:dyDescent="0.3">
      <c r="C27" t="s">
        <v>206</v>
      </c>
    </row>
    <row r="28" spans="2:3" x14ac:dyDescent="0.3">
      <c r="C28" t="s">
        <v>207</v>
      </c>
    </row>
    <row r="29" spans="2:3" x14ac:dyDescent="0.3">
      <c r="C29" t="s">
        <v>208</v>
      </c>
    </row>
    <row r="30" spans="2:3" x14ac:dyDescent="0.3">
      <c r="C30" t="s">
        <v>209</v>
      </c>
    </row>
    <row r="31" spans="2:3" x14ac:dyDescent="0.3">
      <c r="C31" t="s">
        <v>210</v>
      </c>
    </row>
    <row r="32" spans="2:3" x14ac:dyDescent="0.3">
      <c r="C32" t="s">
        <v>211</v>
      </c>
    </row>
    <row r="33" spans="3:3" x14ac:dyDescent="0.3">
      <c r="C33" t="s">
        <v>212</v>
      </c>
    </row>
    <row r="34" spans="3:3" x14ac:dyDescent="0.3">
      <c r="C34" t="s">
        <v>213</v>
      </c>
    </row>
    <row r="35" spans="3:3" x14ac:dyDescent="0.3">
      <c r="C35" t="s">
        <v>214</v>
      </c>
    </row>
    <row r="36" spans="3:3" x14ac:dyDescent="0.3">
      <c r="C36" t="s">
        <v>216</v>
      </c>
    </row>
    <row r="37" spans="3:3" x14ac:dyDescent="0.3">
      <c r="C37" t="s">
        <v>217</v>
      </c>
    </row>
    <row r="38" spans="3:3" x14ac:dyDescent="0.3">
      <c r="C38" t="s">
        <v>236</v>
      </c>
    </row>
    <row r="39" spans="3:3" x14ac:dyDescent="0.3">
      <c r="C39" t="s">
        <v>239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2017-12-29T12:07:16Z</dcterms:modified>
</cp:coreProperties>
</file>