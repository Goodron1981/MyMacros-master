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ЦяКнига"/>
  <mc:AlternateContent xmlns:mc="http://schemas.openxmlformats.org/markup-compatibility/2006">
    <mc:Choice Requires="x15">
      <x15ac:absPath xmlns:x15ac="http://schemas.microsoft.com/office/spreadsheetml/2010/11/ac" url="C:\Users\chernyahivskiy.v\Desktop\Тести\MymacrosforRota\Гит_макрос\MyMacros-master\"/>
    </mc:Choice>
  </mc:AlternateContent>
  <bookViews>
    <workbookView xWindow="0" yWindow="0" windowWidth="23040" windowHeight="9060" tabRatio="767"/>
  </bookViews>
  <sheets>
    <sheet name="Лист2" sheetId="7" r:id="rId1"/>
    <sheet name="BufferList" sheetId="10" state="hidden" r:id="rId2"/>
    <sheet name="Авторизация_PR" sheetId="5" r:id="rId3"/>
    <sheet name="Ключи" sheetId="9" r:id="rId4"/>
    <sheet name="Список" sheetId="6" r:id="rId5"/>
    <sheet name="Обработка" sheetId="11" r:id="rId6"/>
    <sheet name="Исключения" sheetId="12" r:id="rId7"/>
  </sheets>
  <functionGroups builtInGroupCount="18"/>
  <definedNames>
    <definedName name="_xlnm._FilterDatabase" localSheetId="6" hidden="1">Исключения!$C$1:$C$25</definedName>
    <definedName name="_xlnm._FilterDatabase" localSheetId="5" hidden="1">Обработка!$T$1:$T$25</definedName>
    <definedName name="_xlnm._FilterDatabase" localSheetId="4" hidden="1">Список!$H$1:$H$1</definedName>
    <definedName name="api_pr.sape.ru" localSheetId="0">Лист2!#REF!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2" l="1"/>
  <c r="A1" i="12"/>
  <c r="C2" i="11" l="1"/>
  <c r="A1" i="9" l="1"/>
</calcChain>
</file>

<file path=xl/connections.xml><?xml version="1.0" encoding="utf-8"?>
<connections xmlns="http://schemas.openxmlformats.org/spreadsheetml/2006/main">
  <connection id="1" name="Test3" type="4" refreshedVersion="0" deleted="1" background="1">
    <webPr xml="1" sourceData="1" parsePre="1" consecutive="1" url="C:\Users\chernyahivskiy.v\Desktop\Тести\TestRepo\Test3.xml" htmlTables="1"/>
  </connection>
  <connection id="2" name="Test31" type="4" refreshedVersion="0" deleted="1" background="1">
    <webPr xml="1" sourceData="1" url="C:\Users\chernyahivskiy.v\Desktop\Тести\TestRepo\Test3.xml" htmlTables="1" htmlFormat="all"/>
  </connection>
  <connection id="3" name="Test32" type="4" refreshedVersion="0" deleted="1" background="1">
    <webPr xml="1" sourceData="1" url="C:\Users\chernyahivskiy.v\Desktop\Тести\TestRepo\Test3.xml" htmlTables="1" htmlFormat="all"/>
  </connection>
  <connection id="4" name="Test33" type="4" refreshedVersion="0" deleted="1" background="1">
    <webPr xml="1" sourceData="1" url="C:\Users\chernyahivskiy.v\Desktop\Тести\TestRepo\Test3.xml" htmlTables="1" htmlFormat="all"/>
  </connection>
  <connection id="5" name="Test34" type="4" refreshedVersion="0" deleted="1" background="1">
    <webPr xml="1" sourceData="1" url="C:\Users\chernyahivskiy.v\Desktop\Тести\TestRepo\Test3.xml" htmlTables="1" htmlFormat="all"/>
  </connection>
  <connection id="6" name="Test35" type="4" refreshedVersion="0" deleted="1" background="1">
    <webPr xml="1" sourceData="1" url="C:\Users\chernyahivskiy.v\Desktop\Тести\TestRepo\Test3.xml" htmlTables="1" htmlFormat="all"/>
  </connection>
  <connection id="7" name="Test36" type="4" refreshedVersion="0" deleted="1" background="1">
    <webPr xml="1" sourceData="1" url="C:\Users\chernyahivskiy.v\Desktop\Тести\TestRepo\Test3.xml" htmlTables="1" htmlFormat="all"/>
  </connection>
  <connection id="8" name="Test37" type="4" refreshedVersion="0" deleted="1" background="1">
    <webPr xml="1" sourceData="1" url="C:\Users\chernyahivskiy.v\Desktop\Тести\TestRepo\Test3.xml" htmlTables="1" htmlFormat="all"/>
  </connection>
</connections>
</file>

<file path=xl/sharedStrings.xml><?xml version="1.0" encoding="utf-8"?>
<sst xmlns="http://schemas.openxmlformats.org/spreadsheetml/2006/main" count="361" uniqueCount="293">
  <si>
    <t>Cookies</t>
  </si>
  <si>
    <t>link</t>
  </si>
  <si>
    <t>archive</t>
  </si>
  <si>
    <t>review</t>
  </si>
  <si>
    <t>news</t>
  </si>
  <si>
    <t>ссылка в новости</t>
  </si>
  <si>
    <t>статья</t>
  </si>
  <si>
    <t>обзор</t>
  </si>
  <si>
    <t>ссылка в архиве</t>
  </si>
  <si>
    <t>от 1000 символов с учетом пробелов</t>
  </si>
  <si>
    <t>в ленте новостей</t>
  </si>
  <si>
    <t>в уже готовой статье указнной оптимизатором</t>
  </si>
  <si>
    <t>от 2000 символов с учетом пробелов</t>
  </si>
  <si>
    <t>медоборудование</t>
  </si>
  <si>
    <t>ID заявки</t>
  </si>
  <si>
    <t>Тип заявки</t>
  </si>
  <si>
    <t>Площадка</t>
  </si>
  <si>
    <t>Ссылка анкора</t>
  </si>
  <si>
    <t>Текст анкора</t>
  </si>
  <si>
    <t>№</t>
  </si>
  <si>
    <t xml:space="preserve">Дата создания </t>
  </si>
  <si>
    <t>Ключевое слово</t>
  </si>
  <si>
    <t>Анкор</t>
  </si>
  <si>
    <t>Картинка</t>
  </si>
  <si>
    <t>Статус</t>
  </si>
  <si>
    <t>Title</t>
  </si>
  <si>
    <t>Keywords с сайта</t>
  </si>
  <si>
    <t>Корень слова</t>
  </si>
  <si>
    <t>Фраза</t>
  </si>
  <si>
    <t>жк</t>
  </si>
  <si>
    <t>Как выбрать квартиру.</t>
  </si>
  <si>
    <t>сковород</t>
  </si>
  <si>
    <t>Как выбрать сковороду.</t>
  </si>
  <si>
    <t>недвижимост</t>
  </si>
  <si>
    <t>Как правильно выбирать недвижимость.</t>
  </si>
  <si>
    <t>здоровье</t>
  </si>
  <si>
    <t>Как правильно следить за своим здоровьем.</t>
  </si>
  <si>
    <t>оренд</t>
  </si>
  <si>
    <t>Как орендовать недвижимость.</t>
  </si>
  <si>
    <t>алергия</t>
  </si>
  <si>
    <t>Какие причины аллергии.</t>
  </si>
  <si>
    <t>мебел</t>
  </si>
  <si>
    <t>Как выбрать мебель для дома.</t>
  </si>
  <si>
    <t>виагра</t>
  </si>
  <si>
    <t>Как улучшить сексуальные отношения.</t>
  </si>
  <si>
    <t>потенци</t>
  </si>
  <si>
    <t>Как возобновить интимные отношения.</t>
  </si>
  <si>
    <t>семян</t>
  </si>
  <si>
    <t>Как правильно отбирать семена.</t>
  </si>
  <si>
    <t>грузо</t>
  </si>
  <si>
    <t>квартир</t>
  </si>
  <si>
    <t>Как правильно купить квартиру.</t>
  </si>
  <si>
    <t>двер</t>
  </si>
  <si>
    <t>Как выбрать двери для дома.</t>
  </si>
  <si>
    <t>гипсокартон</t>
  </si>
  <si>
    <t>Как начать ремонт квартиры.</t>
  </si>
  <si>
    <t>алкоголизм</t>
  </si>
  <si>
    <t>Как победить алкоголизм.</t>
  </si>
  <si>
    <t>прическ</t>
  </si>
  <si>
    <t>Модные прически этого сезона.</t>
  </si>
  <si>
    <t>цветы</t>
  </si>
  <si>
    <t>Как выбрать хорошие цветы.</t>
  </si>
  <si>
    <t>золот</t>
  </si>
  <si>
    <t>Как выбрать украшения из золота.</t>
  </si>
  <si>
    <t>игрушк</t>
  </si>
  <si>
    <t>Выбираем детские игрушки.</t>
  </si>
  <si>
    <t>английск</t>
  </si>
  <si>
    <t>Как быстро выучить английский.</t>
  </si>
  <si>
    <t>одежд</t>
  </si>
  <si>
    <t>Как выбрать модную одежду.</t>
  </si>
  <si>
    <t>ноутбук</t>
  </si>
  <si>
    <t>Как правильно выбрать ноутбук.</t>
  </si>
  <si>
    <t>моноколесо</t>
  </si>
  <si>
    <t>Как пользоваться моноколесом.</t>
  </si>
  <si>
    <t>зерн</t>
  </si>
  <si>
    <t>Правильное хранение зерновых культур.</t>
  </si>
  <si>
    <t>флаг</t>
  </si>
  <si>
    <t>Где устанавливается флагшток.</t>
  </si>
  <si>
    <t>кита</t>
  </si>
  <si>
    <t>Как забрать посылку из Китая.</t>
  </si>
  <si>
    <t>раскрутка</t>
  </si>
  <si>
    <t>Как правильно раскуртить свой сайт.</t>
  </si>
  <si>
    <t>конвейер</t>
  </si>
  <si>
    <t>Где используются конвейеры.</t>
  </si>
  <si>
    <t>новострой</t>
  </si>
  <si>
    <t>Как выбрать квартиру в новостройке.</t>
  </si>
  <si>
    <t>иннов</t>
  </si>
  <si>
    <t>Как рождаются инновационные идеи.</t>
  </si>
  <si>
    <t>рыбалк</t>
  </si>
  <si>
    <t>Что нужно для рыбалки.</t>
  </si>
  <si>
    <t>кино</t>
  </si>
  <si>
    <t>Любимые жанры в кино.</t>
  </si>
  <si>
    <t>шин</t>
  </si>
  <si>
    <t>Как выбрать шины для автомобиля.</t>
  </si>
  <si>
    <t>сайт</t>
  </si>
  <si>
    <t>Как создается сайт.</t>
  </si>
  <si>
    <t>упаковк</t>
  </si>
  <si>
    <t>Праздничная упаковка подарка.</t>
  </si>
  <si>
    <t>наркотик</t>
  </si>
  <si>
    <t>Как наркотики разрушают жизнь.</t>
  </si>
  <si>
    <t>генети</t>
  </si>
  <si>
    <t>Как генетика улучшает нашу жизнь.</t>
  </si>
  <si>
    <t>метал</t>
  </si>
  <si>
    <t>Какие изделия изготавливают из металла.</t>
  </si>
  <si>
    <t>краска</t>
  </si>
  <si>
    <t>Как правильно выбрать краску.</t>
  </si>
  <si>
    <t>тиковое масло</t>
  </si>
  <si>
    <t>Виды защиты древесины.</t>
  </si>
  <si>
    <t>генератор</t>
  </si>
  <si>
    <t>конструктор</t>
  </si>
  <si>
    <t>Как выбрать конструктор для ребенка.</t>
  </si>
  <si>
    <t>кондиционер</t>
  </si>
  <si>
    <t>Как подобрать кондиционер.</t>
  </si>
  <si>
    <t>перфоратор</t>
  </si>
  <si>
    <t>Как выбрать дрель для дома.</t>
  </si>
  <si>
    <t>Виды оборудования для медучтереждений.</t>
  </si>
  <si>
    <t>Где применяются электрические генераторы.</t>
  </si>
  <si>
    <t>PR=e07e38cba1eed2510d65ba13639149c8:4257d371afe68a2d22a3b0ed378c6c9915617694; path=/</t>
  </si>
  <si>
    <t>плать</t>
  </si>
  <si>
    <t>Модные платья этого сезона.</t>
  </si>
  <si>
    <t>чугун</t>
  </si>
  <si>
    <t>Прочность изделий из чугуна.</t>
  </si>
  <si>
    <t>авто</t>
  </si>
  <si>
    <t>Как правильно купить автомобиль.</t>
  </si>
  <si>
    <t>ваканс</t>
  </si>
  <si>
    <t>Как правильно составить резюме.</t>
  </si>
  <si>
    <t>мусор</t>
  </si>
  <si>
    <t>Как мы загрязняем нашу планету.</t>
  </si>
  <si>
    <t>ткан</t>
  </si>
  <si>
    <t>Как выбрать качественную ткань.</t>
  </si>
  <si>
    <t>печать</t>
  </si>
  <si>
    <t>Какие виды печати существуют.</t>
  </si>
  <si>
    <t>компан</t>
  </si>
  <si>
    <t>Как открыть компанию за границей.</t>
  </si>
  <si>
    <t>ресторан</t>
  </si>
  <si>
    <t>Как подобрать ресторан.</t>
  </si>
  <si>
    <t>гинеколог</t>
  </si>
  <si>
    <t>Распостраненные женские болезни.</t>
  </si>
  <si>
    <t>Нужны ли прививки.</t>
  </si>
  <si>
    <t>приви</t>
  </si>
  <si>
    <t>холтер</t>
  </si>
  <si>
    <t>Что такое экг по холтеру.</t>
  </si>
  <si>
    <t>crm</t>
  </si>
  <si>
    <t>Как взаимодействовать с клиентами.</t>
  </si>
  <si>
    <t>путевк</t>
  </si>
  <si>
    <t>Как недорого выбрать тур.</t>
  </si>
  <si>
    <t>Чем уголь выгоднее.</t>
  </si>
  <si>
    <t>угл</t>
  </si>
  <si>
    <t>amway</t>
  </si>
  <si>
    <t>Как побдобрать себе косметику.</t>
  </si>
  <si>
    <t>терминал</t>
  </si>
  <si>
    <t>Как расчитаться картой в магазине.</t>
  </si>
  <si>
    <t>роды</t>
  </si>
  <si>
    <t>отопление</t>
  </si>
  <si>
    <t>Чем обогревать свой дом.</t>
  </si>
  <si>
    <t>Proxy</t>
  </si>
  <si>
    <t>Кол. Строк</t>
  </si>
  <si>
    <t>Конечный текст</t>
  </si>
  <si>
    <t>YES</t>
  </si>
  <si>
    <t>Начинка</t>
  </si>
  <si>
    <t>Дата соз. Заявки</t>
  </si>
  <si>
    <t>Блоки</t>
  </si>
  <si>
    <t>Статус заявки</t>
  </si>
  <si>
    <t>Обрезка</t>
  </si>
  <si>
    <t>Перевод</t>
  </si>
  <si>
    <t>Обрез2</t>
  </si>
  <si>
    <t>Уникальность</t>
  </si>
  <si>
    <t>Тема</t>
  </si>
  <si>
    <t>Линк</t>
  </si>
  <si>
    <t>Закрыть сейчас</t>
  </si>
  <si>
    <t>Закрытие</t>
  </si>
  <si>
    <t>Отбор по сайту</t>
  </si>
  <si>
    <t>Отбор по предложениям</t>
  </si>
  <si>
    <t>русский</t>
  </si>
  <si>
    <t>українська</t>
  </si>
  <si>
    <t>наш</t>
  </si>
  <si>
    <t>только зарегистрированные пользователи</t>
  </si>
  <si>
    <t>мы предлогаем</t>
  </si>
  <si>
    <t>live</t>
  </si>
  <si>
    <t>у нас в офисе</t>
  </si>
  <si>
    <t>о телеканале</t>
  </si>
  <si>
    <t>мы работаем</t>
  </si>
  <si>
    <t>многолетний опыт</t>
  </si>
  <si>
    <t>интеренет-магазин</t>
  </si>
  <si>
    <t>президент</t>
  </si>
  <si>
    <t>пожалуйста зарегистрируйтесь</t>
  </si>
  <si>
    <t>врачи клиники</t>
  </si>
  <si>
    <t>реклама</t>
  </si>
  <si>
    <t>форум</t>
  </si>
  <si>
    <t>спонсор</t>
  </si>
  <si>
    <t>рассказывают</t>
  </si>
  <si>
    <t>оставьте пожалуйста</t>
  </si>
  <si>
    <t>нас просили</t>
  </si>
  <si>
    <t>видео</t>
  </si>
  <si>
    <t>предыдущей статье</t>
  </si>
  <si>
    <t>киев</t>
  </si>
  <si>
    <t>главный редактор</t>
  </si>
  <si>
    <t xml:space="preserve">шеф-редактор </t>
  </si>
  <si>
    <t>комментарии</t>
  </si>
  <si>
    <t>украин</t>
  </si>
  <si>
    <t>росси</t>
  </si>
  <si>
    <t>республик</t>
  </si>
  <si>
    <t>рекомендует</t>
  </si>
  <si>
    <t>специализируюсь</t>
  </si>
  <si>
    <t>создаю</t>
  </si>
  <si>
    <t>приватбанк</t>
  </si>
  <si>
    <t>dom.ria</t>
  </si>
  <si>
    <t>укрпочт</t>
  </si>
  <si>
    <t>полтав</t>
  </si>
  <si>
    <t xml:space="preserve">я </t>
  </si>
  <si>
    <t>мною</t>
  </si>
  <si>
    <t>посвящается</t>
  </si>
  <si>
    <t>Small Text</t>
  </si>
  <si>
    <t>ощадбанк</t>
  </si>
  <si>
    <t>сбербанк</t>
  </si>
  <si>
    <t>NoK</t>
  </si>
  <si>
    <t>стяжка</t>
  </si>
  <si>
    <t>Как произвести стяжку пола.</t>
  </si>
  <si>
    <t>медтехн</t>
  </si>
  <si>
    <t>Виды медицинского оборудования.</t>
  </si>
  <si>
    <t>канализац</t>
  </si>
  <si>
    <t>Как правильно следить за канализацией.</t>
  </si>
  <si>
    <t>водоотвод</t>
  </si>
  <si>
    <t>Как посторить водоотвод у дома.</t>
  </si>
  <si>
    <t>парикмахер</t>
  </si>
  <si>
    <t>отель</t>
  </si>
  <si>
    <t>Как правильно выбрать отель.</t>
  </si>
  <si>
    <t>полимер</t>
  </si>
  <si>
    <t>Виды изделий из полимеров.</t>
  </si>
  <si>
    <t>массаж</t>
  </si>
  <si>
    <t>Как правильно выполнять массаж.</t>
  </si>
  <si>
    <t>свидетельство о регистрации</t>
  </si>
  <si>
    <t>наклейк</t>
  </si>
  <si>
    <t>Виды индивидуальной рекламы.</t>
  </si>
  <si>
    <t>весь спектр услуг</t>
  </si>
  <si>
    <t>Как правильно закрепить груз.</t>
  </si>
  <si>
    <t>плитк</t>
  </si>
  <si>
    <t>Как подобрать плитку для кухни.</t>
  </si>
  <si>
    <t>санатор</t>
  </si>
  <si>
    <t>Как поддерживать свое здоровье.</t>
  </si>
  <si>
    <t>animan.kiev.ua</t>
  </si>
  <si>
    <t>gv.org.ua</t>
  </si>
  <si>
    <t>elit-a-a.com.ua</t>
  </si>
  <si>
    <t>books.openlib.org.ua</t>
  </si>
  <si>
    <t>webcapitalist.ru</t>
  </si>
  <si>
    <t>hdtv.net.ua</t>
  </si>
  <si>
    <t>interline.net.ua</t>
  </si>
  <si>
    <t>психотерап</t>
  </si>
  <si>
    <t>Как приобрести душевное равновесие.</t>
  </si>
  <si>
    <t>балкон</t>
  </si>
  <si>
    <t>Как расширить балкон.</t>
  </si>
  <si>
    <t>матра</t>
  </si>
  <si>
    <t>Как создать здоровый сон.</t>
  </si>
  <si>
    <t>бд</t>
  </si>
  <si>
    <t>Виды баз данных.</t>
  </si>
  <si>
    <t>git</t>
  </si>
  <si>
    <t>Сохранение версий при разработке.</t>
  </si>
  <si>
    <t>css</t>
  </si>
  <si>
    <t>Использование стилей в вебразработке.</t>
  </si>
  <si>
    <t>веб</t>
  </si>
  <si>
    <t>тамад</t>
  </si>
  <si>
    <t>Как подготовиться к свадьбе.</t>
  </si>
  <si>
    <t>антикор</t>
  </si>
  <si>
    <t>Как защитить метал от ржавчины.</t>
  </si>
  <si>
    <t>текстил</t>
  </si>
  <si>
    <t>Используем текстиль в нашем доме.</t>
  </si>
  <si>
    <t>Обработано</t>
  </si>
  <si>
    <t>Не подключена к публикации.</t>
  </si>
  <si>
    <t>smartx.kiev.ua</t>
  </si>
  <si>
    <t>fledur.org.ua</t>
  </si>
  <si>
    <t>biscont.com.ua</t>
  </si>
  <si>
    <t>apples-web.org.ua</t>
  </si>
  <si>
    <t>Как женщине подготовится к родам.</t>
  </si>
  <si>
    <t>PR=6bdf20929d223f534c3407635f66218c:a51532c9587ca7a831ccdca1db87d5eed789758f; path=/</t>
  </si>
  <si>
    <t>druzhba-lux.com.ua</t>
  </si>
  <si>
    <t>seocoding.ru</t>
  </si>
  <si>
    <t>https://buybusticket.ru</t>
  </si>
  <si>
    <t>билеты на автобус онлайн</t>
  </si>
  <si>
    <t>&lt;a href="https://buybusticket.ru"&gt;билеты на автобус онлайн&lt;/a&gt;</t>
  </si>
  <si>
    <t>ve4e.com.ua</t>
  </si>
  <si>
    <t>OK</t>
  </si>
  <si>
    <t>автобус</t>
  </si>
  <si>
    <t>Как можно путешестовать по Европе.</t>
  </si>
  <si>
    <t>http://www.rthvictoria.com/wp-content/uploads/2015/05/puteshestvie-na-avto.jpg</t>
  </si>
  <si>
    <t>http://germanblog.ru/zhiteiskoe/kak-budgetno-puteshestvovat-po-evrope</t>
  </si>
  <si>
    <t>http://mishka.travel/blog/index/node/id/3633-40-sovetov-o-tom-kak-puteshestvovat-deshevo/</t>
  </si>
  <si>
    <t xml:space="preserve">Mishka.Travel _x000D_
 _x000D_
 _x000D_
Лента _x000D_
Новичку _x000D_
Страны _x000D_
Отчёты мишки _x000D_
Экспедиции _x000D_
Дешёвые билеты _x000D_
 _x000D_
Войти Vk Fb Email _x000D_
Добавить отчёт _x000D_
_x000D_
 _x000D_
40 советов о том, как путешествовать дешево _x000D_
Краткий курс "Как стать самостоятельным путешественником"_x000D_
_x000D_
Раздел: Самостоятельный туризм _x000D_
_x000D_
11.12.14, Эльнар Мансуров _x000D_
_x000D_
_x000D_
Fb_x000D_
Tw_x000D_
Вк_x000D_
Оk_x000D_
_x000D_
_x000D_
_x000D_
Цикл статей: _x000D_
Краткий курс "Как стать самостоятельным путешественником"_x000D_
1. Организация самостоятельных путешествий _x000D_
2. Собираемся в путешествие: список дел _x000D_
3. 100 секретов успешного путешествия _x000D_
4. Как купить дешевые авиабилеты _x000D_
5. Как выбрать и снять жилье в путешествии _x000D_
6. Как оформить визу _x000D_
7. Страхование за рубежом _x000D_
8. Как взять в аренду автомобиль? _x000D_
9. Железные дороги и поезда _x000D_
10. Автобусные компании в Европе _x000D_
11. Как купить круиз онлайн по интернету _x000D_
12. Мобильные приложения для путешествий _x000D_
13. Особенности бронирования на сайте booking.com _x000D_
14. Как забронировать жилье на Airbnb _x000D_
15. Все хитрости и способы сэкономить на аренде жилья через Airbnb _x000D_
16. Как найти дешёвые авиабилеты через сайты-поисковики _x000D_
17. 40 советов о том, как путешествовать дешево _x000D_
18. 10 ошибок соло-путешественников _x000D_
19. Что делать, если вы остались без денег и документов в чужой стране _x000D_
20. Список необязательных, но важных дел, которые нужно сделать до поездки _x000D_
21. Как начать путешествовать _x000D_
_x000D_
_x000D_
_x000D_
_x000D_
_x000D_
_x000D_
_x000D_
_x000D_
_x000D_
_x000D_
Автор Эльнар Мансуров _x000D_
 _x000D_
_x000D_
_x000D_
$$$ как вернуть часть потраченных денег или заработать на любых покупках $$$ _x000D_
В связи с очередным кризисом Mishka.Travel публикует советы о том, как сэкономить в путешествии. Эти хитрости помогут уменьшить расходы на поездку не в ущерб качеству._x000D_
_x000D_
_x000D_
_x000D_
Когда ехать_x000D_
_x000D_
_x000D_
Путешествуйте в несезон, когда стоимость отелей в разы меньше. Например, чтобы посетить комплекс храмов Метеоры в Греции, необязательно ехать в летнюю жару – осенью и весной там не менее прекрасно, а стоимость отелей в Калампаке в разы ниже. Исландия прекрасна не только летом, но и зимой, когда есть возможность увидеть северное сияние._x000D_
_x000D_
_x000D_
_x000D_
Не летайте в праздники и другие значимые события, когда стоимость жилья взлетает в _x000D_
разы. Перед бронированием авиабилетов убедитесь в отсутствии мероприятий, которые действуют на туристов как приманка. Например, карнавал в Рио-де-Жайнеро или День Королевы в Нидерландах – если, конечно, вы планируете поездку не специально ради них. Во время проведения промышленной ярмарки в Ганновере найти свободную гостиницу в радиусе 80 км практически невозможно. _x000D_
_x000D_
_x000D_
Если хочется слетать готовым туром по путёвке, придется сидеть на чемоданах до самого вылета. Лучшие горящие предложения будут появляться ближе к вылету. _x000D_
_x000D_
_x000D_
_x000D_
_x000D_
Авиабилеты_x000D_
_x000D_
_x000D_
Следить за всеми акциями авиакомпаний, подписаться на рассылки, планировать маршрут заранее. Сложнее всего придется тем, у кого поездка планируется строго в определенные даты. Дешёвые билеты можно искать на www.bilet.mishka.travel_x000D_
_x000D_
_x000D_
Авиабилеты при резком увеличении курса валют лучше выкупать сразу. Не ждать – стоимость обновляется каждую среду по курсу евро, который выставляет IATA, округленного до 50 коп. То есть, если в последнюю среду курс IATA  был 67,50, а спустя 5 дней вам понадобилось купить авиабилет и курс ЦБ уже составляет 70 рублей, то нет смысла ждать увеличения цены авиабилетов, покупайте сейчас._x000D_
_x000D_
_x000D_
Лучше всего бронировать авиабилеты у того агента, кто продает их в рублях (при условии, что покупаете рублевой банковской картой, конечно). Некоторые недобросовестные агенты продают авиабилеты не в рублях (хотя и указывают стоимость в этой валюте), а по курсу ЦБ. Из-за разницы курса вашего банка и курса ЦБ вы можете потерять 3-5% после списания окончательной суммы. _x000D_
_x000D_
_x000D_
Не забывайте при покупке авиабилетов про open jaw. Это схема покупки билета, когда пассажир обратно летит из другого города.  Один авиабилет по маршруту «Москва – Мадрид, Париж – Москва» может выйти дешевле, чем покупка двух авиабилетов отдельно._x000D_
_x000D_
_x000D_
Не покупайте авиабилет, пока не уточните весь маршрут передвижения. Можно купить билет на лоукостер на 30 евро дешевле и радоваться, пока не выяснится, что в 5 утра попасть в город Ск­авста (Skavsta) (в 150 км от Стокгольма) выйдет недешево. И спокойнее, и дешевле было бы вылетать днем из главного аэропорты Стокгольма – Арланды. _x000D_
_x000D_
Как купить дешевые авиабилеты_x000D_
_x000D_
_x000D_
_x000D_
Проживание_x000D_
_x000D_
_x000D_
Если курс рубля падает, а в будущем уже запланировано путешествие, лучше бронировать проживание со 100% оплатой сейчас, чтобы уменьшить будущие расходы. Это можно сделать, если бронировать апартаменты через airbnb, отели через hotels.com, iglobe.ru или оформлять проживание на booking с условиями «100% предоплата в день бронирования». _x000D_
_x000D_
_x000D_
_x000D_
Чаще останавливаться в хостелах, особенно, если путешествуете в одиночку, – стоимость проживания может быть иногда и вовсе символичной. _x000D_
_x000D_
_x000D_
Останавливайтесь в кемпингах. Если вы путешествуете на автомобиле в теплое время года, такой вид проживания поможет существенно снизить расходы. Европейские кемпинги оборудованы душевыми с горячей водой, туалетами и другими удобствами. Кроме того, часто они расположены вблизи природных достопримечательностей, что экономит время._x000D_
_x000D_
_x000D_
Пользуйтесь сервисами гостеприимства hospitalityclub и couchsurfing, где можно бесплатно переночевать и подружиться с местными жителями.  _x000D_
_x000D_
_x000D_
Снимайте апартаменты с кухней, где можно приготовить еду (как и в хостелах). Сэкономить на еде можно, если питаться в восточных (турецких, китайских, индийских и прочих) закусочных, ходить днем на бизнес-ланчи в рестораны._x000D_
_x000D_
_x000D_
Не бронируйте отели на первой линии, если можно прилично сэкономить, арендовав скутер. Не бронируйте гостиницы рядом с подъемниками на горнолыжных курортах, если чуть дальше можно снять жилье дешевле и пользоваться бесплатным трансфером._x000D_
_x000D_
_x000D_
Попробуйте написать напрямую в отель, иногда цены напрямую ниже, чем через посредника. Гостиницы могут рассмотреть ваш запрос индивидуально. Небольшие отели идут навстречу и делают скидки (особенно, если вы едете на большое количество дней и снимаете несколько номеров)._x000D_
_x000D_
_x000D_
Подбирайте жилье как можно ближе к тем достопримечательностям или части города, где вы будете проводить большее время, чтобы экономить на общественном транспорте. И наоборот, если вы остановитесь в пригороде – узнайте все варианты экономии на проездных. _x000D_
_x000D_
_x000D_
В Азии бронируйте отель на первые один-два дня пребывания (например, через agoda.com). На месте вы сможете найти более недорогой вариант, который не входит в мировые системы бронирования._x000D_
_x000D_
_x000D_
Не бронируйте жилье в центре города, если вы взяли в прокат авто. Зачем переплачивать за въезд в центр и парковку, если проживание в мотелях за городом дешевле?_x000D_
_x000D_
_x000D_
Путешествовать большой компанией, количество человек в которой кратно четырем, – это идеальный вариант. Комфортно делить расходы на проживание, аренду автомобиля, стоимость бензина на всех участников. На Airbnb также есть отличные варианты больших апартаментов и домов, это будет дешевле двух- и трехместных номеров в отелях через booking. Еще лучше выбрать для путешествия компанией автодом, это особенно актуально для дорогих стран с красивыми пейзажными дорогами. Лучшие маршруты – кольцевая дорога в Исландии, шоссе в Аляске, дороги вдоль фьордов в Норвегии._x000D_
_x000D_
Как выбрать и снять жилье в путешествии_x000D_
_x000D_
 _x000D_
_x000D_
_x000D_
_x000D_
Как построить маршрут_x000D_
_x000D_
_x000D_
Составлять маршруты через Будапешт, Милан или Мюнхен, куда летают лоукостеры из Москвы. Обязательно ознакомиться со списком всех актуальных низкобюджетных авиакомпаний._x000D_
_x000D_
_x000D_
Перелет до соседних городов иногда поможет существенно сэкономить. Например, вам нужно попасть в Монако – обычно дешевле долететь до Милана, чем до Ниццы, откуда на поезде доехать до Лазурного берега через Вентимилью и Сан-Ремо. Авиабилеты в Германию часто заметно дешевле, чем в соседние Бельгию, Нидерланды и Чехию. А вылетать из Екатеринбурга в города Европы, Азии и Америки выгоднее, чем из менее развитых соседних аэропортов Перми, Челябинска, Уфы, Тюмени. _x000D_
_x000D_
_x000D_
Строить маршруты через соседние страны, откуда перелеты в разы дешевле из-за большого числа лоукостеров. Например, жители Санкт-Петербурга давно приучены к бюджетным перелетам из финских Тампере и Лаппеенранты. Остальным можно летать через соседние Латвию, Литву или Польшу. Добраться до этих стран можно недорого поездами и автобусами, к тому же это отличный повод разнообразить свой маршрут. Например, начать свое путешествие из Риги, Каунаса, Вильнюса или Гданьска, откуда по Европе можно летать и за 10 евро._x000D_
_x000D_
_x000D_
Если ваша цель – «просто попутешествовать», и вы еще не определились со страной, то сделайте выбор в пользу тех мест, о которых вы раньше и не думали. Поверьте, гостеприимство Армении, снежные пики Киргизии и пляжи Куршской Косы в Калининградской области и Литве вас покорят._x000D_
_x000D_
_x000D_
Исследуйте собственную страну. Пора вспомнить и про внутренний туризм.  Вместо Стоунхенджа и Мачу Пикчу – столбы выветривания Маньпупунер в Коми, вместо горнолыжных комплексов в Шамони и Церматте – кавказские Эльбрус и Домбай, а еще Байкал, Приморье и многое другое._x000D_
_x000D_
_x000D_
Не увлекайтесь громкими названиями типа Сен-Тропе или Канны. В соседнем нераскрученном Ментоне впечатлений, возможно, будет и больше. Избегайте самых туристических очевидных троп. Рядом всегда есть что-то, что дешевле и не хуже. _x000D_
_x000D_
_x000D_
_x000D_
Готовьтесь тщательнее к путешествию, чтобы непредвиденные траты не стали для вас неожиданностью. Узнайте стоимость трансфера аэропорт-город, проезда на общественном транспорте и входных билетов в музеи. Всегда есть и бесплатные возможности. Например, вход в Центр Гетти в Лос-Анджелесе свободный, а в расписании большинства платных музеев есть день, когда вход бесплатен. Например, Ботанический сад в Барселоне каждое воскресенье с 15 часов открывает свои ворота, а первое воскресенье месяца можно бесплатно посетить Лувр._x000D_
_x000D_
_x000D_
_x000D_
_x000D_
Деньги и покупки_x000D_
_x000D_
_x000D_
В некоторых странах существует «черный курс», который сильно выгоднее официального (например, в Аргентине, Венесуэле или Узбекистане), обменивайте деньги с выгодой для себя. В этих же странах крайне невыгодно выйдет оплата по карте._x000D_
_x000D_
_x000D_
Если вы часто покупаете что-то за евровую валюту, лучше иметь карту MasterCard, а не Visa, с которой ваш банк делает списания всегда в долларах. Помните о конвертации. Когда вы платите картой, в этой операции могут участвовать три валюты: валюта, в которой вы храните деньги на карте, валюта покупки и валюта биллинга (расчета между банком и платежной системой). Наиболее невыгодный пример: оплата рублевой картой VISA товара, чья стоимость указана в евро. _x000D_
_x000D_
Как экономить в путешествии с помощью cashback-сервисов_x000D_
_x000D_
_x000D_
_x000D_
Транспорт_x000D_
_x000D_
_x000D_
Пользуйтесь сервисом по поиску попутчиков, таких как mitfahrgelegenheit ("митфар") или blablacar. Можно сэкономить на поездах и автобусах как на короткие, так и на дальние расстояния._x000D_
_x000D_
_x000D_
Бронируйте автомобили через брокеров – это всегда дешевле бронирования напрямую через агентов. Например, через www.economycarrentals.com. В некоторых странах выгоднее взять автомобиль у местных локальных контор (например, в Исландии), а в Марокко по арабской традиции можно еще и торговаться._x000D_
_x000D_
_x000D_
Не ездите в такси при каждом удобном случае. Узнайте об экспрессах до центра города из аэропорта. Комбинируйте общественный транспорт,  например, в Праге сперва на автобусе до станции, откуда любым общественным транспортом до вашего отеля.  _x000D_
_x000D_
_x000D_
Ищите альтернативы по передвижениям. Если не получается взять в аренду машину, а бюджетных лоукостеров нет, смело садитесь в автобус. Это касается как и развитых стран (Австралии, Новой Зеландии или Аргентины), так и бедных стран Юго-Восточной Азии, где по сути это единственный верный способ передвижения. Например, авиабилет из Квинстауна в Крайстчерч стоит 150 евро минимум, хотя лететь меньше часа, автобус intercity за 8,5 часов проложит свой путь через новозеландские озера и горы за сумму в 3,5 раза ниже._x000D_
  _x000D_
_x000D_
 _x000D_
_x000D_
_x000D_
_x000D_
Питание_x000D_
_x000D_
_x000D_
Чтобы попробовать локальную пищу, необязательно искать мишленовский ресторан, можно поужинать через сервис eatwith, где местные жители предлагают за разумную стоимость накормить туристов._x000D_
_x000D_
_x000D_
Не посещайте рестораны с наклейкой Tripadvisor и держитесь подальше от мест, рекомендованных lonely planet. После того, как кафе попадет в самый известный путеводитель в мире, оно неизбежно станет очень популярным, дорогим, и не факт, что сервис останется на том же уровне. Выбирайте те места, которые посещают местные жители._x000D_
_x000D_
_x000D_
_x000D_
_x000D_
Экскурсии_x000D_
_x000D_
_x000D_
Не пользуйтесь услугами гидов, когда есть отличные аудиогиды и приложения-путеводители. В большинстве случаев они бесплатные. _x000D_
_x000D_
_x000D_
Записывайтесь на бесплатные экскурсии free walking tour, их можно найти практически в любом городе на местных локальных сайтах и в путеводителях. В крупных европейских городах они проводятся каждый день в одно и то же время и стартуют с одного и того же места. Хотя экскурсии и бесплатные, принято оставлять гиду чаевые (размер определяете вы)._x000D_
_x000D_
_x000D_
Нет смысла покупать бумажный путеводитель, достаточно бесплатных приложений для путешествий. К тому же практически все известные путеводители доступны в pdf-версии, даже lonely planet. _x000D_
_x000D_
Мобильные приложения для путешествий_x000D_
_x000D_
_x000D_
_x000D_
На чем экономить не надо_x000D_
_x000D_
_x000D_
Никогда не экономьте на страховом полисе, всегда оформляйте страховку хотя бы на минимальную сумму (30000 евро для зоны Шенгена), а при занятиях спортом делайте спортивную, иначе при получении травмы во время сноубординга / кайтинга вам откажут в бесплатной медицинской помощи. Страховку можно сделать сейчас и онлайн._x000D_
_x000D_
_x000D_
Сделайте шенгенскую мультивизу на длительный период, чтобы не тратить средства на ее оформление несколько раз. Изучите свою визовую историю и примите верное решение. Например, итальянцы при наличии двух и более шенгенских виз за последние 24 месяца ставят визу на 1-2 года. А французы при наличии французских виз могут поставить визу на 5 лет._x000D_
_x000D_
_x000D_
_x000D_
_x000D_
Ну и, пожалуй, самое главное_x000D_
_x000D_
_x000D_
Экономия экономией, но оставайтесь всегда вежливым и приветливым гостем, не ездите бесплатно в общественном транспорте, штраф и стыд не то, чем должна запомниться поездка. _x000D_
_x000D_
Экономьте разумно. Без фанатизма. _x000D_
_x000D_
_x000D_
 _x000D_
_x000D_
_x000D_
&lt;&lt;&lt;&lt;&lt;&lt;&lt;&lt;&lt;&lt;&lt;&lt;&lt;&lt; _x000D_
_x000D_
Как найти дешёвые авиабилеты через сайты-поисковики_x000D_
&gt;&gt;&gt;&gt;&gt;&gt;&gt;&gt;&gt;&gt;&gt;&gt;&gt;&gt; _x000D_
_x000D_
10 ошибок соло-путешественников_x000D_
_x000D_
_x000D_
Fb_x000D_
Tw_x000D_
Вк_x000D_
Оk_x000D_
_x000D_
_x000D_
_x000D_
КОММЕНТАРИИ_x000D_
Чтобы добавить комментарий, необходимо авторизоваться:_x000D_
Vk / Fb / Email _x000D_
Иван Петров 11.12.14 # _x000D_
Спасибо за статью! Много полезных советов:) _x000D_
Алекс Красный-Чулок 14.01.15 # _x000D_
статья просто крутая)) благодарю создателя! _x000D_
Анна Альхимович 21.01.15 # _x000D_
Спасибо, прекрасные советы! _x000D_
Наталья Самохина 09.03.15 # _x000D_
всегда, отличные советы! спасибо! _x000D_
Ольга Рудакова 15.03.15 # _x000D_
Бесценный труд! Благодарим! _x000D_
Tatiana Khvan 02.06.15 # _x000D_
Уникальный материал, Мишка! Спасибо. Доступно, захватывающе, полезно и с любовью.­ _x000D_
 _x000D_
Денис Савельев 26.08.15 # _x000D_
Полезная статья! _x000D_
 _x000D_
Ирина Звонорёва 07.11.15 # _x000D_
Спасибо,очень доступно и познавательно! _x000D_
Серия: Краткий курс "Как стать самостоятельным путешественником"_x000D_
Как начать путешествовать _x000D_
Список необязательных, но важных дел, которые нужно сделать до поездки _x000D_
Что делать, если вы остались без денег и документов в чужой стране _x000D_
10 ошибок соло-путешественников _x000D_
40 советов о том, как путешествовать дешево _x000D_
Как найти дешёвые авиабилеты через сайты-поисковики _x000D_
Все хитрости и способы сэкономить на аренде жилья через Airbnb _x000D_
Как забронировать жилье на Airbnb _x000D_
Особенности бронирования на сайте booking.com _x000D_
Мобильные приложения для путешествий _x000D_
Как купить круиз онлайн по интернету _x000D_
Автобусные компании в Европе _x000D_
Железные дороги и поезда _x000D_
Как взять в аренду автомобиль? _x000D_
Страхование за рубежом _x000D_
Как оформить визу _x000D_
Как выбрать и снять жилье в путешествии _x000D_
Как купить дешевые авиабилеты _x000D_
100 секретов успешного путешествия _x000D_
Собираемся в путешествие: список дел _x000D_
Организация самостоятельных путешествий _x000D_
mishka.travel путешествуй _x000D_
с головой_x000D_
_x000D_
_x000D_
2010-2017 _x000D_
Не забудье подписаться на нас в социальных сетях_x000D_
мы не перестанем вдохновлять вас на путешествия! </t>
  </si>
  <si>
    <t xml:space="preserve"> В связи с очередным кризисом Mishka.Travel публикует советы о том, как сэкономить в путешествии. Эти хитрости помогут уменьшить расходы на поездку не в ущерб качеству._x000D_ Путешествуйте в несезон, когда стоимость отелей в разы меньше. Например, чтобы посетить комплекс храмов Метеоры в Греции, необязательно ехать в летнюю жару – осенью и весной там не менее прекрасно, а стоимость отелей в Калампаке в разы ниже. Исландия прекрасна не только летом, но и зимой, когда есть возможность увидеть северное сияние._x000D_ Авиабилеты при резком увеличении курса валют лучше выкупать сразу. Не ждать – стоимость обновляется каждую среду по курсу евро, который выставляет IATA, округленного до 50 коп. То есть, если в последнюю среду курс IATA  был 67,50, а спустя 5 дней вам понадобилось купить авиабилет и курс ЦБ уже составляет 70 рублей, то нет смысла ждать увеличения цены авиабилетов, покупайте сейчас._x000D_ Не забывайте при покупке авиабилетов про open jaw. Это схема покупки билета, когда пассажир обратно летит из другого города.  Один авиабилет по маршруту «Москва – Мадрид, Париж – Москва» может выйти дешевле, чем покупка двух авиабилетов отдельно._x000D_ Останавливайтесь в кемпингах. Если вы путешествуете на автомобиле в теплое время года, такой вид проживания поможет существенно снизить расходы. Европейские кемпинги оборудованы душевыми с горячей водой, туалетами и другими удобствами. Кроме того, часто они расположены вблизи природных достопримечательностей, что экономит время._x000D_ Снимайте апартаменты с кухней, где можно приготовить еду (как и в хостелах). Сэкономить на еде можно, если питаться в восточных (турецких, китайских, индийских и прочих) закусочных, ходить днем на бизнес-ланчи в рестораны._x000D_ Не бронируйте отели на первой линии, если можно прилично сэкономить, арендовав скутер. Не бронируйте гостиницы рядом с подъемниками на горнолыжных курортах, если чуть дальше можно снять жилье дешевле и пользоваться бесплатным трансфером._x000D_ В Азии бронируйте отель на первые один-два дня пребывания (например, через agoda.com). На месте вы сможете найти более недорогой вариант, который не входит в мировые системы бронирования._x000D_ Путешествовать большой компанией, количество человек в которой кратно четырем, – это идеальный вариант. Комфортно делить расходы на проживание, аренду автомобиля, стоимость бензина на всех участников. На Airbnb также есть отличные варианты больших апартаментов и домов, это будет дешевле двух- и трехместных номеров в отелях через booking. Еще лучше выбрать для путешествия компанией автодом, это особенно актуально для дорогих стран с красивыми пейзажными дорогами. Лучшие маршруты – кольцевая дорога в Исландии, шоссе в Аляске, дороги вдоль фьордов в Норвегии._x000D_ Составлять маршруты через Будапешт, Милан или Мюнхен, куда летают лоукостеры из Москвы. Обязательно ознакомиться со списком всех актуальных низкобюджетных авиакомпаний._x000D_ Строить маршруты через соседние страны, откуда перелеты в разы дешевле из-за большого числа лоукостеров. Например, жители Санкт-Петербурга давно приучены к бюджетным перелетам из финских Тампере и Лаппеенранты. Остальным можно летать через соседние Латвию, Литву или Польшу. Добраться до этих стран можно недорого поездами и автобусами, к тому же это отличный повод разнообразить свой маршрут. Например, начать свое путешествие из Риги, Каунаса, Вильнюса или Гданьска, откуда по Европе можно летать и за 10 евро._x000D_ Если ваша цель – «просто попутешествовать», и вы еще не определились со страной, то сделайте выбор в пользу тех мест, о которых вы раньше и не думали. Поверьте, гостеприимство Армении, снежные пики Киргизии и пляжи Куршской Косы в Калининградской области и Литве вас покорят._x000D_ Исследуйте собственную страну. Пора вспомнить и про внутренний туризм.  Вместо Стоунхенджа и Мачу Пикчу – столбы выветривания Маньпупунер в Коми, вместо горнолыжных комплексов в Шамони и Церматте – кавказские Эльбрус и Домбай, а еще Байкал, Приморье и многое другое._x000D_ Готовьтесь тщательнее к путешествию, чтобы непредвиденные траты не стали для вас неожиданностью. Узнайте стоимость трансфера аэропорт-город, проезда на общественном транспорте и входных билетов в музеи. Всегда есть и бесплатные возможности. Например, вход в Центр Гетти в Лос-Анджелесе свободный, а в расписании большинства платных музеев есть день, когда вход бесплатен. Например, Ботанический сад в Барселоне каждое воскресенье с 15 часов открывает свои ворота, а первое воскресенье месяца можно бесплатно посетить Лувр._x000D_ В некоторых странах существует «черный курс», который сильно выгоднее официального (например, в Аргентине, Венесуэле или Узбекистане), обменивайте деньги с выгодой для себя. В этих же странах крайне невыгодно выйдет оплата по карте._x000D_ Пользуйтесь сервисом по поиску попутчиков, таких как mitfahrgelegenheit ("митфар") или blablacar. Можно сэкономить на поездах и автобусах как на короткие, так и на дальние расстояния._x000D_ Бронируйте автомобили через брокеров – это всегда дешевле бронирования напрямую через агентов. Например, через www.economycarrentals.com. В некоторых странах выгоднее взять автомобиль у местных локальных контор (например, в Исландии), а в Марокко по арабской традиции можно еще и торговаться._x000D_ Ищите альтернативы по передвижениям. Если не получается взять в аренду машину, а бюджетных лоукостеров нет, смело садитесь в автобус. Это касается как и развитых стран (Австралии, Новой Зеландии или Аргентины), так и бедных стран Юго-Восточной Азии, где по сути это единственный верный способ передвижения. Например, авиабилет из Квинстауна в Крайстчерч стоит 150 евро минимум, хотя лететь меньше часа, автобус intercity за 8,5 часов проложит свой путь через новозеландские озера и горы за сумму в 3,5 раза ниже._x000D_ Чтобы попробовать локальную пищу, необязательно искать мишленовский ресторан, можно поужинать через сервис eatwith, где местные жители предлагают за разумную стоимость накормить туристов._x000D_ Не посещайте рестораны с наклейкой Tripadvisor и держитесь подальше от мест, рекомендованных lonely planet. После того, как кафе попадет в самый известный путеводитель в мире, оно неизбежно станет очень популярным, дорогим, и не факт, что сервис останется на том же уровне. Выбирайте те места, которые посещают местные жители._x000D_ Никогда не экономьте на страховом полисе, всегда оформляйте страховку хотя бы на минимальную сумму (30000 евро для зоны Шенгена), а при занятиях спортом делайте спортивную, иначе при получении травмы во время сноубординга / кайтинга вам откажут в бесплатной медицинской помощи. Страховку можно сделать сейчас и онлайн._x000D_ Сделайте шенгенскую мультивизу на длительный период, чтобы не тратить средства на ее оформление несколько раз. Изучите свою визовую историю и примите верное решение. Например, итальянцы при наличии двух и более шенгенских виз за последние 24 месяца ставят визу на 1-2 года. А французы при наличии французских виз могут поставить визу на 5 лет._x000D_</t>
  </si>
  <si>
    <t xml:space="preserve">Эти хитрости помогут уменьшить расходы на поездку не в ущерб качеству._x000D_ Путешествуйте в несезон, когда стоимость отелей в разы меньше. Например, чтобы посетить комплекс храмов Метеоры в Греции, необязательно ехать в летнюю жару – осенью и весной там не менее прекрасно, а стоимость отелей в Калампаке в разы ниже. Исландия прекрасна не только летом, но и зимой, когда есть возможность увидеть северное сияние._x000D_ Авиабилеты при резком увеличении курса валют лучше выкупать сразу. Не ждать – стоимость обновляется каждую среду по курсу евро, который выставляет IATA, округленного до 50 коп. Это схема покупки билета, когда пассажир обратно летит из другого города.  Один авиабилет по маршруту «Москва – Мадрид, Париж – Москва» может выйти дешевле, чем покупка двух авиабилетов отдельно._x000D_ Останавливайтесь в кемпингах. Если вы путешествуете на автомобиле в теплое время года, такой вид проживания поможет существенно снизить расходы. Европейские кемпинги оборудованы душевыми с горячей водой, туалетами и другими удобствами. Кроме того, часто они расположены вблизи природных достопримечательностей, что экономит время._x000D_ Снимайте апартаменты с кухней, где можно приготовить еду (как и в хостелах). Сэкономить на еде можно, если питаться в восточных (турецких, китайских, индийских и прочих) закусочных, ходить днем на бизнес-ланчи в рестораны._x000D_ Не бронируйте отели на первой линии, если можно прилично сэкономить, арендовав скутер. Не бронируйте гостиницы рядом с подъемниками на горнолыжных курортах, если чуть дальше можно снять жилье дешевле и пользоваться бесплатным трансфером._x000D_ В Азии бронируйте отель на первые один-два дня пребывания (например, через agoda.com). Комфортно делить расходы на проживание, аренду автомобиля, стоимость бензина на всех участников. На Airbnb также есть отличные варианты больших апартаментов и домов, это будет дешевле двух- и трехместных номеров в отелях через booking. Остальным можно летать через соседние Латвию, Литву или Польшу. </t>
  </si>
  <si>
    <t xml:space="preserve">Ці хитрощі допоможуть зменшити витрати на поїздку не на шкоду якості. Подорожуйте в несезон, коли вартість готелів в рази менше. Наприклад, щоб відвідати комплекс храмів Метеори в Греції необов'язково їхати в літню спеку – восени і навесні там не менш чудово, а вартість готелів в Калампаке в рази нижче. Ісландія прекрасна не тільки влітку, але і взимку, коли є можливість побачити північне сяйво. Авіаквитки при різкому збільшенні курсу валют краще викуповувати відразу. Не чекати – вартість оновлюється кожну середу з курсу євро, який виставляє IATA, округленого до 50 коп. Це схема покупки квитка, коли пасажир назад летить з іншого міста. Один квиток за маршрутом «Москва – Мадрид, Париж – Москва» може вийти дешевше, ніж покупка двох авіаквитків окремо. Зупиняйтеся в кемпінгах. Якщо ви подорожуєте на автомобілі в теплу пору року, такий вид проживання допоможе істотно знизити витрати. Європейські кемпінги обладнані душовими кабінами з гарячою водою, туалетами та іншими зручностями. Крім того, часто вони розташовані поблизу природних визначних пам'яток, що економить час. Знімайте апартаменти з кухнею, де можна приготувати їжу (як і в хостелах). Заощадити на їжі можна, якщо харчуватися в східних (турецьких, китайських, індійських та інших) закусочних, ходити вдень на бізнес-ланчі в ресторани. Не бронюйте готелі на першій лінії, якщо можна пристойно заощадити, орендувавши скутер. Іншим можна літати через сусідні Латвії, Литви чи Польщі. </t>
  </si>
  <si>
    <t>Як можна мандрувати по Європі.</t>
  </si>
  <si>
    <t>[caption id="" align="aligncenter" width="350"]&lt;img src="http://www.rthvictoria.com/wp-content/uploads/2015/05/puteshestvie-na-avto.jpg" alt="" width="350" height="300" /&gt; Як можна мандрувати по Європі.[/caption]    Ці хитрощі допоможуть зменшити витрати на поїздку не на шкоду якості. Подорожуйте в несезон, коли вартість готелів в рази менше. Наприклад, щоб відвідати комплекс храмів Метеори в Греції необов'язково їхати в літню спеку – восени і навесні там не менш чудово, а вартість готелів в Калампаке в рази нижче. Ісландія прекрасна не тільки влітку, але і взимку, коли є можливість побачити північне сяйво. Авіаквитки при різкому збільшенні курсу валют краще викуповувати відразу. Не чекати – вартість оновлюється кожну середу з курсу євро, який виставляє IATA, округленого до 50 коп. Це схема покупки квитка, коли пасажир назад летить з іншого міста. Також ви можете знайти все необхідне на ресурсі &lt;a href="https://buybusticket.ru"&gt;билеты на автобус онлайн&lt;/a&gt;._x000D_
    Один квиток за маршрутом «Москва – Мадрид, Париж – Москва» може вийти дешевше, ніж покупка двох авіаквитків окремо. Зупиняйтеся в кемпінгах. Якщо ви подорожуєте на автомобілі в теплу пору року, такий вид проживання допоможе істотно знизити витрати. Європейські кемпінги обладнані душовими кабінами з гарячою водою, туалетами та іншими зручностями. Крім того, часто вони розташовані поблизу природних визначних пам'яток, що економить час. Знімайте апартаменти з кухнею, де можна приготувати їжу (як і в хостелах). Заощадити на їжі можна, якщо харчуватися в східних (турецьких, китайських, індійських та інших) закусочних, ходити вдень на бізнес-ланчі в ресторани. _x000D_
     Не бронюйте готелі на першій лінії, якщо можна пристойно заощадити, орендувавши скутер. Не бронюйте готелі поруч з підйомниками на гірськолижних курортах, якщо трохи далі можна зняти житло дешевше і користуватися безкоштовним трансфером. В Азії бронюйте готель на перші один-два дні перебування (наприклад, через agoda.com). Комфортно ділити витрати на проживання, оренду автомобіля, вартість бензину на всіх учасників. На Airbnb також є відмінні варіанти великих квартир і будинків, це буде дешевше дво - і тримісних номерів у готелях через booking. Іншим можна літати через сусідні Латвії, Литви чи Польщі.</t>
  </si>
  <si>
    <t>http://seocoding.ru/yak-mozhna-mandruvati-po-yevropi/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</si>
</sst>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4"/>
      <color rgb="FF000000"/>
      <name val="Calibri"/>
      <family val="2"/>
      <charset val="204"/>
    </font>
    <font>
      <i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22" fontId="0" fillId="0" borderId="0" xfId="0" applyNumberFormat="1"/>
    <xf numFmtId="0" fontId="1" fillId="6" borderId="3" xfId="0" applyFont="1" applyFill="1" applyBorder="1"/>
    <xf numFmtId="22" fontId="1" fillId="6" borderId="3" xfId="0" applyNumberFormat="1" applyFont="1" applyFill="1" applyBorder="1"/>
    <xf numFmtId="22" fontId="1" fillId="7" borderId="3" xfId="0" applyNumberFormat="1" applyFont="1" applyFill="1" applyBorder="1"/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vertical="center"/>
    </xf>
    <xf numFmtId="0" fontId="6" fillId="4" borderId="1" xfId="0" applyFont="1" applyFill="1" applyBorder="1" applyAlignment="1">
      <alignment vertical="center"/>
    </xf>
    <xf numFmtId="0" fontId="6" fillId="3" borderId="1" xfId="0" applyFont="1" applyFill="1" applyBorder="1" applyAlignment="1">
      <alignment vertical="center"/>
    </xf>
    <xf numFmtId="0" fontId="2" fillId="11" borderId="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2" fillId="12" borderId="4" xfId="0" applyFont="1" applyFill="1" applyBorder="1" applyAlignment="1">
      <alignment horizontal="center" vertical="center"/>
    </xf>
    <xf numFmtId="0" fontId="0" fillId="13" borderId="0" xfId="0" applyFill="1" applyAlignment="1">
      <alignment vertical="center"/>
    </xf>
    <xf numFmtId="0" fontId="2" fillId="3" borderId="4" xfId="0" applyFont="1" applyFill="1" applyBorder="1" applyAlignment="1">
      <alignment vertical="center"/>
    </xf>
    <xf numFmtId="0" fontId="0" fillId="11" borderId="0" xfId="0" applyFill="1" applyAlignment="1">
      <alignment vertical="center"/>
    </xf>
    <xf numFmtId="0" fontId="2" fillId="14" borderId="4" xfId="0" applyFont="1" applyFill="1" applyBorder="1" applyAlignment="1">
      <alignment vertical="center"/>
    </xf>
    <xf numFmtId="0" fontId="0" fillId="15" borderId="0" xfId="0" applyFill="1" applyAlignment="1">
      <alignment vertical="center"/>
    </xf>
    <xf numFmtId="0" fontId="0" fillId="16" borderId="0" xfId="0" applyFill="1" applyBorder="1" applyAlignment="1">
      <alignment vertical="center"/>
    </xf>
    <xf numFmtId="0" fontId="0" fillId="17" borderId="0" xfId="0" applyFill="1" applyAlignment="1">
      <alignment vertical="center"/>
    </xf>
    <xf numFmtId="0" fontId="0" fillId="7" borderId="0" xfId="0" applyFill="1" applyAlignment="1">
      <alignment vertical="center"/>
    </xf>
    <xf numFmtId="0" fontId="2" fillId="5" borderId="4" xfId="0" applyFont="1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 wrapText="1"/>
    </xf>
    <xf numFmtId="0" fontId="2" fillId="18" borderId="4" xfId="0" applyFont="1" applyFill="1" applyBorder="1" applyAlignment="1">
      <alignment vertical="center"/>
    </xf>
    <xf numFmtId="0" fontId="0" fillId="0" borderId="0" xfId="0" applyAlignment="1">
      <alignment horizontal="left"/>
    </xf>
    <xf numFmtId="0" fontId="0" fillId="0" borderId="0" xfId="0" applyBorder="1"/>
    <xf numFmtId="0" fontId="0" fillId="0" borderId="2" xfId="0" applyBorder="1" applyAlignment="1">
      <alignment horizontal="center"/>
    </xf>
    <xf numFmtId="0" fontId="0" fillId="19" borderId="6" xfId="0" applyFill="1" applyBorder="1"/>
    <xf numFmtId="0" fontId="0" fillId="0" borderId="7" xfId="0" applyBorder="1" applyAlignment="1">
      <alignment horizontal="center"/>
    </xf>
    <xf numFmtId="0" fontId="0" fillId="11" borderId="8" xfId="0" applyFill="1" applyBorder="1"/>
    <xf numFmtId="0" fontId="0" fillId="0" borderId="9" xfId="0" applyBorder="1"/>
    <xf numFmtId="0" fontId="0" fillId="0" borderId="0" xfId="0" applyFill="1" applyBorder="1"/>
    <xf numFmtId="0" fontId="0" fillId="1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5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13" borderId="0" xfId="0" applyFill="1" applyAlignme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3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6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8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6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methodResponse_карта" RootElement="methodResponse" SchemaID="Schema1" ShowImportExportValidationErrors="false" AutoFit="true" Append="false" PreserveSortAFLayout="true" PreserveFormat="true">
    <DataBinding FileBinding="true" ConnectionID="1" DataBindingLoadMode="1"/>
  </Map>
  <Map ID="2" Name="methodResponse_карта1" RootElement="methodResponse" SchemaID="Schema2" ShowImportExportValidationErrors="false" AutoFit="true" Append="false" PreserveSortAFLayout="true" PreserveFormat="true">
    <DataBinding FileBinding="true" ConnectionID="2" DataBindingLoadMode="1"/>
  </Map>
  <Map ID="11" Name="methodResponse_карта10" RootElement="methodResponse" SchemaID="Schema11" ShowImportExportValidationErrors="false" AutoFit="true" Append="false" PreserveSortAFLayout="true" PreserveFormat="true">
    <DataBinding FileBinding="true" ConnectionID="6" DataBindingLoadMode="1"/>
  </Map>
  <Map ID="148" Name="methodResponse_карта100" RootElement="methodResponse" SchemaID="Schema101" ShowImportExportValidationErrors="false" AutoFit="true" Append="false" PreserveSortAFLayout="true" PreserveFormat="true"/>
  <Map ID="246" Name="methodResponse_карта101" RootElement="methodResponse" SchemaID="Schema102" ShowImportExportValidationErrors="false" AutoFit="true" Append="false" PreserveSortAFLayout="true" PreserveFormat="true"/>
  <Map ID="247" Name="methodResponse_карта102" RootElement="methodResponse" SchemaID="Schema103" ShowImportExportValidationErrors="false" AutoFit="true" Append="false" PreserveSortAFLayout="true" PreserveFormat="true"/>
  <Map ID="248" Name="methodResponse_карта103" RootElement="methodResponse" SchemaID="Schema104" ShowImportExportValidationErrors="false" AutoFit="true" Append="false" PreserveSortAFLayout="true" PreserveFormat="true"/>
  <Map ID="12" Name="methodResponse_карта11" RootElement="methodResponse" SchemaID="Schema12" ShowImportExportValidationErrors="false" AutoFit="true" Append="false" PreserveSortAFLayout="true" PreserveFormat="true">
    <DataBinding FileBinding="true" ConnectionID="7" DataBindingLoadMode="1"/>
  </Map>
  <Map ID="13" Name="methodResponse_карта12" RootElement="methodResponse" SchemaID="Schema13" ShowImportExportValidationErrors="false" AutoFit="true" Append="false" PreserveSortAFLayout="true" PreserveFormat="true">
    <DataBinding FileBinding="true" ConnectionID="8" DataBindingLoadMode="1"/>
  </Map>
  <Map ID="14" Name="methodResponse_карта13" RootElement="methodResponse" SchemaID="Schema14" ShowImportExportValidationErrors="false" AutoFit="true" Append="false" PreserveSortAFLayout="true" PreserveFormat="true"/>
  <Map ID="15" Name="methodResponse_карта14" RootElement="methodResponse" SchemaID="Schema15" ShowImportExportValidationErrors="false" AutoFit="true" Append="false" PreserveSortAFLayout="true" PreserveFormat="true"/>
  <Map ID="16" Name="methodResponse_карта15" RootElement="methodResponse" SchemaID="Schema16" ShowImportExportValidationErrors="false" AutoFit="true" Append="false" PreserveSortAFLayout="true" PreserveFormat="true"/>
  <Map ID="25" Name="methodResponse_карта16" RootElement="methodResponse" SchemaID="Schema17" ShowImportExportValidationErrors="false" AutoFit="true" Append="false" PreserveSortAFLayout="true" PreserveFormat="true"/>
  <Map ID="26" Name="methodResponse_карта17" RootElement="methodResponse" SchemaID="Schema18" ShowImportExportValidationErrors="false" AutoFit="true" Append="false" PreserveSortAFLayout="true" PreserveFormat="true"/>
  <Map ID="27" Name="methodResponse_карта18" RootElement="methodResponse" SchemaID="Schema19" ShowImportExportValidationErrors="false" AutoFit="true" Append="false" PreserveSortAFLayout="true" PreserveFormat="true"/>
  <Map ID="36" Name="methodResponse_карта19" RootElement="methodResponse" SchemaID="Schema20" ShowImportExportValidationErrors="false" AutoFit="true" Append="false" PreserveSortAFLayout="true" PreserveFormat="true"/>
  <Map ID="3" Name="methodResponse_карта2" RootElement="methodResponse" SchemaID="Schema3" ShowImportExportValidationErrors="false" AutoFit="true" Append="false" PreserveSortAFLayout="true" PreserveFormat="true">
    <DataBinding FileBinding="true" ConnectionID="3" DataBindingLoadMode="1"/>
  </Map>
  <Map ID="37" Name="methodResponse_карта20" RootElement="methodResponse" SchemaID="Schema21" ShowImportExportValidationErrors="false" AutoFit="true" Append="false" PreserveSortAFLayout="true" PreserveFormat="true"/>
  <Map ID="38" Name="methodResponse_карта21" RootElement="methodResponse" SchemaID="Schema22" ShowImportExportValidationErrors="false" AutoFit="true" Append="false" PreserveSortAFLayout="true" PreserveFormat="true"/>
  <Map ID="39" Name="methodResponse_карта22" RootElement="methodResponse" SchemaID="Schema23" ShowImportExportValidationErrors="false" AutoFit="true" Append="false" PreserveSortAFLayout="true" PreserveFormat="true"/>
  <Map ID="40" Name="methodResponse_карта23" RootElement="methodResponse" SchemaID="Schema24" ShowImportExportValidationErrors="false" AutoFit="true" Append="false" PreserveSortAFLayout="true" PreserveFormat="true"/>
  <Map ID="41" Name="methodResponse_карта24" RootElement="methodResponse" SchemaID="Schema25" ShowImportExportValidationErrors="false" AutoFit="true" Append="false" PreserveSortAFLayout="true" PreserveFormat="true"/>
  <Map ID="50" Name="methodResponse_карта25" RootElement="methodResponse" SchemaID="Schema26" ShowImportExportValidationErrors="false" AutoFit="true" Append="false" PreserveSortAFLayout="true" PreserveFormat="true"/>
  <Map ID="51" Name="methodResponse_карта26" RootElement="methodResponse" SchemaID="Schema27" ShowImportExportValidationErrors="false" AutoFit="true" Append="false" PreserveSortAFLayout="true" PreserveFormat="true"/>
  <Map ID="52" Name="methodResponse_карта27" RootElement="methodResponse" SchemaID="Schema28" ShowImportExportValidationErrors="false" AutoFit="true" Append="false" PreserveSortAFLayout="true" PreserveFormat="true"/>
  <Map ID="53" Name="methodResponse_карта28" RootElement="methodResponse" SchemaID="Schema29" ShowImportExportValidationErrors="false" AutoFit="true" Append="false" PreserveSortAFLayout="true" PreserveFormat="true"/>
  <Map ID="54" Name="methodResponse_карта29" RootElement="methodResponse" SchemaID="Schema30" ShowImportExportValidationErrors="false" AutoFit="true" Append="false" PreserveSortAFLayout="true" PreserveFormat="true"/>
  <Map ID="4" Name="methodResponse_карта3" RootElement="methodResponse" SchemaID="Schema4" ShowImportExportValidationErrors="false" AutoFit="true" Append="false" PreserveSortAFLayout="true" PreserveFormat="true">
    <DataBinding FileBinding="true" ConnectionID="4" DataBindingLoadMode="1"/>
  </Map>
  <Map ID="62" Name="methodResponse_карта30" RootElement="methodResponse" SchemaID="Schema31" ShowImportExportValidationErrors="false" AutoFit="true" Append="false" PreserveSortAFLayout="true" PreserveFormat="true"/>
  <Map ID="63" Name="methodResponse_карта31" RootElement="methodResponse" SchemaID="Schema32" ShowImportExportValidationErrors="false" AutoFit="true" Append="false" PreserveSortAFLayout="true" PreserveFormat="true"/>
  <Map ID="64" Name="methodResponse_карта32" RootElement="methodResponse" SchemaID="Schema33" ShowImportExportValidationErrors="false" AutoFit="true" Append="false" PreserveSortAFLayout="true" PreserveFormat="true"/>
  <Map ID="65" Name="methodResponse_карта33" RootElement="methodResponse" SchemaID="Schema34" ShowImportExportValidationErrors="false" AutoFit="true" Append="false" PreserveSortAFLayout="true" PreserveFormat="true"/>
  <Map ID="66" Name="methodResponse_карта34" RootElement="methodResponse" SchemaID="Schema35" ShowImportExportValidationErrors="false" AutoFit="true" Append="false" PreserveSortAFLayout="true" PreserveFormat="true"/>
  <Map ID="73" Name="methodResponse_карта35" RootElement="methodResponse" SchemaID="Schema36" ShowImportExportValidationErrors="false" AutoFit="true" Append="false" PreserveSortAFLayout="true" PreserveFormat="true"/>
  <Map ID="74" Name="methodResponse_карта36" RootElement="methodResponse" SchemaID="Schema37" ShowImportExportValidationErrors="false" AutoFit="true" Append="false" PreserveSortAFLayout="true" PreserveFormat="true"/>
  <Map ID="75" Name="methodResponse_карта37" RootElement="methodResponse" SchemaID="Schema38" ShowImportExportValidationErrors="false" AutoFit="true" Append="false" PreserveSortAFLayout="true" PreserveFormat="true"/>
  <Map ID="76" Name="methodResponse_карта38" RootElement="methodResponse" SchemaID="Schema39" ShowImportExportValidationErrors="false" AutoFit="true" Append="false" PreserveSortAFLayout="true" PreserveFormat="true"/>
  <Map ID="77" Name="methodResponse_карта39" RootElement="methodResponse" SchemaID="Schema40" ShowImportExportValidationErrors="false" AutoFit="true" Append="false" PreserveSortAFLayout="true" PreserveFormat="true"/>
  <Map ID="5" Name="methodResponse_карта4" RootElement="methodResponse" SchemaID="Schema5" ShowImportExportValidationErrors="false" AutoFit="true" Append="false" PreserveSortAFLayout="true" PreserveFormat="true"/>
  <Map ID="78" Name="methodResponse_карта40" RootElement="methodResponse" SchemaID="Schema41" ShowImportExportValidationErrors="false" AutoFit="true" Append="false" PreserveSortAFLayout="true" PreserveFormat="true"/>
  <Map ID="79" Name="methodResponse_карта41" RootElement="methodResponse" SchemaID="Schema42" ShowImportExportValidationErrors="false" AutoFit="true" Append="false" PreserveSortAFLayout="true" PreserveFormat="true"/>
  <Map ID="80" Name="methodResponse_карта42" RootElement="methodResponse" SchemaID="Schema43" ShowImportExportValidationErrors="false" AutoFit="true" Append="false" PreserveSortAFLayout="true" PreserveFormat="true"/>
  <Map ID="81" Name="methodResponse_карта43" RootElement="methodResponse" SchemaID="Schema44" ShowImportExportValidationErrors="false" AutoFit="true" Append="false" PreserveSortAFLayout="true" PreserveFormat="true"/>
  <Map ID="82" Name="methodResponse_карта44" RootElement="methodResponse" SchemaID="Schema45" ShowImportExportValidationErrors="false" AutoFit="true" Append="false" PreserveSortAFLayout="true" PreserveFormat="true"/>
  <Map ID="83" Name="methodResponse_карта45" RootElement="methodResponse" SchemaID="Schema46" ShowImportExportValidationErrors="false" AutoFit="true" Append="false" PreserveSortAFLayout="true" PreserveFormat="true"/>
  <Map ID="84" Name="methodResponse_карта46" RootElement="methodResponse" SchemaID="Schema47" ShowImportExportValidationErrors="false" AutoFit="true" Append="false" PreserveSortAFLayout="true" PreserveFormat="true"/>
  <Map ID="85" Name="methodResponse_карта47" RootElement="methodResponse" SchemaID="Schema48" ShowImportExportValidationErrors="false" AutoFit="true" Append="false" PreserveSortAFLayout="true" PreserveFormat="true"/>
  <Map ID="86" Name="methodResponse_карта48" RootElement="methodResponse" SchemaID="Schema49" ShowImportExportValidationErrors="false" AutoFit="true" Append="false" PreserveSortAFLayout="true" PreserveFormat="true"/>
  <Map ID="87" Name="methodResponse_карта49" RootElement="methodResponse" SchemaID="Schema50" ShowImportExportValidationErrors="false" AutoFit="true" Append="false" PreserveSortAFLayout="true" PreserveFormat="true"/>
  <Map ID="6" Name="methodResponse_карта5" RootElement="methodResponse" SchemaID="Schema6" ShowImportExportValidationErrors="false" AutoFit="true" Append="false" PreserveSortAFLayout="true" PreserveFormat="true"/>
  <Map ID="88" Name="methodResponse_карта50" RootElement="methodResponse" SchemaID="Schema51" ShowImportExportValidationErrors="false" AutoFit="true" Append="false" PreserveSortAFLayout="true" PreserveFormat="true"/>
  <Map ID="89" Name="methodResponse_карта51" RootElement="methodResponse" SchemaID="Schema52" ShowImportExportValidationErrors="false" AutoFit="true" Append="false" PreserveSortAFLayout="true" PreserveFormat="true"/>
  <Map ID="90" Name="methodResponse_карта52" RootElement="methodResponse" SchemaID="Schema53" ShowImportExportValidationErrors="false" AutoFit="true" Append="false" PreserveSortAFLayout="true" PreserveFormat="true"/>
  <Map ID="91" Name="methodResponse_карта53" RootElement="methodResponse" SchemaID="Schema54" ShowImportExportValidationErrors="false" AutoFit="true" Append="false" PreserveSortAFLayout="true" PreserveFormat="true"/>
  <Map ID="92" Name="methodResponse_карта54" RootElement="methodResponse" SchemaID="Schema55" ShowImportExportValidationErrors="false" AutoFit="true" Append="false" PreserveSortAFLayout="true" PreserveFormat="true"/>
  <Map ID="93" Name="methodResponse_карта55" RootElement="methodResponse" SchemaID="Schema56" ShowImportExportValidationErrors="false" AutoFit="true" Append="false" PreserveSortAFLayout="true" PreserveFormat="true"/>
  <Map ID="94" Name="methodResponse_карта56" RootElement="methodResponse" SchemaID="Schema57" ShowImportExportValidationErrors="false" AutoFit="true" Append="false" PreserveSortAFLayout="true" PreserveFormat="true"/>
  <Map ID="95" Name="methodResponse_карта57" RootElement="methodResponse" SchemaID="Schema58" ShowImportExportValidationErrors="false" AutoFit="true" Append="false" PreserveSortAFLayout="true" PreserveFormat="true"/>
  <Map ID="96" Name="methodResponse_карта58" RootElement="methodResponse" SchemaID="Schema59" ShowImportExportValidationErrors="false" AutoFit="true" Append="false" PreserveSortAFLayout="true" PreserveFormat="true"/>
  <Map ID="97" Name="methodResponse_карта59" RootElement="methodResponse" SchemaID="Schema60" ShowImportExportValidationErrors="false" AutoFit="true" Append="false" PreserveSortAFLayout="true" PreserveFormat="true"/>
  <Map ID="7" Name="methodResponse_карта6" RootElement="methodResponse" SchemaID="Schema7" ShowImportExportValidationErrors="false" AutoFit="true" Append="false" PreserveSortAFLayout="true" PreserveFormat="true"/>
  <Map ID="98" Name="methodResponse_карта60" RootElement="methodResponse" SchemaID="Schema61" ShowImportExportValidationErrors="false" AutoFit="true" Append="false" PreserveSortAFLayout="true" PreserveFormat="true"/>
  <Map ID="99" Name="methodResponse_карта61" RootElement="methodResponse" SchemaID="Schema62" ShowImportExportValidationErrors="false" AutoFit="true" Append="false" PreserveSortAFLayout="true" PreserveFormat="true"/>
  <Map ID="100" Name="methodResponse_карта62" RootElement="methodResponse" SchemaID="Schema63" ShowImportExportValidationErrors="false" AutoFit="true" Append="false" PreserveSortAFLayout="true" PreserveFormat="true"/>
  <Map ID="101" Name="methodResponse_карта63" RootElement="methodResponse" SchemaID="Schema64" ShowImportExportValidationErrors="false" AutoFit="true" Append="false" PreserveSortAFLayout="true" PreserveFormat="true"/>
  <Map ID="102" Name="methodResponse_карта64" RootElement="methodResponse" SchemaID="Schema65" ShowImportExportValidationErrors="false" AutoFit="true" Append="false" PreserveSortAFLayout="true" PreserveFormat="true"/>
  <Map ID="103" Name="methodResponse_карта65" RootElement="methodResponse" SchemaID="Schema66" ShowImportExportValidationErrors="false" AutoFit="true" Append="false" PreserveSortAFLayout="true" PreserveFormat="true"/>
  <Map ID="104" Name="methodResponse_карта66" RootElement="methodResponse" SchemaID="Schema67" ShowImportExportValidationErrors="false" AutoFit="true" Append="false" PreserveSortAFLayout="true" PreserveFormat="true"/>
  <Map ID="105" Name="methodResponse_карта67" RootElement="methodResponse" SchemaID="Schema68" ShowImportExportValidationErrors="false" AutoFit="true" Append="false" PreserveSortAFLayout="true" PreserveFormat="true"/>
  <Map ID="106" Name="methodResponse_карта68" RootElement="methodResponse" SchemaID="Schema69" ShowImportExportValidationErrors="false" AutoFit="true" Append="false" PreserveSortAFLayout="true" PreserveFormat="true"/>
  <Map ID="107" Name="methodResponse_карта69" RootElement="methodResponse" SchemaID="Schema70" ShowImportExportValidationErrors="false" AutoFit="true" Append="false" PreserveSortAFLayout="true" PreserveFormat="true"/>
  <Map ID="8" Name="methodResponse_карта7" RootElement="methodResponse" SchemaID="Schema8" ShowImportExportValidationErrors="false" AutoFit="true" Append="false" PreserveSortAFLayout="true" PreserveFormat="true"/>
  <Map ID="108" Name="methodResponse_карта70" RootElement="methodResponse" SchemaID="Schema71" ShowImportExportValidationErrors="false" AutoFit="true" Append="false" PreserveSortAFLayout="true" PreserveFormat="true"/>
  <Map ID="109" Name="methodResponse_карта71" RootElement="methodResponse" SchemaID="Schema72" ShowImportExportValidationErrors="false" AutoFit="true" Append="false" PreserveSortAFLayout="true" PreserveFormat="true"/>
  <Map ID="110" Name="methodResponse_карта72" RootElement="methodResponse" SchemaID="Schema73" ShowImportExportValidationErrors="false" AutoFit="true" Append="false" PreserveSortAFLayout="true" PreserveFormat="true"/>
  <Map ID="111" Name="methodResponse_карта73" RootElement="methodResponse" SchemaID="Schema74" ShowImportExportValidationErrors="false" AutoFit="true" Append="false" PreserveSortAFLayout="true" PreserveFormat="true"/>
  <Map ID="112" Name="methodResponse_карта74" RootElement="methodResponse" SchemaID="Schema75" ShowImportExportValidationErrors="false" AutoFit="true" Append="false" PreserveSortAFLayout="true" PreserveFormat="true"/>
  <Map ID="119" Name="methodResponse_карта75" RootElement="methodResponse" SchemaID="Schema76" ShowImportExportValidationErrors="false" AutoFit="true" Append="false" PreserveSortAFLayout="true" PreserveFormat="true"/>
  <Map ID="120" Name="methodResponse_карта76" RootElement="methodResponse" SchemaID="Schema77" ShowImportExportValidationErrors="false" AutoFit="true" Append="false" PreserveSortAFLayout="true" PreserveFormat="true"/>
  <Map ID="121" Name="methodResponse_карта77" RootElement="methodResponse" SchemaID="Schema78" ShowImportExportValidationErrors="false" AutoFit="true" Append="false" PreserveSortAFLayout="true" PreserveFormat="true"/>
  <Map ID="122" Name="methodResponse_карта78" RootElement="methodResponse" SchemaID="Schema79" ShowImportExportValidationErrors="false" AutoFit="true" Append="false" PreserveSortAFLayout="true" PreserveFormat="true"/>
  <Map ID="123" Name="methodResponse_карта79" RootElement="methodResponse" SchemaID="Schema80" ShowImportExportValidationErrors="false" AutoFit="true" Append="false" PreserveSortAFLayout="true" PreserveFormat="true"/>
  <Map ID="9" Name="methodResponse_карта8" RootElement="methodResponse" SchemaID="Schema9" ShowImportExportValidationErrors="false" AutoFit="true" Append="false" PreserveSortAFLayout="true" PreserveFormat="true"/>
  <Map ID="124" Name="methodResponse_карта80" RootElement="methodResponse" SchemaID="Schema81" ShowImportExportValidationErrors="false" AutoFit="true" Append="false" PreserveSortAFLayout="true" PreserveFormat="true"/>
  <Map ID="127" Name="methodResponse_карта81" RootElement="methodResponse" SchemaID="Schema82" ShowImportExportValidationErrors="false" AutoFit="true" Append="false" PreserveSortAFLayout="true" PreserveFormat="true"/>
  <Map ID="128" Name="methodResponse_карта82" RootElement="methodResponse" SchemaID="Schema83" ShowImportExportValidationErrors="false" AutoFit="true" Append="false" PreserveSortAFLayout="true" PreserveFormat="true"/>
  <Map ID="129" Name="methodResponse_карта83" RootElement="methodResponse" SchemaID="Schema84" ShowImportExportValidationErrors="false" AutoFit="true" Append="false" PreserveSortAFLayout="true" PreserveFormat="true"/>
  <Map ID="130" Name="methodResponse_карта84" RootElement="methodResponse" SchemaID="Schema85" ShowImportExportValidationErrors="false" AutoFit="true" Append="false" PreserveSortAFLayout="true" PreserveFormat="true"/>
  <Map ID="131" Name="methodResponse_карта85" RootElement="methodResponse" SchemaID="Schema86" ShowImportExportValidationErrors="false" AutoFit="true" Append="false" PreserveSortAFLayout="true" PreserveFormat="true"/>
  <Map ID="133" Name="methodResponse_карта86" RootElement="methodResponse" SchemaID="Schema87" ShowImportExportValidationErrors="false" AutoFit="true" Append="false" PreserveSortAFLayout="true" PreserveFormat="true"/>
  <Map ID="134" Name="methodResponse_карта87" RootElement="methodResponse" SchemaID="Schema88" ShowImportExportValidationErrors="false" AutoFit="true" Append="false" PreserveSortAFLayout="true" PreserveFormat="true"/>
  <Map ID="135" Name="methodResponse_карта88" RootElement="methodResponse" SchemaID="Schema89" ShowImportExportValidationErrors="false" AutoFit="true" Append="false" PreserveSortAFLayout="true" PreserveFormat="true"/>
  <Map ID="136" Name="methodResponse_карта89" RootElement="methodResponse" SchemaID="Schema90" ShowImportExportValidationErrors="false" AutoFit="true" Append="false" PreserveSortAFLayout="true" PreserveFormat="true"/>
  <Map ID="10" Name="methodResponse_карта9" RootElement="methodResponse" SchemaID="Schema10" ShowImportExportValidationErrors="false" AutoFit="true" Append="false" PreserveSortAFLayout="true" PreserveFormat="true">
    <DataBinding FileBinding="true" ConnectionID="5" DataBindingLoadMode="1"/>
  </Map>
  <Map ID="137" Name="methodResponse_карта90" RootElement="methodResponse" SchemaID="Schema91" ShowImportExportValidationErrors="false" AutoFit="true" Append="false" PreserveSortAFLayout="true" PreserveFormat="true"/>
  <Map ID="138" Name="methodResponse_карта91" RootElement="methodResponse" SchemaID="Schema92" ShowImportExportValidationErrors="false" AutoFit="true" Append="false" PreserveSortAFLayout="true" PreserveFormat="true"/>
  <Map ID="140" Name="methodResponse_карта92" RootElement="methodResponse" SchemaID="Schema93" ShowImportExportValidationErrors="false" AutoFit="true" Append="false" PreserveSortAFLayout="true" PreserveFormat="true"/>
  <Map ID="141" Name="methodResponse_карта93" RootElement="methodResponse" SchemaID="Schema94" ShowImportExportValidationErrors="false" AutoFit="true" Append="false" PreserveSortAFLayout="true" PreserveFormat="true"/>
  <Map ID="142" Name="methodResponse_карта94" RootElement="methodResponse" SchemaID="Schema95" ShowImportExportValidationErrors="false" AutoFit="true" Append="false" PreserveSortAFLayout="true" PreserveFormat="true"/>
  <Map ID="143" Name="methodResponse_карта95" RootElement="methodResponse" SchemaID="Schema96" ShowImportExportValidationErrors="false" AutoFit="true" Append="false" PreserveSortAFLayout="true" PreserveFormat="true"/>
  <Map ID="144" Name="methodResponse_карта96" RootElement="methodResponse" SchemaID="Schema97" ShowImportExportValidationErrors="false" AutoFit="true" Append="false" PreserveSortAFLayout="true" PreserveFormat="true"/>
  <Map ID="145" Name="methodResponse_карта97" RootElement="methodResponse" SchemaID="Schema98" ShowImportExportValidationErrors="false" AutoFit="true" Append="false" PreserveSortAFLayout="true" PreserveFormat="true"/>
  <Map ID="146" Name="methodResponse_карта98" RootElement="methodResponse" SchemaID="Schema99" ShowImportExportValidationErrors="false" AutoFit="true" Append="false" PreserveSortAFLayout="true" PreserveFormat="true"/>
  <Map ID="147" Name="methodResponse_карта99" RootElement="methodResponse" SchemaID="Schema100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xmlMaps" Target="xmlMap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0</xdr:row>
          <xdr:rowOff>38100</xdr:rowOff>
        </xdr:from>
        <xdr:to>
          <xdr:col>9</xdr:col>
          <xdr:colOff>426720</xdr:colOff>
          <xdr:row>2</xdr:row>
          <xdr:rowOff>53340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Авторизация по PR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99060</xdr:colOff>
          <xdr:row>0</xdr:row>
          <xdr:rowOff>7620</xdr:rowOff>
        </xdr:from>
        <xdr:to>
          <xdr:col>19</xdr:col>
          <xdr:colOff>198120</xdr:colOff>
          <xdr:row>1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заявки.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0</xdr:row>
          <xdr:rowOff>0</xdr:rowOff>
        </xdr:from>
        <xdr:to>
          <xdr:col>7</xdr:col>
          <xdr:colOff>76200</xdr:colOff>
          <xdr:row>0</xdr:row>
          <xdr:rowOff>342900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121920</xdr:colOff>
          <xdr:row>0</xdr:row>
          <xdr:rowOff>0</xdr:rowOff>
        </xdr:from>
        <xdr:to>
          <xdr:col>15</xdr:col>
          <xdr:colOff>716280</xdr:colOff>
          <xdr:row>0</xdr:row>
          <xdr:rowOff>342900</xdr:rowOff>
        </xdr:to>
        <xdr:sp macro="" textlink="">
          <xdr:nvSpPr>
            <xdr:cNvPr id="16386" name="Button 4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D31"/>
  <sheetViews>
    <sheetView tabSelected="1" workbookViewId="0">
      <selection activeCell="G24" sqref="G24"/>
    </sheetView>
  </sheetViews>
  <sheetFormatPr defaultRowHeight="14.4" x14ac:dyDescent="0.3"/>
  <cols>
    <col min="1" max="1" width="16.109375" bestFit="1" customWidth="1"/>
    <col min="3" max="3" width="33.44140625" bestFit="1" customWidth="1"/>
    <col min="6" max="6" width="11" bestFit="1" customWidth="1"/>
    <col min="7" max="7" width="80.88671875" bestFit="1" customWidth="1"/>
  </cols>
  <sheetData>
    <row r="1" spans="1:4" x14ac:dyDescent="0.3">
      <c r="A1" t="s">
        <v>5</v>
      </c>
      <c r="B1" t="s">
        <v>1</v>
      </c>
      <c r="C1" t="s">
        <v>9</v>
      </c>
      <c r="D1" t="s">
        <v>10</v>
      </c>
    </row>
    <row r="2" spans="1:4" x14ac:dyDescent="0.3">
      <c r="A2" t="s">
        <v>6</v>
      </c>
      <c r="B2" t="s">
        <v>4</v>
      </c>
      <c r="C2" t="s">
        <v>12</v>
      </c>
    </row>
    <row r="3" spans="1:4" x14ac:dyDescent="0.3">
      <c r="A3" t="s">
        <v>7</v>
      </c>
      <c r="B3" t="s">
        <v>3</v>
      </c>
      <c r="C3" t="s">
        <v>12</v>
      </c>
    </row>
    <row r="4" spans="1:4" x14ac:dyDescent="0.3">
      <c r="A4" t="s">
        <v>8</v>
      </c>
      <c r="B4" t="s">
        <v>2</v>
      </c>
      <c r="C4" t="s">
        <v>9</v>
      </c>
      <c r="D4" t="s">
        <v>11</v>
      </c>
    </row>
    <row r="8" spans="1:4" x14ac:dyDescent="0.3">
      <c r="A8" s="35">
        <v>23397226</v>
      </c>
      <c r="B8" t="s">
        <v>1</v>
      </c>
      <c r="C8" t="s">
        <v>240</v>
      </c>
      <c r="D8" t="s">
        <v>266</v>
      </c>
    </row>
    <row r="9" spans="1:4" x14ac:dyDescent="0.3">
      <c r="A9" s="35">
        <v>23397225</v>
      </c>
      <c r="B9" t="s">
        <v>1</v>
      </c>
      <c r="C9" t="s">
        <v>241</v>
      </c>
      <c r="D9" t="s">
        <v>266</v>
      </c>
    </row>
    <row r="10" spans="1:4" x14ac:dyDescent="0.3">
      <c r="A10">
        <v>23397224</v>
      </c>
      <c r="B10" t="s">
        <v>1</v>
      </c>
      <c r="C10" t="s">
        <v>242</v>
      </c>
      <c r="D10" t="s">
        <v>266</v>
      </c>
    </row>
    <row r="11" spans="1:4" x14ac:dyDescent="0.3">
      <c r="A11">
        <v>23397223</v>
      </c>
      <c r="B11" t="s">
        <v>1</v>
      </c>
      <c r="C11" t="s">
        <v>243</v>
      </c>
      <c r="D11" t="s">
        <v>266</v>
      </c>
    </row>
    <row r="12" spans="1:4" x14ac:dyDescent="0.3">
      <c r="A12">
        <v>23391960</v>
      </c>
      <c r="B12" t="s">
        <v>1</v>
      </c>
      <c r="C12" t="s">
        <v>246</v>
      </c>
      <c r="D12" t="s">
        <v>267</v>
      </c>
    </row>
    <row r="13" spans="1:4" x14ac:dyDescent="0.3">
      <c r="A13">
        <v>23397222</v>
      </c>
      <c r="B13" t="s">
        <v>1</v>
      </c>
      <c r="C13" t="s">
        <v>244</v>
      </c>
      <c r="D13" t="s">
        <v>266</v>
      </c>
    </row>
    <row r="14" spans="1:4" x14ac:dyDescent="0.3">
      <c r="A14">
        <v>23397221</v>
      </c>
      <c r="B14" t="s">
        <v>1</v>
      </c>
      <c r="C14" t="s">
        <v>245</v>
      </c>
      <c r="D14" t="s">
        <v>266</v>
      </c>
    </row>
    <row r="16" spans="1:4" x14ac:dyDescent="0.3">
      <c r="A16">
        <v>23419683</v>
      </c>
      <c r="B16" t="s">
        <v>1</v>
      </c>
      <c r="C16" t="s">
        <v>269</v>
      </c>
      <c r="D16" t="s">
        <v>266</v>
      </c>
    </row>
    <row r="17" spans="1:4" x14ac:dyDescent="0.3">
      <c r="A17">
        <v>23425171</v>
      </c>
      <c r="B17" t="s">
        <v>1</v>
      </c>
      <c r="C17" t="s">
        <v>270</v>
      </c>
      <c r="D17" t="s">
        <v>266</v>
      </c>
    </row>
    <row r="18" spans="1:4" x14ac:dyDescent="0.3">
      <c r="A18">
        <v>23427432</v>
      </c>
      <c r="B18" t="s">
        <v>1</v>
      </c>
      <c r="C18" t="s">
        <v>271</v>
      </c>
      <c r="D18" t="s">
        <v>266</v>
      </c>
    </row>
    <row r="19" spans="1:4" x14ac:dyDescent="0.3">
      <c r="A19" s="35">
        <v>23432971</v>
      </c>
      <c r="B19" t="s">
        <v>1</v>
      </c>
      <c r="C19" t="s">
        <v>268</v>
      </c>
      <c r="D19" t="s">
        <v>266</v>
      </c>
    </row>
    <row r="20" spans="1:4" x14ac:dyDescent="0.3">
      <c r="A20" s="35">
        <v>23432986</v>
      </c>
      <c r="B20" t="s">
        <v>1</v>
      </c>
      <c r="C20" t="s">
        <v>241</v>
      </c>
      <c r="D20" t="s">
        <v>266</v>
      </c>
    </row>
    <row r="21" spans="1:4" x14ac:dyDescent="0.3">
      <c r="A21" s="35">
        <v>23433003</v>
      </c>
      <c r="B21" t="s">
        <v>1</v>
      </c>
      <c r="C21" t="s">
        <v>241</v>
      </c>
      <c r="D21" t="s">
        <v>266</v>
      </c>
    </row>
    <row r="22" spans="1:4" x14ac:dyDescent="0.3">
      <c r="A22">
        <v>23435447</v>
      </c>
      <c r="B22" t="s">
        <v>1</v>
      </c>
      <c r="C22" t="s">
        <v>271</v>
      </c>
      <c r="D22" t="s">
        <v>266</v>
      </c>
    </row>
    <row r="23" spans="1:4" x14ac:dyDescent="0.3">
      <c r="A23">
        <v>23432967</v>
      </c>
      <c r="B23" t="s">
        <v>1</v>
      </c>
      <c r="C23" t="s">
        <v>246</v>
      </c>
      <c r="D23" t="s">
        <v>267</v>
      </c>
    </row>
    <row r="24" spans="1:4" x14ac:dyDescent="0.3">
      <c r="A24">
        <v>23435650</v>
      </c>
      <c r="B24" t="s">
        <v>1</v>
      </c>
      <c r="C24" t="s">
        <v>270</v>
      </c>
      <c r="D24" t="s">
        <v>266</v>
      </c>
    </row>
    <row r="26" spans="1:4" x14ac:dyDescent="0.3">
      <c r="A26">
        <v>23440387</v>
      </c>
      <c r="B26" t="s">
        <v>1</v>
      </c>
      <c r="C26" t="s">
        <v>274</v>
      </c>
      <c r="D26" t="s">
        <v>266</v>
      </c>
    </row>
    <row r="27" spans="1:4" x14ac:dyDescent="0.3">
      <c r="A27">
        <v>23441497</v>
      </c>
      <c r="B27" t="s">
        <v>1</v>
      </c>
      <c r="C27" t="s">
        <v>271</v>
      </c>
      <c r="D27" t="s">
        <v>266</v>
      </c>
    </row>
    <row r="28" spans="1:4" x14ac:dyDescent="0.3">
      <c r="A28">
        <v>23441498</v>
      </c>
      <c r="B28" t="s">
        <v>1</v>
      </c>
      <c r="C28" t="s">
        <v>279</v>
      </c>
      <c r="D28" t="s">
        <v>266</v>
      </c>
    </row>
    <row r="29" spans="1:4" x14ac:dyDescent="0.3">
      <c r="A29">
        <v>23450569</v>
      </c>
      <c r="B29" t="s">
        <v>1</v>
      </c>
      <c r="C29" t="s">
        <v>270</v>
      </c>
      <c r="D29" t="s">
        <v>266</v>
      </c>
    </row>
    <row r="30" spans="1:4" x14ac:dyDescent="0.3">
      <c r="A30">
        <v>23454903</v>
      </c>
      <c r="B30" t="s">
        <v>1</v>
      </c>
      <c r="C30" t="s">
        <v>242</v>
      </c>
      <c r="D30" t="s">
        <v>266</v>
      </c>
    </row>
    <row r="31" spans="1:4" x14ac:dyDescent="0.3">
      <c r="A31">
        <v>23443365</v>
      </c>
      <c r="B31" t="s">
        <v>1</v>
      </c>
      <c r="C31" t="s">
        <v>275</v>
      </c>
      <c r="D31" t="s">
        <v>266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"/>
  <sheetViews>
    <sheetView workbookViewId="0">
      <selection activeCell="E7" sqref="E7"/>
    </sheetView>
  </sheetViews>
  <sheetFormatPr defaultRowHeight="14.4" x14ac:dyDescent="0.3"/>
  <sheetData/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D9"/>
  <sheetViews>
    <sheetView workbookViewId="0">
      <selection activeCell="D16" sqref="D16"/>
    </sheetView>
  </sheetViews>
  <sheetFormatPr defaultRowHeight="14.4" x14ac:dyDescent="0.3"/>
  <cols>
    <col min="4" max="4" width="19.109375" customWidth="1"/>
  </cols>
  <sheetData>
    <row r="1" spans="1:4" x14ac:dyDescent="0.3">
      <c r="A1" s="36" t="s">
        <v>0</v>
      </c>
      <c r="B1" s="36"/>
      <c r="C1" s="36"/>
      <c r="D1" s="36"/>
    </row>
    <row r="2" spans="1:4" x14ac:dyDescent="0.3">
      <c r="A2" s="37" t="s">
        <v>273</v>
      </c>
      <c r="B2" s="37"/>
      <c r="C2" s="37"/>
      <c r="D2" s="37"/>
    </row>
    <row r="8" spans="1:4" x14ac:dyDescent="0.3">
      <c r="D8" t="s">
        <v>117</v>
      </c>
    </row>
    <row r="9" spans="1:4" x14ac:dyDescent="0.3">
      <c r="D9" t="s">
        <v>117</v>
      </c>
    </row>
  </sheetData>
  <mergeCells count="2">
    <mergeCell ref="A1:D1"/>
    <mergeCell ref="A2:D2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utorisation_PR">
                <anchor moveWithCells="1" sizeWithCells="1">
                  <from>
                    <xdr:col>5</xdr:col>
                    <xdr:colOff>76200</xdr:colOff>
                    <xdr:row>0</xdr:row>
                    <xdr:rowOff>38100</xdr:rowOff>
                  </from>
                  <to>
                    <xdr:col>9</xdr:col>
                    <xdr:colOff>426720</xdr:colOff>
                    <xdr:row>2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C87"/>
  <sheetViews>
    <sheetView workbookViewId="0">
      <selection activeCell="C12" sqref="C12"/>
    </sheetView>
  </sheetViews>
  <sheetFormatPr defaultRowHeight="14.4" x14ac:dyDescent="0.3"/>
  <cols>
    <col min="1" max="1" width="3" bestFit="1" customWidth="1"/>
    <col min="2" max="2" width="13.88671875" bestFit="1" customWidth="1"/>
    <col min="3" max="3" width="40.33203125" bestFit="1" customWidth="1"/>
  </cols>
  <sheetData>
    <row r="1" spans="1:3" x14ac:dyDescent="0.3">
      <c r="A1" s="5">
        <f>COUNTA(B:B)-1</f>
        <v>86</v>
      </c>
      <c r="B1" s="6" t="s">
        <v>27</v>
      </c>
      <c r="C1" s="7" t="s">
        <v>28</v>
      </c>
    </row>
    <row r="2" spans="1:3" x14ac:dyDescent="0.3">
      <c r="A2">
        <v>1</v>
      </c>
      <c r="B2" t="s">
        <v>29</v>
      </c>
      <c r="C2" t="s">
        <v>30</v>
      </c>
    </row>
    <row r="3" spans="1:3" x14ac:dyDescent="0.3">
      <c r="A3">
        <v>2</v>
      </c>
      <c r="B3" t="s">
        <v>232</v>
      </c>
      <c r="C3" t="s">
        <v>233</v>
      </c>
    </row>
    <row r="4" spans="1:3" x14ac:dyDescent="0.3">
      <c r="A4">
        <v>3</v>
      </c>
      <c r="B4" t="s">
        <v>31</v>
      </c>
      <c r="C4" t="s">
        <v>32</v>
      </c>
    </row>
    <row r="5" spans="1:3" x14ac:dyDescent="0.3">
      <c r="A5">
        <v>4</v>
      </c>
      <c r="B5" t="s">
        <v>33</v>
      </c>
      <c r="C5" t="s">
        <v>34</v>
      </c>
    </row>
    <row r="6" spans="1:3" x14ac:dyDescent="0.3">
      <c r="A6">
        <v>5</v>
      </c>
      <c r="B6" t="s">
        <v>35</v>
      </c>
      <c r="C6" t="s">
        <v>36</v>
      </c>
    </row>
    <row r="7" spans="1:3" x14ac:dyDescent="0.3">
      <c r="A7">
        <v>6</v>
      </c>
      <c r="B7" t="s">
        <v>37</v>
      </c>
      <c r="C7" t="s">
        <v>38</v>
      </c>
    </row>
    <row r="8" spans="1:3" x14ac:dyDescent="0.3">
      <c r="A8">
        <v>7</v>
      </c>
      <c r="B8" t="s">
        <v>39</v>
      </c>
      <c r="C8" t="s">
        <v>40</v>
      </c>
    </row>
    <row r="9" spans="1:3" x14ac:dyDescent="0.3">
      <c r="A9">
        <v>8</v>
      </c>
      <c r="B9" t="s">
        <v>13</v>
      </c>
      <c r="C9" t="s">
        <v>115</v>
      </c>
    </row>
    <row r="10" spans="1:3" x14ac:dyDescent="0.3">
      <c r="A10">
        <v>9</v>
      </c>
      <c r="B10" t="s">
        <v>41</v>
      </c>
      <c r="C10" t="s">
        <v>42</v>
      </c>
    </row>
    <row r="11" spans="1:3" x14ac:dyDescent="0.3">
      <c r="A11">
        <v>10</v>
      </c>
      <c r="B11" t="s">
        <v>43</v>
      </c>
      <c r="C11" t="s">
        <v>44</v>
      </c>
    </row>
    <row r="12" spans="1:3" x14ac:dyDescent="0.3">
      <c r="A12">
        <v>11</v>
      </c>
      <c r="B12" t="s">
        <v>281</v>
      </c>
      <c r="C12" t="s">
        <v>282</v>
      </c>
    </row>
    <row r="13" spans="1:3" x14ac:dyDescent="0.3">
      <c r="A13">
        <v>12</v>
      </c>
      <c r="B13" t="s">
        <v>45</v>
      </c>
      <c r="C13" t="s">
        <v>46</v>
      </c>
    </row>
    <row r="14" spans="1:3" x14ac:dyDescent="0.3">
      <c r="A14">
        <v>13</v>
      </c>
      <c r="B14" t="s">
        <v>47</v>
      </c>
      <c r="C14" t="s">
        <v>48</v>
      </c>
    </row>
    <row r="15" spans="1:3" x14ac:dyDescent="0.3">
      <c r="A15">
        <v>14</v>
      </c>
      <c r="B15" t="s">
        <v>49</v>
      </c>
      <c r="C15" t="s">
        <v>235</v>
      </c>
    </row>
    <row r="16" spans="1:3" x14ac:dyDescent="0.3">
      <c r="A16">
        <v>15</v>
      </c>
      <c r="B16" t="s">
        <v>50</v>
      </c>
      <c r="C16" t="s">
        <v>51</v>
      </c>
    </row>
    <row r="17" spans="1:3" x14ac:dyDescent="0.3">
      <c r="A17">
        <v>16</v>
      </c>
      <c r="B17" t="s">
        <v>52</v>
      </c>
      <c r="C17" t="s">
        <v>53</v>
      </c>
    </row>
    <row r="18" spans="1:3" x14ac:dyDescent="0.3">
      <c r="A18">
        <v>17</v>
      </c>
      <c r="B18" t="s">
        <v>54</v>
      </c>
      <c r="C18" t="s">
        <v>55</v>
      </c>
    </row>
    <row r="19" spans="1:3" x14ac:dyDescent="0.3">
      <c r="A19">
        <v>18</v>
      </c>
      <c r="B19" t="s">
        <v>56</v>
      </c>
      <c r="C19" t="s">
        <v>57</v>
      </c>
    </row>
    <row r="20" spans="1:3" x14ac:dyDescent="0.3">
      <c r="A20">
        <v>19</v>
      </c>
      <c r="B20" t="s">
        <v>58</v>
      </c>
      <c r="C20" t="s">
        <v>59</v>
      </c>
    </row>
    <row r="21" spans="1:3" x14ac:dyDescent="0.3">
      <c r="A21">
        <v>20</v>
      </c>
      <c r="B21" t="s">
        <v>60</v>
      </c>
      <c r="C21" t="s">
        <v>61</v>
      </c>
    </row>
    <row r="22" spans="1:3" x14ac:dyDescent="0.3">
      <c r="A22">
        <v>21</v>
      </c>
      <c r="B22" t="s">
        <v>62</v>
      </c>
      <c r="C22" t="s">
        <v>63</v>
      </c>
    </row>
    <row r="23" spans="1:3" x14ac:dyDescent="0.3">
      <c r="A23">
        <v>22</v>
      </c>
      <c r="B23" t="s">
        <v>64</v>
      </c>
      <c r="C23" t="s">
        <v>65</v>
      </c>
    </row>
    <row r="24" spans="1:3" x14ac:dyDescent="0.3">
      <c r="A24">
        <v>23</v>
      </c>
      <c r="B24" t="s">
        <v>66</v>
      </c>
      <c r="C24" t="s">
        <v>67</v>
      </c>
    </row>
    <row r="25" spans="1:3" x14ac:dyDescent="0.3">
      <c r="A25">
        <v>24</v>
      </c>
      <c r="B25" t="s">
        <v>68</v>
      </c>
      <c r="C25" t="s">
        <v>69</v>
      </c>
    </row>
    <row r="26" spans="1:3" x14ac:dyDescent="0.3">
      <c r="A26">
        <v>25</v>
      </c>
      <c r="B26" t="s">
        <v>70</v>
      </c>
      <c r="C26" t="s">
        <v>71</v>
      </c>
    </row>
    <row r="27" spans="1:3" x14ac:dyDescent="0.3">
      <c r="A27">
        <v>26</v>
      </c>
      <c r="B27" t="s">
        <v>72</v>
      </c>
      <c r="C27" t="s">
        <v>73</v>
      </c>
    </row>
    <row r="28" spans="1:3" x14ac:dyDescent="0.3">
      <c r="A28">
        <v>27</v>
      </c>
      <c r="B28" t="s">
        <v>74</v>
      </c>
      <c r="C28" t="s">
        <v>75</v>
      </c>
    </row>
    <row r="29" spans="1:3" x14ac:dyDescent="0.3">
      <c r="A29">
        <v>28</v>
      </c>
      <c r="B29" t="s">
        <v>76</v>
      </c>
      <c r="C29" t="s">
        <v>77</v>
      </c>
    </row>
    <row r="30" spans="1:3" x14ac:dyDescent="0.3">
      <c r="A30">
        <v>29</v>
      </c>
      <c r="B30" t="s">
        <v>78</v>
      </c>
      <c r="C30" t="s">
        <v>79</v>
      </c>
    </row>
    <row r="31" spans="1:3" x14ac:dyDescent="0.3">
      <c r="A31">
        <v>30</v>
      </c>
      <c r="B31" t="s">
        <v>80</v>
      </c>
      <c r="C31" t="s">
        <v>81</v>
      </c>
    </row>
    <row r="32" spans="1:3" x14ac:dyDescent="0.3">
      <c r="A32">
        <v>31</v>
      </c>
      <c r="B32" t="s">
        <v>82</v>
      </c>
      <c r="C32" t="s">
        <v>83</v>
      </c>
    </row>
    <row r="33" spans="1:3" x14ac:dyDescent="0.3">
      <c r="A33">
        <v>32</v>
      </c>
      <c r="B33" t="s">
        <v>84</v>
      </c>
      <c r="C33" t="s">
        <v>85</v>
      </c>
    </row>
    <row r="34" spans="1:3" x14ac:dyDescent="0.3">
      <c r="A34">
        <v>33</v>
      </c>
      <c r="B34" t="s">
        <v>86</v>
      </c>
      <c r="C34" t="s">
        <v>87</v>
      </c>
    </row>
    <row r="35" spans="1:3" x14ac:dyDescent="0.3">
      <c r="A35">
        <v>34</v>
      </c>
      <c r="B35" t="s">
        <v>88</v>
      </c>
      <c r="C35" t="s">
        <v>89</v>
      </c>
    </row>
    <row r="36" spans="1:3" x14ac:dyDescent="0.3">
      <c r="A36">
        <v>35</v>
      </c>
      <c r="B36" t="s">
        <v>90</v>
      </c>
      <c r="C36" t="s">
        <v>91</v>
      </c>
    </row>
    <row r="37" spans="1:3" x14ac:dyDescent="0.3">
      <c r="A37">
        <v>36</v>
      </c>
      <c r="B37" t="s">
        <v>92</v>
      </c>
      <c r="C37" t="s">
        <v>93</v>
      </c>
    </row>
    <row r="38" spans="1:3" x14ac:dyDescent="0.3">
      <c r="A38">
        <v>37</v>
      </c>
      <c r="B38" t="s">
        <v>94</v>
      </c>
      <c r="C38" t="s">
        <v>95</v>
      </c>
    </row>
    <row r="39" spans="1:3" x14ac:dyDescent="0.3">
      <c r="A39">
        <v>38</v>
      </c>
      <c r="B39" t="s">
        <v>96</v>
      </c>
      <c r="C39" t="s">
        <v>97</v>
      </c>
    </row>
    <row r="40" spans="1:3" x14ac:dyDescent="0.3">
      <c r="A40">
        <v>39</v>
      </c>
      <c r="B40" t="s">
        <v>98</v>
      </c>
      <c r="C40" t="s">
        <v>99</v>
      </c>
    </row>
    <row r="41" spans="1:3" x14ac:dyDescent="0.3">
      <c r="A41">
        <v>40</v>
      </c>
      <c r="B41" t="s">
        <v>100</v>
      </c>
      <c r="C41" t="s">
        <v>101</v>
      </c>
    </row>
    <row r="42" spans="1:3" x14ac:dyDescent="0.3">
      <c r="A42">
        <v>41</v>
      </c>
      <c r="B42" t="s">
        <v>102</v>
      </c>
      <c r="C42" t="s">
        <v>103</v>
      </c>
    </row>
    <row r="43" spans="1:3" x14ac:dyDescent="0.3">
      <c r="A43">
        <v>42</v>
      </c>
      <c r="B43" t="s">
        <v>104</v>
      </c>
      <c r="C43" t="s">
        <v>105</v>
      </c>
    </row>
    <row r="44" spans="1:3" x14ac:dyDescent="0.3">
      <c r="A44">
        <v>43</v>
      </c>
      <c r="B44" t="s">
        <v>106</v>
      </c>
      <c r="C44" t="s">
        <v>107</v>
      </c>
    </row>
    <row r="45" spans="1:3" x14ac:dyDescent="0.3">
      <c r="A45">
        <v>44</v>
      </c>
      <c r="B45" t="s">
        <v>108</v>
      </c>
      <c r="C45" t="s">
        <v>116</v>
      </c>
    </row>
    <row r="46" spans="1:3" x14ac:dyDescent="0.3">
      <c r="A46">
        <v>45</v>
      </c>
      <c r="B46" t="s">
        <v>109</v>
      </c>
      <c r="C46" t="s">
        <v>110</v>
      </c>
    </row>
    <row r="47" spans="1:3" x14ac:dyDescent="0.3">
      <c r="A47">
        <v>46</v>
      </c>
      <c r="B47" t="s">
        <v>111</v>
      </c>
      <c r="C47" t="s">
        <v>112</v>
      </c>
    </row>
    <row r="48" spans="1:3" x14ac:dyDescent="0.3">
      <c r="A48">
        <v>47</v>
      </c>
      <c r="B48" t="s">
        <v>113</v>
      </c>
      <c r="C48" t="s">
        <v>114</v>
      </c>
    </row>
    <row r="49" spans="1:3" x14ac:dyDescent="0.3">
      <c r="A49">
        <v>48</v>
      </c>
      <c r="B49" t="s">
        <v>118</v>
      </c>
      <c r="C49" t="s">
        <v>119</v>
      </c>
    </row>
    <row r="50" spans="1:3" x14ac:dyDescent="0.3">
      <c r="A50">
        <v>49</v>
      </c>
      <c r="B50" t="s">
        <v>120</v>
      </c>
      <c r="C50" t="s">
        <v>121</v>
      </c>
    </row>
    <row r="51" spans="1:3" x14ac:dyDescent="0.3">
      <c r="A51">
        <v>50</v>
      </c>
      <c r="B51" t="s">
        <v>122</v>
      </c>
      <c r="C51" t="s">
        <v>123</v>
      </c>
    </row>
    <row r="52" spans="1:3" x14ac:dyDescent="0.3">
      <c r="A52">
        <v>51</v>
      </c>
      <c r="B52" t="s">
        <v>124</v>
      </c>
      <c r="C52" t="s">
        <v>125</v>
      </c>
    </row>
    <row r="53" spans="1:3" x14ac:dyDescent="0.3">
      <c r="A53">
        <v>52</v>
      </c>
      <c r="B53" t="s">
        <v>126</v>
      </c>
      <c r="C53" t="s">
        <v>127</v>
      </c>
    </row>
    <row r="54" spans="1:3" x14ac:dyDescent="0.3">
      <c r="A54">
        <v>53</v>
      </c>
      <c r="B54" t="s">
        <v>128</v>
      </c>
      <c r="C54" t="s">
        <v>129</v>
      </c>
    </row>
    <row r="55" spans="1:3" x14ac:dyDescent="0.3">
      <c r="A55">
        <v>54</v>
      </c>
      <c r="B55" t="s">
        <v>130</v>
      </c>
      <c r="C55" t="s">
        <v>131</v>
      </c>
    </row>
    <row r="56" spans="1:3" x14ac:dyDescent="0.3">
      <c r="A56">
        <v>55</v>
      </c>
      <c r="B56" t="s">
        <v>132</v>
      </c>
      <c r="C56" t="s">
        <v>133</v>
      </c>
    </row>
    <row r="57" spans="1:3" x14ac:dyDescent="0.3">
      <c r="A57">
        <v>56</v>
      </c>
      <c r="B57" t="s">
        <v>134</v>
      </c>
      <c r="C57" t="s">
        <v>135</v>
      </c>
    </row>
    <row r="58" spans="1:3" x14ac:dyDescent="0.3">
      <c r="A58">
        <v>57</v>
      </c>
      <c r="B58" t="s">
        <v>136</v>
      </c>
      <c r="C58" t="s">
        <v>137</v>
      </c>
    </row>
    <row r="59" spans="1:3" x14ac:dyDescent="0.3">
      <c r="A59">
        <v>58</v>
      </c>
      <c r="B59" t="s">
        <v>139</v>
      </c>
      <c r="C59" t="s">
        <v>138</v>
      </c>
    </row>
    <row r="60" spans="1:3" x14ac:dyDescent="0.3">
      <c r="A60">
        <v>59</v>
      </c>
      <c r="B60" t="s">
        <v>140</v>
      </c>
      <c r="C60" t="s">
        <v>141</v>
      </c>
    </row>
    <row r="61" spans="1:3" x14ac:dyDescent="0.3">
      <c r="A61">
        <v>60</v>
      </c>
      <c r="B61" t="s">
        <v>142</v>
      </c>
      <c r="C61" t="s">
        <v>143</v>
      </c>
    </row>
    <row r="62" spans="1:3" x14ac:dyDescent="0.3">
      <c r="A62">
        <v>61</v>
      </c>
      <c r="B62" t="s">
        <v>144</v>
      </c>
      <c r="C62" t="s">
        <v>145</v>
      </c>
    </row>
    <row r="63" spans="1:3" x14ac:dyDescent="0.3">
      <c r="A63">
        <v>62</v>
      </c>
      <c r="B63" t="s">
        <v>147</v>
      </c>
      <c r="C63" t="s">
        <v>146</v>
      </c>
    </row>
    <row r="64" spans="1:3" x14ac:dyDescent="0.3">
      <c r="A64">
        <v>63</v>
      </c>
      <c r="B64" t="s">
        <v>148</v>
      </c>
      <c r="C64" t="s">
        <v>149</v>
      </c>
    </row>
    <row r="65" spans="1:3" x14ac:dyDescent="0.3">
      <c r="A65">
        <v>64</v>
      </c>
      <c r="B65" t="s">
        <v>150</v>
      </c>
      <c r="C65" t="s">
        <v>151</v>
      </c>
    </row>
    <row r="66" spans="1:3" x14ac:dyDescent="0.3">
      <c r="A66">
        <v>65</v>
      </c>
      <c r="B66" t="s">
        <v>152</v>
      </c>
      <c r="C66" t="s">
        <v>272</v>
      </c>
    </row>
    <row r="67" spans="1:3" x14ac:dyDescent="0.3">
      <c r="A67">
        <v>66</v>
      </c>
      <c r="B67" t="s">
        <v>153</v>
      </c>
      <c r="C67" t="s">
        <v>154</v>
      </c>
    </row>
    <row r="68" spans="1:3" x14ac:dyDescent="0.3">
      <c r="A68">
        <v>67</v>
      </c>
      <c r="B68" t="s">
        <v>216</v>
      </c>
      <c r="C68" t="s">
        <v>217</v>
      </c>
    </row>
    <row r="69" spans="1:3" x14ac:dyDescent="0.3">
      <c r="A69">
        <v>68</v>
      </c>
      <c r="B69" t="s">
        <v>218</v>
      </c>
      <c r="C69" t="s">
        <v>219</v>
      </c>
    </row>
    <row r="70" spans="1:3" x14ac:dyDescent="0.3">
      <c r="A70">
        <v>69</v>
      </c>
      <c r="B70" t="s">
        <v>220</v>
      </c>
      <c r="C70" t="s">
        <v>221</v>
      </c>
    </row>
    <row r="71" spans="1:3" x14ac:dyDescent="0.3">
      <c r="A71">
        <v>70</v>
      </c>
      <c r="B71" t="s">
        <v>222</v>
      </c>
      <c r="C71" t="s">
        <v>223</v>
      </c>
    </row>
    <row r="72" spans="1:3" x14ac:dyDescent="0.3">
      <c r="A72">
        <v>71</v>
      </c>
      <c r="B72" t="s">
        <v>224</v>
      </c>
      <c r="C72" t="s">
        <v>59</v>
      </c>
    </row>
    <row r="73" spans="1:3" x14ac:dyDescent="0.3">
      <c r="A73">
        <v>72</v>
      </c>
      <c r="B73" t="s">
        <v>225</v>
      </c>
      <c r="C73" t="s">
        <v>226</v>
      </c>
    </row>
    <row r="74" spans="1:3" x14ac:dyDescent="0.3">
      <c r="A74">
        <v>73</v>
      </c>
      <c r="B74" t="s">
        <v>227</v>
      </c>
      <c r="C74" t="s">
        <v>228</v>
      </c>
    </row>
    <row r="75" spans="1:3" x14ac:dyDescent="0.3">
      <c r="A75">
        <v>74</v>
      </c>
      <c r="B75" t="s">
        <v>229</v>
      </c>
      <c r="C75" t="s">
        <v>230</v>
      </c>
    </row>
    <row r="76" spans="1:3" x14ac:dyDescent="0.3">
      <c r="A76">
        <v>75</v>
      </c>
      <c r="B76" t="s">
        <v>236</v>
      </c>
      <c r="C76" t="s">
        <v>237</v>
      </c>
    </row>
    <row r="77" spans="1:3" x14ac:dyDescent="0.3">
      <c r="A77">
        <v>76</v>
      </c>
      <c r="B77" t="s">
        <v>238</v>
      </c>
      <c r="C77" t="s">
        <v>239</v>
      </c>
    </row>
    <row r="78" spans="1:3" x14ac:dyDescent="0.3">
      <c r="A78">
        <v>77</v>
      </c>
      <c r="B78" t="s">
        <v>247</v>
      </c>
      <c r="C78" t="s">
        <v>248</v>
      </c>
    </row>
    <row r="79" spans="1:3" x14ac:dyDescent="0.3">
      <c r="A79">
        <v>78</v>
      </c>
      <c r="B79" t="s">
        <v>249</v>
      </c>
      <c r="C79" t="s">
        <v>250</v>
      </c>
    </row>
    <row r="80" spans="1:3" x14ac:dyDescent="0.3">
      <c r="A80">
        <v>79</v>
      </c>
      <c r="B80" t="s">
        <v>251</v>
      </c>
      <c r="C80" t="s">
        <v>252</v>
      </c>
    </row>
    <row r="81" spans="1:3" x14ac:dyDescent="0.3">
      <c r="A81">
        <v>80</v>
      </c>
      <c r="B81" t="s">
        <v>253</v>
      </c>
      <c r="C81" t="s">
        <v>254</v>
      </c>
    </row>
    <row r="82" spans="1:3" x14ac:dyDescent="0.3">
      <c r="A82">
        <v>81</v>
      </c>
      <c r="B82" t="s">
        <v>255</v>
      </c>
      <c r="C82" t="s">
        <v>256</v>
      </c>
    </row>
    <row r="83" spans="1:3" x14ac:dyDescent="0.3">
      <c r="A83">
        <v>82</v>
      </c>
      <c r="B83" t="s">
        <v>257</v>
      </c>
      <c r="C83" t="s">
        <v>258</v>
      </c>
    </row>
    <row r="84" spans="1:3" x14ac:dyDescent="0.3">
      <c r="A84">
        <v>83</v>
      </c>
      <c r="B84" t="s">
        <v>259</v>
      </c>
      <c r="C84" t="s">
        <v>95</v>
      </c>
    </row>
    <row r="85" spans="1:3" x14ac:dyDescent="0.3">
      <c r="A85">
        <v>84</v>
      </c>
      <c r="B85" t="s">
        <v>260</v>
      </c>
      <c r="C85" t="s">
        <v>261</v>
      </c>
    </row>
    <row r="86" spans="1:3" x14ac:dyDescent="0.3">
      <c r="A86">
        <v>85</v>
      </c>
      <c r="B86" t="s">
        <v>262</v>
      </c>
      <c r="C86" t="s">
        <v>263</v>
      </c>
    </row>
    <row r="87" spans="1:3" x14ac:dyDescent="0.3">
      <c r="A87">
        <v>86</v>
      </c>
      <c r="B87" t="s">
        <v>264</v>
      </c>
      <c r="C87" t="s">
        <v>265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M2"/>
  <sheetViews>
    <sheetView zoomScale="80" zoomScaleNormal="80" workbookViewId="0">
      <selection activeCell="J13" sqref="J13"/>
    </sheetView>
  </sheetViews>
  <sheetFormatPr defaultRowHeight="14.4" x14ac:dyDescent="0.3"/>
  <cols>
    <col min="1" max="1" width="3.5546875" bestFit="1" customWidth="1"/>
    <col min="2" max="2" width="9.109375" bestFit="1" customWidth="1"/>
    <col min="3" max="3" width="10.44140625" bestFit="1" customWidth="1"/>
    <col min="4" max="4" width="20.109375" bestFit="1" customWidth="1"/>
    <col min="5" max="5" width="14.109375" bestFit="1" customWidth="1"/>
    <col min="6" max="6" width="12.33203125" bestFit="1" customWidth="1"/>
    <col min="7" max="7" width="15.21875" bestFit="1" customWidth="1"/>
    <col min="8" max="8" width="15.6640625" bestFit="1" customWidth="1"/>
    <col min="9" max="9" width="6.5546875" bestFit="1" customWidth="1"/>
    <col min="10" max="10" width="9.21875" bestFit="1" customWidth="1"/>
    <col min="11" max="11" width="6.5546875" bestFit="1" customWidth="1"/>
    <col min="12" max="12" width="4.88671875" bestFit="1" customWidth="1"/>
    <col min="13" max="13" width="16.5546875" bestFit="1" customWidth="1"/>
  </cols>
  <sheetData>
    <row r="1" spans="1:13" x14ac:dyDescent="0.3">
      <c r="A1" s="2" t="s">
        <v>19</v>
      </c>
      <c r="B1" s="2" t="s">
        <v>14</v>
      </c>
      <c r="C1" s="2" t="s">
        <v>15</v>
      </c>
      <c r="D1" s="2" t="s">
        <v>16</v>
      </c>
      <c r="E1" s="2" t="s">
        <v>17</v>
      </c>
      <c r="F1" s="2" t="s">
        <v>18</v>
      </c>
      <c r="G1" s="3" t="s">
        <v>20</v>
      </c>
      <c r="H1" s="4" t="s">
        <v>21</v>
      </c>
      <c r="I1" s="4" t="s">
        <v>22</v>
      </c>
      <c r="J1" s="4" t="s">
        <v>23</v>
      </c>
      <c r="K1" s="4" t="s">
        <v>24</v>
      </c>
      <c r="L1" s="4" t="s">
        <v>25</v>
      </c>
      <c r="M1" s="4" t="s">
        <v>26</v>
      </c>
    </row>
    <row r="2" spans="1:13" x14ac:dyDescent="0.3">
      <c r="A2">
        <v>54</v>
      </c>
      <c r="B2">
        <v>23443365</v>
      </c>
      <c r="C2" t="s">
        <v>1</v>
      </c>
      <c r="D2" t="s">
        <v>275</v>
      </c>
      <c r="E2" t="s">
        <v>276</v>
      </c>
      <c r="F2" t="s">
        <v>277</v>
      </c>
      <c r="G2" s="1">
        <v>43090.13858796296</v>
      </c>
      <c r="H2" s="40" t="s">
        <v>282</v>
      </c>
      <c r="I2" t="s">
        <v>278</v>
      </c>
      <c r="J2" t="s">
        <v>283</v>
      </c>
      <c r="L2" s="40" t="s">
        <v>282</v>
      </c>
      <c r="M2" s="8" t="s">
        <v>215</v>
      </c>
    </row>
  </sheetData>
  <sortState ref="A2:M60">
    <sortCondition ref="G1"/>
  </sortState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t_Isue_Bystatus">
                <anchor moveWithCells="1" sizeWithCells="1">
                  <from>
                    <xdr:col>16</xdr:col>
                    <xdr:colOff>99060</xdr:colOff>
                    <xdr:row>0</xdr:row>
                    <xdr:rowOff>7620</xdr:rowOff>
                  </from>
                  <to>
                    <xdr:col>19</xdr:col>
                    <xdr:colOff>198120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:W25"/>
  <sheetViews>
    <sheetView zoomScale="70" zoomScaleNormal="70" workbookViewId="0">
      <selection activeCell="E3" sqref="E3"/>
    </sheetView>
  </sheetViews>
  <sheetFormatPr defaultRowHeight="14.4" x14ac:dyDescent="0.3"/>
  <cols>
    <col min="1" max="1" width="11.5546875" customWidth="1"/>
    <col min="3" max="3" width="15.5546875" bestFit="1" customWidth="1"/>
    <col min="4" max="4" width="22.33203125" bestFit="1" customWidth="1"/>
    <col min="5" max="5" width="16.44140625" bestFit="1" customWidth="1"/>
    <col min="7" max="7" width="16.44140625" bestFit="1" customWidth="1"/>
    <col min="9" max="9" width="13.33203125" bestFit="1" customWidth="1"/>
    <col min="12" max="12" width="10.44140625" customWidth="1"/>
    <col min="16" max="16" width="13.6640625" bestFit="1" customWidth="1"/>
    <col min="21" max="21" width="9.5546875" customWidth="1"/>
  </cols>
  <sheetData>
    <row r="1" spans="1:23" ht="32.25" customHeight="1" thickBot="1" x14ac:dyDescent="0.35">
      <c r="A1" s="38" t="s">
        <v>155</v>
      </c>
      <c r="B1" s="38"/>
      <c r="C1" s="10" t="s">
        <v>156</v>
      </c>
      <c r="D1" s="11"/>
      <c r="L1" s="12" t="s">
        <v>157</v>
      </c>
    </row>
    <row r="2" spans="1:23" s="9" customFormat="1" ht="31.5" customHeight="1" thickBot="1" x14ac:dyDescent="0.35">
      <c r="A2" s="39" t="s">
        <v>158</v>
      </c>
      <c r="B2" s="39"/>
      <c r="C2" s="13">
        <f>COUNTA(A:A)-2</f>
        <v>3</v>
      </c>
      <c r="D2" s="14"/>
      <c r="E2" s="15" t="s">
        <v>16</v>
      </c>
      <c r="F2" s="16" t="s">
        <v>159</v>
      </c>
      <c r="G2" s="17" t="s">
        <v>160</v>
      </c>
      <c r="H2" s="18" t="s">
        <v>161</v>
      </c>
      <c r="I2" s="19" t="s">
        <v>162</v>
      </c>
      <c r="J2" s="20" t="s">
        <v>163</v>
      </c>
      <c r="L2" s="21" t="s">
        <v>164</v>
      </c>
      <c r="N2" s="22" t="s">
        <v>165</v>
      </c>
      <c r="P2" s="23" t="s">
        <v>166</v>
      </c>
      <c r="R2" s="24" t="s">
        <v>167</v>
      </c>
      <c r="T2" s="15" t="s">
        <v>168</v>
      </c>
      <c r="U2" s="25" t="s">
        <v>169</v>
      </c>
      <c r="V2" s="26" t="s">
        <v>170</v>
      </c>
    </row>
    <row r="3" spans="1:23" x14ac:dyDescent="0.3">
      <c r="A3">
        <v>23443365</v>
      </c>
      <c r="E3" t="s">
        <v>275</v>
      </c>
      <c r="G3" s="1">
        <v>43090.13858796296</v>
      </c>
      <c r="L3" s="27" t="s">
        <v>291</v>
      </c>
      <c r="R3" t="s">
        <v>290</v>
      </c>
      <c r="T3" t="s">
        <v>292</v>
      </c>
      <c r="U3" t="s">
        <v>280</v>
      </c>
      <c r="V3" t="s">
        <v>266</v>
      </c>
      <c r="W3" s="28"/>
    </row>
    <row r="4" spans="1:23" x14ac:dyDescent="0.3">
      <c r="A4" t="s">
        <v>284</v>
      </c>
      <c r="F4" s="27" t="s">
        <v>212</v>
      </c>
      <c r="G4" t="s">
        <v>212</v>
      </c>
      <c r="W4" s="28"/>
    </row>
    <row r="5" spans="1:23" x14ac:dyDescent="0.3">
      <c r="A5" t="s">
        <v>285</v>
      </c>
      <c r="F5" s="27" t="s">
        <v>286</v>
      </c>
      <c r="G5">
        <v>15930</v>
      </c>
      <c r="H5" s="27" t="s">
        <v>287</v>
      </c>
      <c r="I5">
        <v>6851</v>
      </c>
      <c r="J5" s="27" t="s">
        <v>288</v>
      </c>
      <c r="K5">
        <v>1967</v>
      </c>
      <c r="L5" s="27" t="s">
        <v>290</v>
      </c>
      <c r="N5" s="27" t="s">
        <v>289</v>
      </c>
      <c r="P5" s="27">
        <v>100</v>
      </c>
      <c r="W5" s="28"/>
    </row>
    <row r="6" spans="1:23" x14ac:dyDescent="0.3">
      <c r="W6" s="28"/>
    </row>
    <row r="7" spans="1:23" x14ac:dyDescent="0.3">
      <c r="W7" s="28"/>
    </row>
    <row r="8" spans="1:23" x14ac:dyDescent="0.3">
      <c r="W8" s="28"/>
    </row>
    <row r="9" spans="1:23" x14ac:dyDescent="0.3">
      <c r="W9" s="28"/>
    </row>
    <row r="10" spans="1:23" x14ac:dyDescent="0.3">
      <c r="W10" s="28"/>
    </row>
    <row r="11" spans="1:23" x14ac:dyDescent="0.3">
      <c r="W11" s="28"/>
    </row>
    <row r="12" spans="1:23" x14ac:dyDescent="0.3">
      <c r="W12" s="28"/>
    </row>
    <row r="13" spans="1:23" x14ac:dyDescent="0.3">
      <c r="W13" s="28"/>
    </row>
    <row r="14" spans="1:23" x14ac:dyDescent="0.3">
      <c r="W14" s="28"/>
    </row>
    <row r="15" spans="1:23" x14ac:dyDescent="0.3">
      <c r="W15" s="28"/>
    </row>
    <row r="16" spans="1:23" x14ac:dyDescent="0.3">
      <c r="W16" s="28"/>
    </row>
    <row r="17" spans="23:23" x14ac:dyDescent="0.3">
      <c r="W17" s="28"/>
    </row>
    <row r="18" spans="23:23" x14ac:dyDescent="0.3">
      <c r="W18" s="28"/>
    </row>
    <row r="19" spans="23:23" x14ac:dyDescent="0.3">
      <c r="W19" s="28"/>
    </row>
    <row r="20" spans="23:23" x14ac:dyDescent="0.3">
      <c r="W20" s="28"/>
    </row>
    <row r="21" spans="23:23" x14ac:dyDescent="0.3">
      <c r="W21" s="28"/>
    </row>
    <row r="22" spans="23:23" x14ac:dyDescent="0.3">
      <c r="W22" s="28"/>
    </row>
    <row r="23" spans="23:23" x14ac:dyDescent="0.3">
      <c r="W23" s="28"/>
    </row>
    <row r="24" spans="23:23" x14ac:dyDescent="0.3">
      <c r="W24" s="28"/>
    </row>
    <row r="25" spans="23:23" x14ac:dyDescent="0.3">
      <c r="W25" s="28"/>
    </row>
  </sheetData>
  <mergeCells count="2">
    <mergeCell ref="A1:B1"/>
    <mergeCell ref="A2:B2"/>
  </mergeCells>
  <dataValidations count="2">
    <dataValidation type="list" allowBlank="1" showInputMessage="1" showErrorMessage="1" sqref="A2:B2">
      <formula1>"YES,NO"</formula1>
    </dataValidation>
    <dataValidation type="list" allowBlank="1" showInputMessage="1" showErrorMessage="1" sqref="U3">
      <formula1>"OK,NeOK,Отложить"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forloadlinks">
                <anchor moveWithCells="1" sizeWithCells="1">
                  <from>
                    <xdr:col>4</xdr:col>
                    <xdr:colOff>7620</xdr:colOff>
                    <xdr:row>0</xdr:row>
                    <xdr:rowOff>0</xdr:rowOff>
                  </from>
                  <to>
                    <xdr:col>7</xdr:col>
                    <xdr:colOff>76200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4">
              <controlPr defaultSize="0" print="0" autoFill="0" autoPict="0" macro="[0]!CloseIsue">
                <anchor moveWithCells="1" sizeWithCells="1">
                  <from>
                    <xdr:col>13</xdr:col>
                    <xdr:colOff>121920</xdr:colOff>
                    <xdr:row>0</xdr:row>
                    <xdr:rowOff>0</xdr:rowOff>
                  </from>
                  <to>
                    <xdr:col>15</xdr:col>
                    <xdr:colOff>716280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D39"/>
  <sheetViews>
    <sheetView topLeftCell="A19" workbookViewId="0">
      <selection activeCell="H36" sqref="H36"/>
    </sheetView>
  </sheetViews>
  <sheetFormatPr defaultRowHeight="14.4" x14ac:dyDescent="0.3"/>
  <cols>
    <col min="2" max="2" width="14.5546875" bestFit="1" customWidth="1"/>
    <col min="4" max="4" width="24.44140625" bestFit="1" customWidth="1"/>
  </cols>
  <sheetData>
    <row r="1" spans="1:4" ht="15" thickBot="1" x14ac:dyDescent="0.35">
      <c r="A1" s="29">
        <f>COUNTA(A2:A94)</f>
        <v>9</v>
      </c>
      <c r="B1" s="30" t="s">
        <v>171</v>
      </c>
      <c r="C1" s="31">
        <f>COUNTA(C2:C94)</f>
        <v>38</v>
      </c>
      <c r="D1" s="32" t="s">
        <v>172</v>
      </c>
    </row>
    <row r="2" spans="1:4" x14ac:dyDescent="0.3">
      <c r="A2" s="28" t="s">
        <v>173</v>
      </c>
      <c r="B2" s="33"/>
      <c r="C2" t="s">
        <v>132</v>
      </c>
    </row>
    <row r="3" spans="1:4" x14ac:dyDescent="0.3">
      <c r="A3" s="28" t="s">
        <v>174</v>
      </c>
      <c r="B3" s="33"/>
      <c r="C3" t="s">
        <v>175</v>
      </c>
    </row>
    <row r="4" spans="1:4" x14ac:dyDescent="0.3">
      <c r="A4" s="28" t="s">
        <v>176</v>
      </c>
      <c r="B4" s="33"/>
      <c r="C4" t="s">
        <v>177</v>
      </c>
    </row>
    <row r="5" spans="1:4" x14ac:dyDescent="0.3">
      <c r="A5" s="34" t="s">
        <v>178</v>
      </c>
      <c r="B5" s="33"/>
      <c r="C5" t="s">
        <v>179</v>
      </c>
    </row>
    <row r="6" spans="1:4" x14ac:dyDescent="0.3">
      <c r="A6" s="34" t="s">
        <v>180</v>
      </c>
      <c r="B6" s="33"/>
      <c r="C6" t="s">
        <v>181</v>
      </c>
    </row>
    <row r="7" spans="1:4" x14ac:dyDescent="0.3">
      <c r="A7" t="s">
        <v>182</v>
      </c>
      <c r="B7" s="33"/>
      <c r="C7" t="s">
        <v>183</v>
      </c>
    </row>
    <row r="8" spans="1:4" x14ac:dyDescent="0.3">
      <c r="A8" t="s">
        <v>184</v>
      </c>
      <c r="B8" s="33"/>
      <c r="C8" s="28" t="s">
        <v>185</v>
      </c>
    </row>
    <row r="9" spans="1:4" x14ac:dyDescent="0.3">
      <c r="A9" t="s">
        <v>186</v>
      </c>
      <c r="B9" s="33"/>
      <c r="C9" t="s">
        <v>187</v>
      </c>
    </row>
    <row r="10" spans="1:4" x14ac:dyDescent="0.3">
      <c r="A10" t="s">
        <v>188</v>
      </c>
      <c r="B10" s="33"/>
      <c r="C10" t="s">
        <v>189</v>
      </c>
    </row>
    <row r="11" spans="1:4" x14ac:dyDescent="0.3">
      <c r="B11" s="33"/>
      <c r="C11" t="s">
        <v>190</v>
      </c>
    </row>
    <row r="12" spans="1:4" x14ac:dyDescent="0.3">
      <c r="B12" s="33"/>
      <c r="C12" t="s">
        <v>191</v>
      </c>
    </row>
    <row r="13" spans="1:4" x14ac:dyDescent="0.3">
      <c r="B13" s="33"/>
      <c r="C13" t="s">
        <v>192</v>
      </c>
    </row>
    <row r="14" spans="1:4" x14ac:dyDescent="0.3">
      <c r="B14" s="33"/>
      <c r="C14" t="s">
        <v>193</v>
      </c>
    </row>
    <row r="15" spans="1:4" x14ac:dyDescent="0.3">
      <c r="B15" s="33"/>
      <c r="C15" t="s">
        <v>194</v>
      </c>
    </row>
    <row r="16" spans="1:4" x14ac:dyDescent="0.3">
      <c r="B16" s="33"/>
      <c r="C16" t="s">
        <v>29</v>
      </c>
    </row>
    <row r="17" spans="2:3" x14ac:dyDescent="0.3">
      <c r="B17" s="33"/>
      <c r="C17" t="s">
        <v>195</v>
      </c>
    </row>
    <row r="18" spans="2:3" x14ac:dyDescent="0.3">
      <c r="C18" t="s">
        <v>182</v>
      </c>
    </row>
    <row r="19" spans="2:3" x14ac:dyDescent="0.3">
      <c r="C19" t="s">
        <v>196</v>
      </c>
    </row>
    <row r="20" spans="2:3" x14ac:dyDescent="0.3">
      <c r="C20" t="s">
        <v>197</v>
      </c>
    </row>
    <row r="21" spans="2:3" x14ac:dyDescent="0.3">
      <c r="C21" t="s">
        <v>198</v>
      </c>
    </row>
    <row r="22" spans="2:3" x14ac:dyDescent="0.3">
      <c r="C22" t="s">
        <v>199</v>
      </c>
    </row>
    <row r="23" spans="2:3" x14ac:dyDescent="0.3">
      <c r="C23" t="s">
        <v>181</v>
      </c>
    </row>
    <row r="24" spans="2:3" x14ac:dyDescent="0.3">
      <c r="C24" t="s">
        <v>200</v>
      </c>
    </row>
    <row r="25" spans="2:3" x14ac:dyDescent="0.3">
      <c r="C25" t="s">
        <v>201</v>
      </c>
    </row>
    <row r="26" spans="2:3" x14ac:dyDescent="0.3">
      <c r="C26" t="s">
        <v>202</v>
      </c>
    </row>
    <row r="27" spans="2:3" x14ac:dyDescent="0.3">
      <c r="C27" t="s">
        <v>203</v>
      </c>
    </row>
    <row r="28" spans="2:3" x14ac:dyDescent="0.3">
      <c r="C28" t="s">
        <v>204</v>
      </c>
    </row>
    <row r="29" spans="2:3" x14ac:dyDescent="0.3">
      <c r="C29" t="s">
        <v>205</v>
      </c>
    </row>
    <row r="30" spans="2:3" x14ac:dyDescent="0.3">
      <c r="C30" t="s">
        <v>206</v>
      </c>
    </row>
    <row r="31" spans="2:3" x14ac:dyDescent="0.3">
      <c r="C31" t="s">
        <v>207</v>
      </c>
    </row>
    <row r="32" spans="2:3" x14ac:dyDescent="0.3">
      <c r="C32" t="s">
        <v>208</v>
      </c>
    </row>
    <row r="33" spans="3:3" x14ac:dyDescent="0.3">
      <c r="C33" t="s">
        <v>209</v>
      </c>
    </row>
    <row r="34" spans="3:3" x14ac:dyDescent="0.3">
      <c r="C34" t="s">
        <v>210</v>
      </c>
    </row>
    <row r="35" spans="3:3" x14ac:dyDescent="0.3">
      <c r="C35" t="s">
        <v>211</v>
      </c>
    </row>
    <row r="36" spans="3:3" x14ac:dyDescent="0.3">
      <c r="C36" t="s">
        <v>213</v>
      </c>
    </row>
    <row r="37" spans="3:3" x14ac:dyDescent="0.3">
      <c r="C37" t="s">
        <v>214</v>
      </c>
    </row>
    <row r="38" spans="3:3" x14ac:dyDescent="0.3">
      <c r="C38" t="s">
        <v>231</v>
      </c>
    </row>
    <row r="39" spans="3:3" x14ac:dyDescent="0.3">
      <c r="C39" t="s">
        <v>234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39E6A0D-EC97-4F4E-9514-9EFA2E2D405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Лист2</vt:lpstr>
      <vt:lpstr>BufferList</vt:lpstr>
      <vt:lpstr>Авторизация_PR</vt:lpstr>
      <vt:lpstr>Ключи</vt:lpstr>
      <vt:lpstr>Список</vt:lpstr>
      <vt:lpstr>Обработка</vt:lpstr>
      <vt:lpstr>Исключения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Виталик</dc:creator>
  <cp:lastModifiedBy>Черняхівський Віталій Анатолійович</cp:lastModifiedBy>
  <dcterms:created xsi:type="dcterms:W3CDTF">2017-11-24T19:54:25Z</dcterms:created>
  <dcterms:modified xsi:type="dcterms:W3CDTF">2018-01-05T10:02:51Z</dcterms:modified>
</cp:coreProperties>
</file>