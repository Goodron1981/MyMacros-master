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activeTab="4"/>
  </bookViews>
  <sheets>
    <sheet name="Ротапост" sheetId="3" r:id="rId1"/>
    <sheet name="Прод" sheetId="6" r:id="rId2"/>
    <sheet name="Исключения" sheetId="8" r:id="rId3"/>
    <sheet name="Ключи" sheetId="9" r:id="rId4"/>
    <sheet name="Лист1" sheetId="10"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A1" i="3"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<sst xmlns="http://schemas.openxmlformats.org/spreadsheetml/2006/main" count="201" uniqueCount="176">
  <si>
    <t>Ссылка</t>
  </si>
  <si>
    <t>Ключевое слово</t>
  </si>
  <si>
    <t>Перевод</t>
  </si>
  <si>
    <t>Уникальность</t>
  </si>
  <si>
    <t>Success</t>
  </si>
  <si>
    <t>ApiKey</t>
  </si>
  <si>
    <t>ExpiresAt</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</si>
  <si>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</si>
  <si>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</si>
  <si>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</si>
  <si>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</si>
  <si>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</si>
  <si>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</si>
  <si>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</si>
  <si>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</si>
  <si>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</si>
  <si>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</si>
  <si>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</si>
  <si>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</si>
  <si>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</si>
  <si>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</si>
  <si>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</si>
  <si>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</si>
  <si>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</si>
  <si>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</si>
  <si>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</si>
  <si>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</si>
  <si>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</si>
  <si>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Postovoi</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</si>
  <si>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</si>
  <si>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</si>
  <si>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</si>
  <si>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</si>
  <si>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</si>
  <si>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</si>
  <si>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</si>
  <si>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</si>
  <si>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</si>
  <si>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</si>
  <si>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</si>
  <si>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</si>
  <si>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</si>
  <si>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</si>
  <si>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</si>
  <si>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</si>
  <si>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</si>
  <si>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</si>
  <si>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</si>
  <si>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</si>
  <si>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</si>
  <si>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</si>
  <si>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</si>
  <si>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</si>
  <si>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</si>
  <si>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</si>
  <si>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</si>
  <si>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В работе</t>
  </si>
  <si>
    <t>Статус заявки</t>
  </si>
  <si>
    <t>Максим</t>
  </si>
  <si>
    <t>d5cc2917-2128-4f9d-a58d-b5d761b71b57</t>
  </si>
  <si>
    <t>Постовой должен быть окружен тематическим текстом
Только один постовой на страницу
Постовой должен быть в новой статье</t>
  </si>
  <si>
    <t>dril.com.ua</t>
  </si>
  <si>
    <t>smartx.kiev.ua</t>
  </si>
  <si>
    <t>реклама</t>
  </si>
  <si>
    <t>спонсор</t>
  </si>
  <si>
    <t>marsella.com.ua</t>
  </si>
  <si>
    <t>Статус выгружаемых заявок</t>
  </si>
  <si>
    <t>Заявки в работе</t>
  </si>
  <si>
    <t>&lt;a href="https://medtehnikalife.com.ua/glyoukometri/" title="глюкометры"&gt;глюкометры&lt;/a&gt;</t>
  </si>
  <si>
    <t>Постовой должен быть окружен тематическим текстом, не менее 4-х предложений.
Только один постовой на страницу</t>
  </si>
  <si>
    <t>nutscn.com</t>
  </si>
  <si>
    <t>2017-10-26T13:34:38</t>
  </si>
  <si>
    <t>2017-10-26T17:56:52</t>
  </si>
  <si>
    <t>2017-11-02T17:56:52</t>
  </si>
  <si>
    <t>https://medtehnikalife.com.ua/glyoukometri/</t>
  </si>
  <si>
    <t>&lt;a href="http://portmone.name/ekologiya/otrava-iz-pod-krana-ili-kak-my-stiraem-zdorove.html" title="фосфаты в стиральном порошке"&gt;фосфаты в стиральном порошке&lt;/a&gt;</t>
  </si>
  <si>
    <t>adonaidenver.org</t>
  </si>
  <si>
    <t>2017-10-26T18:03:19</t>
  </si>
  <si>
    <t>2017-10-26T18:59:54</t>
  </si>
  <si>
    <t>2017-11-02T18:59:54</t>
  </si>
  <si>
    <t>http://portmone.name/ekologiya/otrava-iz-pod-krana-ili-kak-my-stiraem-zdorove.html</t>
  </si>
  <si>
    <t>&lt;a href="https://uaflats.com/uk/kvartiri-posutochno-lvov/" title="подобова оренда львів без посередників"&gt;подобова оренда львів без посередників&lt;/a&gt;</t>
  </si>
  <si>
    <t>fledur.org.ua</t>
  </si>
  <si>
    <t>2017-10-27T12:16:38</t>
  </si>
  <si>
    <t>2017-10-27T13:07:08</t>
  </si>
  <si>
    <t>2017-11-03T13:07:08</t>
  </si>
  <si>
    <t>https://uaflats.com/uk/kvartiri-posutochno-lvov/</t>
  </si>
  <si>
    <t>No keyword!</t>
  </si>
  <si>
    <t>Как выбрать глюкометр.</t>
  </si>
  <si>
    <t>data:image/jpeg;base64,/9j/4AAQSkZJRgABAQAAAQABAAD/2wCEAAkGBxISEhUSEhMVFRUWFRUQFRUYFRUVFRIVFRUWFhUVFRUYHSggGBolHRUVITEhJSkrLi4uFx8zODMsNygtLisBCgoKDg0OGhAQGy0lHx0tLS0tLS0rLS0tLS0tLS0tLS0tLS0tLS0tLS0rLS0tLS0tLS0tLS0tLS0tLS0tLS0tK//AABEIAKgBLAMBIgACEQEDEQH/xAAcAAACAwEBAQEAAAAAAAAAAAADBAIFBgEABwj/xAA+EAACAQMBBQQIAwcEAgMAAAABAgADBBEhBRIxQVEGYXGBBxMiMkKRobEUUtEVI0NiksHwFnKCojPhRFOy/8QAGgEAAwEBAQEAAAAAAAAAAAAAAAECAwQFBv/EAC0RAAICAQMEAAQFBQAAAAAAAAABAhEDBBIxEyFBUQUUIjIVQmFxoVKRsdHh/9oADAMBAAIRAxEAPwASJGESdppGESYkkUSHRJJEh0pxMRBacKlOGp0oylKIEhdKMPTozvrVEKlynOBp05ejqUYZKMq7ztRaUshqmSPhUFj9NB5mVg7bmocULao/fgn6ID95Si2TwawUoQU5l6W2r9v/AIZA8Dn6sIwnas0yFubepSzpvbrY8gRqP9paPpyFaNEKckEnbWqlRQ6MGVhkMDkGH3JmMBuSQSG3J3dgAApI7kZxPYgMWCyW7CFJwAwAEVkSsY3Jz1cAFyJHcjXqpwpABQ05E044Vkd2ACbU4JqcfdIFlisBE04NkjrJBskLARanANTli1OBZIAV7JAvTlg9OAZIWBXvTgWSWDpAPTjsZW1aAMRqWOvCXD04IrGOw9NI1TpwlOhG6NHEozoFSoRqnQh6dOMJTiBIFToxbbZKUWZeWM9wlqlOTaiGBVhkEYIPMRFLsz5m+2CMknSNbK2XdX5O6dykDhnOd0d2nvN3cBzlb272YlvcU0pMSHBqbh+HXAGeYOs1fpC21+zbSjY2/su6HeYcQPibxJJnRCK5LzZW+yFrq22Vs87r5uK35d31jZHRB7KxKr20uXO5b2fq1Clw1TPurnUIgyfdbQdDMHa9o61Kk1FFQ7zF2dgS5Y41DZ0Og+Q6SzfbdD2W3KtVsEsGIWnvnBZ0A4ZO8SMcWPnpuMaL5+0t4o36t3bJpverRMseBC5YggkdR0ziC2f6T33zTuaaVqBODlQGK9ShyCe6Y2+Y190LRSmFyAEBycnPtHif875Kl2erMMhG+33k7g7H1ik6WL07m3ff2fdEBtSfw9RvdbJ+E8DnwOuM7WfI/RbtBaorbKuP/HWVtzPwVB72O/TeHes2PZDaj+qNCqf3tu7W7g89w4B+Q+kyyx8ouCt0asSQEFSuAeOkZGJgNxa5B7k6KcJiegIHuzhWFncQAXInMQ5EgUgBDE8RJCdIhYAt2RKwpE4RCwAOsEVjTrAkRMYuyyBWMlZApEAqyQTpHCsgywAQenAvTlgyQLpGIrqlOAdJYukXdIwK90gWSPOkEaR6RruBZokYWnI0xGEWWI9TWNIJBaUKiYkgTAk1E6iwoWIZ8g9J9Qrfo3SkhHkzn7y09NFsKjW9wDo1LTHMH2h95D0yWeGoVgOIamfI7w+5jNcC+2HSqcXtiaTc8BdBn/gUM68f2olmf2Z2HNRVcsArAMOeh1Ev7TsVRX3sse+N+j289ZahM5NJjTPh7y/Q48ppd2RLk5pSdlRa7EpJ7qKPKFu7Qbug4SxxIVFyMSST5Dtvesr9LhNMMtYd5U+0PMfebrtLWShtCncKf3N5SSrkcC6gDPmpQ+ZlF6QrDeo74GtM58joYN6puthU3BzUsq3q88wh936Mn9M0X1Ro6cUuGfS7aojqCp16ciOUOt0BodDPnvZrtGrU13jrjjnUGbGjdJVAyQeh4ETmo9Ci2S56GFoXRbPDSVVJFzjJ+c6G3S2Omc+HEHrJBwXouRc9ZxrwdMysVsw+8BF3M3CIyLonkJJLoZw2nfylfWu1WKvtJCdSIxvGjRbsiBKy0uyBlTkdI8b1AMnSCVujCUaDCcKxM7Wo/mkDtml1Pymvy+V/lZl1I+xtlgykVbbFPv8AlBna68lb5SlpMz/KxdWC8jhWQKxM7VH5TOjaq81Ijejz/wBIdfH7GWWDZZxLym3A/PSGInPLHKPKNE0+BYrBusaZYJhJGKOkXZI65E9Srhdd3WNNeR0wVvsotq2gjq2iroBOJtXkw+UYWqragidmLZX0mcotFGt9RH8RfmIUbVoD+IvzEpEsaf5B8oxTtU/KPlPQXw2HmRwvW/oWw23b/wD2Cd/b1D82fAGVy0V/KPlDKg6CV+HY/bJ+dl6HF7Q0ujn/AImT/wBRU+SOf+MU3Z0R/h+H9f7k/OTKjt5crdWjIKbhkIqqSNBu5z9CZReiC+DNcWFQ+zXpkqP50Bz81P8A0myqKCCDwIOfDnPkNOrUsb5ag/h1d9f5kDaDzXTzmefDjxxSidOnyzyW2jT9iFe0v6trU03wQP8AcmqnzUmfRTMz6TKCqbbalAZGUYkfEre0p/8A0vmJpLesHUMpyGAYHqCMiefNDyLvZ4yJk2idK/RlDH2Sc+yfeGpGoHhIogrduWgdWU8GBB8xMf6NkLLtCyf46JIHR6ZKk/8AZflNttK59nIU4HEnC6dwMz3ZS3CbSuKqkFPwxZiCCAWI4+O7maYzTG6s+cWdd6THpnHnNXs/bZwNZS2e61VkYAq+SPEa/bMNW2Y1M5TOOhkNKz0ccnRvLLb2gyZYjtAuMT5jSuivGMLtHnmTsNNx9HO3F4nTuid12lJ0WYBtpDqTOC/zwPlzj2E7jYHaNRydcw9GuRq+njzmVs6tRiAAyg/EQZprSmlPXO+x+I8vASWkitxorC6z/KPvLVLlZlkf4i2Pv5CEW7GcA6f5xk7SGaVqSMNAIB6WJV297rxj63OZ14NXPF2fdHHn0scitdmS3R0njD0HQ8o5Tpp0E638SxLwzjXw/J7RWYnMS29UvQSWBM38Vj4iy18OfmRSvRzynKbVEPs5I6S5cQbTKfxKM1Th/P8Aw1honB2pERVJGcY7oJlzxkmaCLzy27O5RSOlYFzOu8A7RUUcqGKtUMlUqRRqktIlhFhkgVhUn1580EEIsGIQQJJTsFUrqo9pgPEgRKpt23GnrAT0GW+0ltLkpRb4Qa8u1XIzrPm3bJd7DjiDg+c0+1r5XYsgbGNcjGvdMTty4JBX/OM8LUbpZW+f9H0Wm2LBS9d/3N72F2it7YPsyqQHwxtyTo3xerzyIOo7v9s9sDbX4a3FG5YUalB2oOGGXAGqELzGNM9wnzzs/cEHGSD7wIOCCNQQRwM3Nzta3u1VNpUS7KN1bqjha6j+deDj/MRNHNOKZDanb22AIQVap4ZzuLMm3bKuCTSCppjOMtjzl3U7GbPfWjtRQPy1aJVx45K/aQXsns2lrWvjV/lpqBn5ZMW0FGCMo13dXThN+pVdjouSfpwAm2qINmWLW+Qbiv7VXHwLjG75DPzME3aO2tVKWFAIToar6se/r85nEq+urBq7khmG8xP+YjHyI+sKkMOKkH5TY0K6ugPIgEec7tSxoepcBEXCkqwGCCO/nKPYdyd0p+U/Q6/rImjfDLwMbRsxxEq2oES9dgeME1NTpITNWU25zEesaijlrDmyHKKPQIPQx2SXlK8OMYjCXBlFb3BBw3H7x9agjodloK+eJh1rA8JUipCJVhtFZcUavL6xpLg+6DrKP8RpxjVrcYk0I12zjoJZrUmXtdo7scTaoOJjKLGmaBKkmHlZbXinnHEaZUUMZkGgWqSBrQoAjCAczzVoCpWEYEajRarUkatwInVriUkKztWrF2qQNStFmrS0hWSuO1FuhIBLEflGnzlfW7bAe7T/AKm/SfPra3rVFyoYjO7oCTnGeAj9LZFQavur31HAH9InrvV5HweatLjXJpK/bOqRnKqO4f3MrK3a2oTrVY9wOPtKupaUP4lzvHoiaeRM4lpZnTfr+O6kzc80vLNFjxx8B63aLPLPjk/eLHtA+dABF6myKpYimrMvI4xkd8Yo9mLlvgx4xLBkfhlb4LyCqbcrN8WIFbyq5xvZms7P+j5qjZrvuqOS8W7s8pcbQ7PW9vpTpoe8jJ+ZmM305bXyb48bmrXBgrepu1AZtrSwWpTVmcjeGQABoPOY7bYAqeyAMY0HCWWz9qVlphVYbvLIyVzyBzwg5KTsicWuwXaFHccrnOOY0z5cohUqY7zJ1ap65J1JlZXusndXrjPeYhJDD1PAeciWPcfA/rNK3o0ujReqWGQnrFTm2mSp6HEwiZ5QXcZYs54ZPgSftLLsyc3AQ/ECPMaj+8pUrHg2vfGbGtuVqbg8GBz5xMqL7n0S42QcdZVtabpmlt6pYamAu7YHxmB0opVoRprVWGoh0ofOcAwdYWJor62yM8NYm1k68NR05zSUzidqUAeEdkmZ3iOII8oRKmeBl7+F6jMj+AB5AylMKRV09NYxTrx02A4cIGpbHlGnYmgNS6kluCZwWS8WbynGQDQHSN14JG6V0RwaOpf1hzMoXyOAnku3HOS4WG40a7Qq9YT9oPM8l43Myf4tjpmTsDcXzbRMBUvzKk1pA1YtgWWD3h6wFS6iD1YM1I9oWOPdQBuTFWeD349oWO/6WYArTqMgPHBxmSo9iqfxszeJmpWEWfS9OHo8Lqz9lJb9k7ZfgEdp9n7cfwxLJYVTLVLwZucn5F6Nii8FA8owtEdBJCTENxJWX9dqTZ5Hnyz0mc2nf5m1qUwwwQCDxBlHddlKTnO+4HTQ/ImeXqNE5z3R8nrabXxjBRn4PmO21yd4RbZ9xgEGfUv9E2x4lz5j9J8x7QbPa1uHpHkdD1U6g/KYz00scbZqtRDLKkdu6pCk8zK2imusYuKu8I1s3ZzOCw1xOY04R9O2Tf3Fzb02e5qBd3cKruocrocsBkzC3Wxl9e9IHgxCtniDwmz9FVlQuHq0K6bxUCqgLMFxndbKg4Pw8Zb+kPs7TpVKNajTWmpzTYIAo3hqpIHPGflMYY5xyNuVp+Cp5IuKSXc+UbS2cUO4ygEc5WAEOB3ibLtQ6gDPv8fAdTMrsyj62uMcAd4+AnQ0RB2fRrO40Ajm/KL1oziEpXo1BMw2s6rotkcA6yVRQe8SppXupBh/xoHOGxg5FkiDOYyVWUX7QHWDO1Mc4+myNxfkgSNXHEaSiqbS75A7UjWJhuLlqg5wFS6Uc5T1NoROpXM0jifkTZZXFQE7xOID1iczK/1s4as06ZnZarWU8TJqVlMKh5Ayf7zkrfIw6LfAtyLOo4gw4ErGZxxBgXvMQ6EkLfEuGrSLV5SNtEdYNtpr1i6THuRdGsJE1hKM7TXrI/tNesWwdly1WR9bKc7RXrOG/HWTsCz6uhhVMWRoZTPoDwmHEIpgVMIGjsVBxJAwQMmDAAgM7IZnQYhE8zHekTZCVqauB+9TgeqdD58POa/Mpdu0XJ3gpZSMHAyR5dJhqN3Te1HTpFHqLcz4tUUroY7szahpNkHB+h8Zf7S2VvscI2fA5itLsTc1PdTA/m9n7zzI45S4R6k3GPLNL2K7RW6XlKqW3HJ9W3DdYP7JzzHEHyn13txZNVsqwT/yIvrk5+0ntYHiMjznwZPR3dZ1amvfvkkd+gn6H2BWZ7emahBfcCORwLKMMdepBiyYZwVyRkskJcM/LiCvd1N1Azs2v/snkJvtgdiDSX95UAY8d0Z8sn9JrxsWjau9OlTVAGPAakHUa+ENPQw6aG233s5MuqknUexSjsxQxqXz13v7YxLTZno6oN7dR6mDwXIGnecS12VSQnedgMHQE8ZffjE/MvzEx1LjH6YL+C8Dm1cpGZq+jezJyHrL4Mp+4gD6NLflXrfJD/aa71+ZGtchROHczq3Mw1x6OaanS5bHegz94k3YimP47f0j9Zptp35IwIhSZs8RnpmVvr7mUoyl9pQ1Oxqr/GP9I/WL/wCl6eq+uIboVx9DNBtA1BhgCcH78/H9YvUvUqpu1AVZfdbmp6eHdJnkk/tZ0YsdfeUD9mN3jU+nHw1hqewqA4hm8T+kuLCqKq4Jww0P83fPV7crqOH2nVpNRBvbNd/Zz6vBNK8bf7FZ+yqA/hj6mESzprwRR5QrOBEbu8Anq0l4PIuT8hqtRV4ADylPfbQi13e5lRcXGZjPJ6NoYyV3dkyrqvmFc5kPVE8pzvudC7CrwLJNBY9nLisN5KZI6nCjyJxmPJ2LuOYQeLfoJlKUFy0aqMnwjHeqkhbnpNzR7E1PiemPmf7CP0eyFJffct3ABR/eZvJhXktQyej52lkYX8AJ9J/YNsPg/wCzfrBnYlt+T/s36xLU4vTH0Z+ywV4ZHiCvCq89g8aiwV5MPEVqQq1IxUOB5NXiYeTDQENipJb8U3pIPABkPO78WDTxaADBqSBqwBaQLQChkVZabK24aKld3eBORrjB5yh3pzfkThGaqRcZOLtFtfbQNVy5AB4aRf1sSDz3rJSikqQnbdsZq1pU3l+R7pxjnI3+0Aug4yiu65g2ioxN72f7SrUG4xww08e+Wd5W3uBzPj5qEajQ9Y7R7R3FPg+R0YZnn5NOm7idsMnambm7utwgn59J57mnV4nB/NzHnMtR7bnGKlEHrg/2MWr9orc6olRD00K/LlMJ6a+TqxahRVGwtr/GjHODiHqLSqDXEoOzgWtmqx9nOAPzGae4pBACoBHNcajwPOefODjKjujJNWUNXZzoc0skfUeB5xqjXzocgjrpHEcNqp8pJgGHtDzkWaUVd7YFwSh16cj4dJjL+qwJVgQQcEHlPpFPA/WI7X2NTrjJ0YcGH2PUTtwayUfpm+xw59LGX1R5PmrAmeWzJmjq7L9WcMP0PhBlBynrwxqSuzzJTcXVFKthH9l2KlwWGVGpHInkJZ2WzHq6+6vNj/Yc5wsE0HAEicurzwxxcY8/4OnTYZTe6XBpbSvlemNAOU5Wr4lVSvQF4yFS95zxD1KLD1rSL1ZUHaWZwXmYxbSwarAmqIu1YY1MESTCwoIjwyvEUeHVp9OmfOtDitCK0URoZWlJktDatCKYqrQqvGSMgyUAGkg0YguZ3MFvzm/EFBCZAmRLSBMY6JkzmYNmkGqwHQVngzUgHriAa5ETZSiCvbPOoMqKoYcRLZrqQ9ep4zN0zRWUbnMCyzQHcPISQVOggoD3GcW2Y8BGaex2PHSXm+okWqytiDewezQ1DQHI447+svqG2N4YzKLezOGlzzgznzaWM125OjDqnDs+C6o3m6xAMd/GTKLXIODoY7Qu8TxMmNxk0z14TTXY0VK6hxV5jUTPpd5j9tcaazJovsOXarUXdb58x4So/Zm62W9peI/9iWwqAiAd++b4tTkxpxi+zMMmnhN21wBr3e4M/SZmvVyT4ky9q2KsxJLeGdBAvsiieO985k2a9kZtr/GmYtXvSdBr9Zo27N25OTvHu3o9bWVKl7iqO/n8zrFSHvMgi3BHs03+WPvLWw2XUK5qNuH8o1PmZoGqCLVKsZLkxBtjjOfWN9JP8CPzN8x+kO9SLmtAhsVVoZHnp6fQo8IMrQyvPT0shhVeEVp6elWKgivJ785PShEhUni89PQERapBvUnp6MaF6leJ1bqenpEmaRQpUuou91PT0wbZokDNwZ4VzOT0mxtBlqmEDmenprEgIuTCKk9PTREsIDPFp6elkgaoDcfnFmBHh1nZ6c+fDGa7nRgzSg6XAajXxzja3k9PTxJwSZ6qkw6XvfGKNxmenpjRomztW474P8WRPT0QWCa8g3u++enogBfipxq87PRiBVa+ImbvM9PRiP/Z</t>
  </si>
  <si>
    <t>data:image/jpeg;base64,/9j/4AAQSkZJRgABAQAAAQABAAD/2wCEAAkGBxISEhUTExIVFhUWFxUVFxUWFxcXFRcYFhcXFhUYFxYYHSggGBolHxcVITEhJikrLi4uFx8zODMtNygtLisBCgoKDg0OGhAQGi0mHyAtKy8tLS0tLy0tLSsrLS0tLS0tLS0tKy0tLSstLS0tLS0tLS0tLS0tLS0tLS0tLS0tK//AABEIAJgBTAMBIgACEQEDEQH/xAAcAAABBAMBAAAAAAAAAAAAAAAHAAEFBgMECAL/xABSEAABAgMEBAkFCgsIAgMBAAABAgMABBEFEiExBkFRYQcTIjJxgZGhsVJyksHRFBYzQlRigpOy8BUjQ1NVc6LC0tPhJCU0RGODs/EIozXi4xf/xAAaAQEBAAMBAQAAAAAAAAAAAAAAAQIDBAUG/8QALxEAAgIBAwMCBQIHAQAAAAAAAAECAxEEEjETIVEFQTJScZGhFCJCYWKBscHhI//aAAwDAQACEQMRAD8AOBih21Mhdo3RWrbDqT1rk1inUoRfDFAtRKvwku8kAcU5dIpVQvSVSaYk1qMdkATjyjqMeUGPJMOIoMqTHsGMSYyJgDIkxKSZqgffWYikxKyXMT1+JiA2IYw8MYABPCe2Da7tfzEuen4SIV2ySSm6tshSkp5OomldQqBWtdgMTnCnPsM2q5x18XpdihSK0ul2tRWusRXmJ6Uc5kyiuxdUH9qkexpLoKtRcsPueNrIWdVyUcrt/g8PWYUqCQtJJSFCh1FJVichQA5E5DbGFyScABKDQ4gjEHCuY3RLJlnAKpooUKRkpNDmPvtj0uaViFIFKXeSSnk8oUGdMFrH0twjuUpe3c4t8eJdiBKSMCKbjnBF4NmFiwp5baila3JpaVJwIKUJAofomKw/OIKSpSTeo6qhHJvrwvZnJN0DDC5vwJPA5Kf3MyFD4Xj1HoW4seFI831GeVFM9P09L9zQGrPki+LynSTWmIKjkDWpMTUvoy1mpSz1geAjT0XauOOtE4oVd60FSD4RZnOSI20aeuVSljuadXqbY2uKl2IxdjsJGCO0k+JjReYQnmpSOgCJN55OtVN1Mf8AqI2acSaXa661jLao8I1RnOXLZqPioIgtcCk5fs8t62nnE9SqOD7ZgUKNBF34C5ujs4x5jg6ipKvFEcesXZM79FLlBghQwh44DvFDQ8KAPCzQE7BWKpokKyUufKbSv06r6udFhth26w8ryW3D2JJiMsGXuSsujyWWk9jaR984A9PLCcVEAb6U/rGs0ZR5RQUsrUBUgoSrDrGIjLNtsujlcWsIJPKuqCSMCTsI6jA4mPdTayhTThmC7g022pMutBPOQ4hQKNp17YwlJo6tPRG3Kbw0EJ7Q+znOfIyx38UgHtAEabvBpZSv8oEfq3HUfZWI39GW5hDVJlSVLqaXSVUTqBUcVHfE42YzRzyjtk1nJQtBrJS25a0uypwNJcSy2FLUsoPEVVQqJPOXWAXLrcSAAAMADhkdcdC8G/K/CDvl2hM9jdxsfZgMvSCk2g/KpAr7oeQmpoMXFFNTqFCI12tqOUdOihCdqjPgiy4/kVq6sPCMjUkVc4ncTU1i4C2pZposloF1NUkihxBNce6FNTzPEpQgCuBVhTLOp144x50r5+D3qq4J4UTRs3R1DLaJh664hYIu0qRWuYOvCLTwPyvuecfb1OMBwDYEuUpvpeiuuqKwlIUSBqOVTsi3aNWgDakqgJKSJZ5o1181wfZPbDTWydiT98nJ6jTtrzyFIQ8MIePVPBFChQoAYxSLcV/eCRtYe7nZSLuYHVvTCTbDaAQSJd8KA1ErllCvUKwBOCPYjwmMqRADpEZBHmkMVwKZgYlZLmJ++sxBKeiZsxVWk9fiYENuNC3LVRKsOPuHkoSTTWTqSN5jfMCbhXmZmYWllptZYb5SimhvryApWtB0UgCjWnNSU26p+YZdQtZK1qQu8CSKgm9QGguigB1AZRjXofIO/BzSU1rQOJLeRpirm7Y1VsXCQrkn0TqSMDcNcDTrMekpFa4YkY9KzkSE1ywxx2RkQdXB3NIF9hwkeU0uo7UkRgLdqMHlK4wDUtIP2gD3xsNrUihSpScjUEjG6SrHCuQrytQxAiRl9JppAoXL6f8AUSF5ICgLxrtqeVsAjKMnHhmMoRl2aK+9b7vFr4xhAI5PJKgrlA0VdxFB0iOh+DiWLdlyaCCDxDZIIoQVC9iOuBXo0y1aUylpcm1VSardRUFKc9ROYFcxmIOyEAAACgAoBuELLJTxueTGuqFedqxk500jb9z2tNoyBcWof7lHf3jGX8KKTrr04xv8MEgtNqpWhta+MZbWQgEk3Sps5A0wCYhmrCnnAKSyW/nOroTnqrh2ahHoaXVxrr2yOPVaSVlm6JjenkqOISk7q07yaR549IzNej+uESTGhb5+EmUJGxtBUe03Yk2tB5etV8a4dhUEDA7Eip7YWatS4RjHRP3ZVZq1G6UASnabxUe7ARN8EU9ctRJryHGnEFVCE5JWKnViild8WKW0cl2+ZLtAiuN28rA7VVMSQlSMASNw6cMo45zclg6qaI1d0E1Jh6xSrKtF5rDMbDl2auqLLJWshzDmq2H1GNDR0JkjDGGiB0i0xkpEfj3gF6mk8t0/QGXSaCIUfTt4os6cUDQ+53QDsJQQPGMln2gwtKQ280ugSOStKshTUfbAst/hUdmKttyzQZOaX/xilj5yUkJSN2PTEAu1ZJzF6y2ifKZdW2rqBNBFwAtTOhMmoYoWDkSFqqagpxrXGhpu1AYUwN6JJQQUzD9ApJuFfJohV6lBQY0Fa1wgbSs5IinFv2rKnKiHONQOpOqJaWtZ8H8VbyVVyRNy4B3AmhMMAt8lYU4240fdylMtqSS0QReSkFNCqpJrniabNVLiyvKBq1bNsoxpZ0yNVx1TKj9YQI3TphOoQeNsmYrT8goPAHL4opr2xAS3BNyrP4z87MTTnTefWK90CXhNleLteZHl8U6PpNoSf2kqgycGEqpqypRCgUq4uqgRQgqUpRqDkcYG/DbZTyrRYWy2VqdlymgpjxSyTmQMnB3RjJZTRu09irsUn7FByjclVLOSSdfZGWy9F553FSEtDa6oA023U1PbSLrZGhLScZh9xw60Njikb8cVHPaI09HyejP1THwR+5T3LULYphXVExoFKzptCXm1sOpZbK7zihdF1Ta0UAVQnFQyghWbZsux8Cw22fKpeX6aqmPc5VXOJPTjGcKYQeUjiu1l1yxJ9i3yFqMvfBrBIzTXlDqjdgUPtKrVIJUDgQSkg+dqiesjSCYbwdUHE6q88fTGB7I2nKXmsPGjZtpIeBKa4UqCKEV8Y3YAUDO3HR+FGnlKSlsNvt3jgAagco5DFBx6IJhiuT2iiVlSm3nGysLBwSsALNVUBgCFXpNIpzmmj5qr32axpvaf2en8spXmtueJSBHuS4H5NHOefX08WPBES8twbWaj8ipXS4vwSRAFXe4SJX4jb6+hKR4qjTVwhlWDco4o/OWB3BJgkSuiMg3zZRnpUgLPausSzMshAohCUjYlIHhAAlTb1qOU4uzjjtvq7+SIKVjNLSy2HAAu6LwGV44mkbtIUAa8+FlCuLpe1VNOnHbFWMmtPPQob6Xh2pqO2LjCpAhR5xEsRddCFJPlJvI+kaUHXEc5oRJPC80LlfjMroOwcnughPSjauchJO2gr25xoGwWgq+iqFEUJwNRsNRUjri5GAaTvB4pNeKdB2BSaarqQVIIyx1HExW57ROZRW81eBFCUUVqF8/FUThTXXGDY5IujUlfQbp7FYd8R7rbhN3ilgnAVTUV3qFR3xQQ/BHYRaZVMLTRbpoARQpSNWOIyAodhggxilWQhKUDJIA6d8ZaRiUr2kdil0h1BuuJBAOYKTjdUNaa47dkVyXbClFCkXHRips4pVjzkKyI3dwghkRD23YTb6cQQRiFJN1STqKVDEGKmRogBZqqYADLPLaa0xhp6ScQ2S2hLix8Qm7UVrgdu7vj3xs4wA2phUwRgHUlCSRqK0qIofNqOjKPKWrSdyDDA+k8r90A9ZjLJMFGmtIporLYRcUDQoS2SsdINTXqjcsq15pkj3QkBsnnOqbaUPNqQVdFIubeiK14vTLy65hKg0Oj8UAadJMSchonKtG8llAVrVQFR6VHE9sTJkVr8LJX8E2875jZSk9C3LqT1GMjMrPOnBltobXFFxXoIoP2ovLcokaoyhAhuZMEDbdlTDsoGWnlIcoAVBRQVCmICxUogL2vwdTLRJLUxialaeLmEneSChfcTHREKkY5Kcsrsq6SC8EkfFcCkHf8IEjvMJVmzCU3ktqcG1r8Z23Kx09MyLTgo42hY2KSD4xCzWg9nLxMq2DtQLhHQU0i5Bzj7vumi0KSdhwPYaRIMWs3ShKuhWI31pBtmeDxkghExMJGxSw8j0XgoRXZ7gqX8Qyrg+c0plZ+kwtI/ZhkA9Zm03glpN5aualqoJO8op9+2LFovITrzhSwsrXiFuE3pdiuxZxecGxJujaqLHYfBisEpfLbTJ5zbBWpx4eS48s1DfzE0B11glSMk2yhLbSAhCRQJSKCAGs2V4ppDdb1xISVZVIzNI09I7EROMlpZKcQpK085ChkpJOuJWFEAIbSkZ2SNHwXWtUw2CSBiAHW611nlA9J1RI2dMIWkFOINMU8pJFKVSQKHVndO6CWtAIoRWKlaWhgSsvSag0s4qbOLK+kDmneOwwB4lGFHE0Hf3D29UbT6EISSsi6MSSQEjpGAjFI2ZPKFFhpnaQouk+aKJA669ESsro6ylQW5eeWMlOm9TzU81HUBAFWcbXMGku0pY8v4NsfTUMR5oVEpI6IqOL7x8xrkjrcPKPSm7FsCYeANWQs9plN1pASCammZO1ROJO8xtUhUh4AaFEbpBbTUmyp969cSUg3U3jVRoMOmkDm0OGVOTEtX5zi/wB1APjDACxDKUAKk0G0wA7Q4TLQdycS0NjaQO81MVydtV974V1xzzlKV4mLgHQ09pXIs/CTbIOwLCldiamJWWfStKVpNUqSFJOohQqD2ERy1qjo/Qh29Z8or/Qa7kARATkKFCgBQ1YeMUwu6hR2JJ7BWAMkKAZZGjqn5dDi5yYC1gLUb6gaqJJF6tSIkV6IlABE7MnpcVrIHlb4znBxWWaoXRm2l7BihUgLuSXF/wCYfVs5a9/zo2HpV1CQoF1wKF6vGLpQ9cSuDn8JlKcY8hghVgBqt1SnAyUOJKjdvB5d4DWrPCDXo+VGVYKyVKLLRUSakkoTUk6zWMrK5VvEixkpLKJGsNAn0n02tRufmZeWbaU2yWwL1ArltpXUlRxxJyjVRpjbh/JNdrcWNNkllReDF2wTw2GOFAYmdLrfwuIY31LXtjWXpZpHqTLj6o+uL+nt+V/YnWr+ZBwhQCFaWaS7ZcfRajydK9JPzkv2Mxf01vyv7DrV+UHmEIEGgmllrLtBqXnVtKbdQ8QEJRWrab1aoy1Z7YunCFpcqzGG3UscdfdDV2/cpVC11qEmvNpTfGqUXF4a7mxSTWUWuFWA6jhuXrs4/XH+VGZPDUf0ev63/wDOGyXhjcguQoFKOGdJzkXB/uD+CM6eGJv5G76af4YbZeBlBPhQOWuFho/5V0fST7IuGjluJnGi6lJSAopoSCagA6umI4tDJLQqQhDxCiMNWEYpnCLpTMSQYTLNIcceWpIC6nKmAAIxNduqALnCgSe/O3fkKPQP82G9+tvfIUegf5kZbX4Mdy8hchQIV6ZaQ6rPb60n+ZHn3728M5FsfQP8yG1+C7l5DBCrAf8AfxbvyJv0D/Mjw7p7baQSqTbAAJJuHADEn4SG1+Cbl5DHWHiC0KtpU5JMzC0hKlg1Ca3apUU1FcaGlYnYxMiE0zs73TIzDQFSptRT5yeUjvAjl9C465Ijmi3rJDE3Ms0+DdUE+YrlI/ZIighErjKkHZGZ59pvnKAOwYnsERr1uEmjaPS/plAhJNskx0FwbLrZkrubu+ipSfVHNSdIVjNCOqveawZ+DnTdhmUZYfBbIvcocpIvLUoXgBVOe+IUKkPGvKzSHEhba0rSclJIIPWIzQA8aFuuXZZ9XktOnsQoxvxEaXKpJTP6lwdqSPXAA0sNyobSCaJFDuoIsqJIrAxrj1nIgdoEVGyZlplQD1UhQqBqJ21OVYtkpP8AJqkY40JOGOVBs3x6OoTlBYXCPIog6bHu92MqxG0UU4rIawD/ANYCkZJh8Op/FkkZHk0oRQUu9cR9quqcwxGVb2GYrgct8Q/H3FJIcXUc5tAJBu80qUMyRQRw1OzOVE757H2yRE9IFtS3a5BRpQZ3SBlvIwg6yrV1CU+SlKewAQDrStbj3Ut8UU1U0gqION91tF3vMHaN2qcnJbvA06xEBullqol7WngokXjLkUFfyI3xpe+pr/UPQhPrJiW0nstL1sT1RkmVPa1T1Rh97aNke5oHX0I5OLUuHUeSOVpYgZB3sbHqjwdL9zvaj+GLVISaWk3UpUEgA4GhKq1Kjt2bhDzjKFlBUhzkKCwb9SSNRrW6Ogxm7o7sKBrSqwVQaVJOpz9k+qNli20K1K60j1RJWu+FNFAC68nNRphnhkYr3FEZCN1X71lrAlCHsWPRR5K7XkynU1NVwp8RMWXhqRWSZPkzTPeFp9cVHQIH8Ly1dTMyf2UxdeGdP92qPkvy6v8A2pHrjwNZ21b+q/0ejSv/ABS+oK0NiPRoNYjC8+G03lVAyyJ8Ii3p9h4UWCLuIPdySI+mtvhWsZWXwmeNXXKbzh4JoiGEVqWtBxJoFFSdQVjhEqi1UawQe2OBayqxeDq6E4fzJdldIJ/BU7Vh8bHj3oSYDotJOqsFHgXmb6Jrc42e1FPVHma2cJL9rOzTxafcJIh4YQ8eYdYjA64UFUmrMJ/Pq/cgimBjwwhRds8J53Grp08iMo8oxlwT6VJI9hjG82c0kxSWtKWQ2MSlwDLEgnpyiWk7evgE4Aioxz6I78HCTqX6DGIyctBIhnpsKGFIr86sJxUfvlBFJVdqahXbvzzAOBy++UYZpwqac/VrxGR5J1RX/wAJpSe/oOum6Mjttp4tY2oWP2TB8BchG4Jj/dUt0L/5FRcRFN4JP/ipf/c/5FRcRHnHcIwA+HqSW1OtvIJCZhqhNbovtGhqfNUjsg+GKxwg6IotKW4uoS6g32VkVCV5UI1pIwPbqgU5bLYGJx3nkp6taozMtrIIrdSc8KYdAxp0xKTNnvSzipd5soeSaqCjW9mbyDgCmg6oxJbrXPAXjuAwKjsG/VXOKDFKS4ScBiNZxPVsiwS1SKa9u7EH/v1xoyksVUOQ2kfZHbux1xLMICRQDr1npMYtmyNbkTNhzjkseMbeUg7EmoPnJOB6SIJWheljk4otrZxSKl1HM3BQORO4mKPoloi7OELVVtkZrpiraEe3IQXbNs9phsNtJCUjUNZ1knWd8RZMrFGKx7m3FQ4QLdbbZcl7t9biCkpBpdChgSRkcqCNvSnSVMvRpsgvrFRXENpyvrHbROsjYCYG71iPukrLqFqJKipRUkk7TUEbYyNJTDbMw0kJVVZG08k78xTsjYl9M3UDFrdmfbhG9aNgv/mwvzFIVs1A11d0V6YkloPLbcR5yFgatd2nfGSk1wzFxT5JhzTG+KOME013l1+x64kLN08SggJZGGQJQPZFPQEk0ChX7506DHsVPSBqz10wz/6i9SXkbI+Ah2TbqrSm2GUMAXJhp5xQUjBLZvnCtTzdVYNcBTgR0fDjy51QwbqhG9SgQo9hg1xi23yVLHAKLcdCLYnK/GZlDnsDgj0JxG3w9RjPp5wdItCcMwX1I5CEEAA8yuOI390Qv/8AHGSCkzLmO5I/d+4jup1nTgo4OO7SKye7JLCYT5Q7RGGYeHlDtEQx4FGPlDnaj+XHtfBIAjixMqu4ihDdcSDnxdc8c42r1H+k1foF8w806k6x2iNAqG0dsMrgYTqmD3fwxjVwNgf5j7+jG1eq4/h/P/DNaNefwS+glPwxL0/MTP7kXjhebrZMz83ilei6gxVdAtBUWdOImEulXIWghRHxgDUUSNkXvT+SL1nTTYzU0qmFcRRQw15R5t93Utdnk64Q2x2gWSjCNOasZtz4t07UinaMjFVXa0wcC4oEYEVpSmeUYlTjpzcWfpGPYs9UonHbKGfqedDQ2ReVLBYxo8oZuCnm4+MO5ZTY/KEHaSnwittvKrUknpx7jDK7N1T4xxPVU+1f3Z0qmz3n+CaVKgZOo7ae2ClwFOcqcRUGnudWGWPGj1QGG0jaK9vhFy0IW8yS42HEmorS8L1NRu5jHXQZxyWTjLiOP7m+EWuXk6QEPFNsbTJShR9hSPnckjsBr3CLNJWi07zFgnYcFdhjQbTcgU8N7V5UikKu1W4L2z4PGCrAt4ZLOVNqYabUm82FqXeNLoXdu5a+STFTwyPugXKcMo7TkPBYpQiihQ7MaVrEjLPrSMcKHBNagA7I1ToHNJ5qmz9I+sRlGilo/nG/SH8MdS1ETm6DLMxN0bB1kRA2lNEkx6Z0etEYKeRTUApI77hjC7otaBJ/Gt03qBPcgQ66HQZEvTBrWMSpg0OOqJFeh07rW36X9I9o0KmacpxsHHCpPeBB3rBVSw0cER/upjpd/wCRUXIRTeCscXIpYJHGNKUFgfPUVpI3EHuMXKOQ6B4Yw8KBSpaeaDsWk3VXIfQPxbozBBqAaZivZAdbsdEo6pM4hS3G1D8UapQvAgLvjqNaY45R0cYg9KNGWZ5u65yVp5jgHKTu3pOseBgZRa9wHvPqdKeSkUASAlNMNVdajvMX/RDQAm69NigzSzrO9ewbu3ZFl0Y0KYlOUTxjmpahQJ81OrpiziMFHyb53JLEDy2gJAAAAAoAMABuENMhVxVwgLobpUKpCqckkDMVpGSkKMzmArNaEW0la3FCXmVLJUpYdUhSj0LTQYUAGQAAjzLtz7R/tNnTYQM+JuOg7MUEmm67j4mykKkABGf0klUpopb7a/zb7Kk128pQHbSNFrSJtfMdQdyVDwg6zUm26KONoWNi0hQ7xENOaE2a6KLkmD0NpSe1NDAAbmppK80pV0gHxiFtFtsgJQ2C4tQQhKaiqlGgwT0wXpzghs5XwfHsn/TdVQdSqx40c4KmZWaRMqmXHuLqW0LSkUUcLxUM6asIAtmitipk5VphNKpSLx8pZxUT1xKuLABJ1Cseo8ONhQIIBBFCCKgg5gg5iAInjR5Q7RGJTqB8YekNtY8K0Gswmps+V+pR7IXvFsv9Hyv1KPZFyTBl90tU5yO0e2MD0035afSEeveNZf6PlfqW/ZD+8ezP0fKfUt+yGRg01Trflo9JPtjCuda/OJ9NPtiT95Fmfo+U+oa/hhxoVZn6PlPqGv4YZGCFVNt1rxiPSTv374nEvh6VqCD8UkEEYHd1QhobZvyCU+oa/hiTbkW0o4tCEoQMkoSEpHQBgIj7hHNPCJYQYmStIIDlTnhWmNPvq3xU6gYFXVXqjq21dEZSZFHmwsA1AO2NaV0As1vmyjXWkHxipjBy4UJVgknqxjblbJeUeQy+robV/DHV0vYcsjmMNjoSI3UMpGSQOgCGRg5lktFrSVS5IudKhd8SItNm6H27SiUNND5yk18DB1EKkMjAIWeDu11/CWghG5AJ8LsWLRbg6Es8l9+ZcmFpxSFEhCVbaEmp2RfKQqRCmGbeuNqXQm6lSqDEm6CaAbYCrmmUotSlmaVeWbyjxJr0Y4igoKboN5ER6rClSamXaJOu4n2QAHxpZKV/xavqPuIzJ0ykMvdK6/qfXSkFn8ASnyZn0E+yF735T5Mz6CfZAAqOlsj8pX9V/SMCtKZP5Wr6mC5735T5Mz6CfZC978p8mZ9BPsgAQL0plCKe61U/Un2xjVpTKfK1fU/1gx/gCU+TM+gn2Qve/KfJmfQT7IAF+imlksmbaDbylqcIaKA0ReCjhUg4UONdVDBijRl7Hl0KCkMNpUMilCQR1gRvQBG2xb0tKgF91Ld7mg1JOVSEipoKjHVWNNjTSzl4Cdl67C4lJ7FERT+GhgVkHCARxy2TXY4kKp/64pk1YLDiSC0MeroyjFySeGc92ojV8Qd5e0WXOY62rzVpV4GNkRzQ3oewr8kQdy6euMrtgOsirT8y2BsdWkdoNIzST4aOdepUt47nSVYcRzLKaTWjKrSr3dMqShSVKQ4vjAUggqBvVwIrHTDaqgEZHEdcWUXHk7K7Y2LMT3ChoeMTYMY11zrYNCtII1FQrGwYH1tq/tLoqRiMqezcIAvPu5r84j0hC93NfnEekIHK1Dyld3siPnJmgPKPd7IpMhVNoM/nUekI8G1GB+Wb9Me2Ofbd0qcSbra8RmSEkdAwiuvaWzXlp9BPsgU6lYtJlarqHW1KzupUCd+AMbYgFcClqOTE2VOkEpvAUAGBQScoOoiAeFChQB4WoAEnIYnqiAY01kVfl6eclae8iJ58clXQfCAnZ8wji0BSUmgpiAciYEC6xb0qvmzDJ/3E17CY323UqxSQegg+EBdxtk/EHVUeBjWVZ7VapK0nalUBkOcPAMU5MtJKm519N0E0vqIwxyrTugx6OvqclWFrNVrabUo7SUgk4QKb9Y137QZRz3W0+ctI8TAf/wDIwvJEopK1hpXHIUkKISVchSSQMDhez2QDaDZAHYExphZyDRc9KpOwvt17L0aTnCHZQ/zzBPzVFX2QY5bkgnyR2RbbGmUppQAdAAgA8I0+s8815ShtS06R01u5RZW1hQBBqCAQdoORgNWbbGFK6qUgo6KzQclWik5JudaOT6oAl4UMIeAFChQoAaK7phpfL2clsvBZ4wlKQi7XkipJvEYYjtiwmAXwwPmZnuLB5MukI+mrlrPekdUbK63ZLCNdlkYLMi+SvCrZy8y6jzm6/YJiWltOrNXgJtsHYqqPtARz8xZhNB1w8zLqKqDAJ2Rtlppr2Na1Nb9zpaWtaXc+DfaX5riT4GNysc1ycqltBceBUSKNNCoKz5RIxCBt1nAazF64F0zCnnlOLXcbQlIRU3byzUcnKoCT2xpcGjZC2MuAtw8NDxgbAfcNjX928brZfYcG6quLP24qJWTBF4T5XjbKnE50ZUsdLdHB9mKHY4Dkuyvym0HtSKxpsmoNNnn6+CaTIebRQ12x5Zmbud6lPim74g1iefkQRjEe7KsjnOIT0rSPEx0R1FcljB4kqW3lLJGP2U2/kq6CDUkgnHYABSDXodNF2RlVnNTDV7zgkBXeDAc4yRScZxmuwLCj2JrBI4MLTaVJpbS6k3HH0pFaKKONUpBCVUNKKGrVFl37qWV4PW9Pck5RcWi6Q8NCrGB6ojAn0unLk46N4gsQA+Eucuz7o3+yKiMzu2pvit27b9KoScdZ2dG+IS0LZIwBx8IgnJnfAhtPzEaDzseFuxiJiFCz/wCPx/tSvpf8ZjoURzt/4/K/thHnfYMdEiBR4UNWGJgBKEc5tzV2o2KUP2jB0tbSeVljRx5N7yEmqq7CMk9dI51npkpWs3VAFSyFEVTQqJ+KfXFRCdTORmRNxU2Z56v4twVOoUFeowz1qPjnJx14ezCAwW+Zmatr80+EGnRT/BS36hr7AjmRFuKPJOvDtwjprRP/AAUr+oZ+wIhSmcPkhxlmcZrZebX1Kq2ftiObo654QJDj7Nm2qYllwjzkC+nvSI5FEAZWXKRLSk5SIa6Y2Uy6wgLoLpNAagk0NMhjqMCFplrUprgu8ClrcazMtE1LbqVgfNdR/EhyAAwlZyBPYPExe+DHSP8ABkw6t5C1tutpQQ3RSgpKqgm8QCACvI1xygU6OEPEVYekMtNpvMPJXtTktPnIOI7IlIAeGhRo2ra7Esm884lA1A85W5KRio9EAbM0+ltClqNEoSVE7AkVPhHJ03pIp59105uOLX6SiaQXtL9PfdLLsuygpQtJQXFc4g50SDgDlrzOUCIyCBgUU80+qNtVjg8o1WVxmsMnbImlqFeSkbVEDuziWQ9LoFVqvnUlIonpUoxUfclBVLl3yQpJ1bDlsjUel38zyt4NfGOxa1pcHFLQJvsy5v2slRNKJr5OdNl4+qCjwSSNyR40ihfcW5vug3Edya/SjnuR4xbiGwDeWoJAO0x1hZUkGGWmU5NoQgfRAEadRf1EkjfptN0m+5tiHhhDxyHWatpSgeacaVk4hbZO5aSk+Mc2z8pMSKvc0wqYSEVQg33ENrSDRKkFB6wK9IhQoYyRpMwql2FjG8o7FqUrpxJIOFYxJQ0BRKQBsphXaBDwoEMiQjIdgT7aRLsWaCM6kZUTUjshoUUEtK289KDCbWkakrcBHUhVYnbC4RZ11QQ3LmaqQKpbUgdbmCAN9IUKIVBQfmkttlx0hASm8sk4JoKnHXHO2llp+6Jp15LN4LWSAoYgUFNW4E9MNCilIrih8lQdfN2/Rj2hIBxkkHpQfUIUKKiHhxKScJJA3BB9aY8BgH/Ko60f/XphQoMFi4PrURKTiHVtXEUUlV1NKXhS9liBUYbK7KR0K04FAKSQQQCCMQQcQQYUKMSmvakwttpa22i6tIqGwQkq3VMB63tLrReUUuBTCNbbYINPnq53bQboUKBuqSk8NEX7naUgKS4a7Ck9POGXZFcm3G0rICykg9HYdYhoUMlnUk+xqushXknfh4jPX96xrrZAyKk9BqOqtIUKKaH2PUpJOvrS20A4pSgkVSQQSQBU036o6nsSTLEuyySCW20NkjIlCQkkdkKFEBtuoCgUnEEEEbjgY5i094P1SLyyzfcYTRVFDlpScAQRz0gmhIxGsa4UKAKtKSiVY91ThE/Z1moOIQOmgJ1e3uhQoELxZug0w4kKS3yTkqqQntJr3Rp2to45LKuu3BsqoXSBrGW7vhQopSuvzKG1ApdAWnJTZN4HcpOvogocGmkdpTDgQ6guMAGrzqChYw5NFUo5U0FCK74UKIC+aRImCwr3M4ht3MKWm8KawNh30PRAFtKYdLivdN/jK4lzlV6Fax0Q8KAMS2sKhQPf/URHu54/07IUKKQxLSKVGP3MYgtI5yetJKT7NmqFCgC5cGFjmZnUOAK4ln8YoqpisH8WkU34/R3weBChQZT1ChQogP/Z</t>
  </si>
  <si>
    <t>NO</t>
  </si>
  <si>
    <t>рассказывают</t>
  </si>
  <si>
    <t>что говорит</t>
  </si>
  <si>
    <t>оставьте пожалуйста</t>
  </si>
  <si>
    <t>Как правильно арендовать недвижимость.</t>
  </si>
  <si>
    <t>data:image/jpeg;base64,/9j/4AAQSkZJRgABAQAAAQABAAD/2wCEAAkGBxISEhUSExMVFRUVFRUVFRUVFRUSFRUVFRUWFhUVFRUYHSggGBolGxUVITEhJSkrLi4uFx8zODMsNygtLisBCgoKDg0OGhAQGi0lHSYtLS0rLS0tLS0tLS0tLS0tLS0rLS0tLS0tLS0tLS0tLS0tLS0rLS0tLTctKy0tLTctK//AABEIAMUBAAMBIgACEQEDEQH/xAAcAAAABwEBAAAAAAAAAAAAAAABAgMEBQYHAAj/xAA9EAABAwIEBAQDBQYGAwEAAAABAAIDBBEFEiExBkFRYRMicZEygaEHQlKx0RQjM2LB8BVDgpLh8TRjgxb/xAAZAQADAQEBAAAAAAAAAAAAAAAAAQIDBAX/xAAmEQACAgICAgIDAAMBAAAAAAAAAQIRAyESMQRBEyIyUWGBodEU/9oADAMBAAIRAxEAPwDZmQgJOp2S5KbyvSoBi6PmuabFOH7KNnmssZLiy4/ZUSoddLRqHoawO05hSTHrZO0R0xzdJvems9TZJROc/XYdf0UOauhpDl8qbPlSvhN2N7opjb0/v5qXJlKI1dJfQalOYbjdJPkA0SRqxyWfyUaLHYfEIGyNLTzCzzEeGJWOJEbi2+7RmH0vZXeSYkgDmQAncUm/ZHyWKWBGYfsIBuORVo4dlyOtyKnq+kimBD262+IHK8ejhqFnvEvCM7GOlp6qWVrQXOhkPnsNTke2wdb8JaPVVGSMnhfo1lrSRsqrxQY2DMXsFt/M2/tusJmq5DoXuI7uNkgZT1K6KszZo9RxPAw/DI/0AYPd36Lqf7Rooz/4dx1/aPN7eHb6rNHuuga9Pigo9B8Mca0NYRGx5jlO0UoDHOPRjr5X/I37K2EWXlAj+/r7q68N/ajV0rPDlAqWAWZ4jnCRnT95Ylzbcjc9+SVFG8gIlRHcLGZfthrDcthpmjldsrz8z4g/JMMQ+1rEJGFjfBiJ+/HGc9rbDO5wHrZJoEzTcXxaCk808rYxyBPmd2a3cql499sDrZKKMN/90wuf9MXL1cfkssqp3SuL3yOe87ueS5x9Sd0h4Y6pRhxLlLkLV07pXukecz3uLnOOpJOpJ+aZuPYJYhJvCskK2yNdIApViQBgjIiOEAevDImr6lt7X1TapkcCoeqmIN+YU8jKU6LKDcKBx27fNy5qUoZ8zQeqTxek8Rjm9QUskeUTfDOpJlSpcUEcoN9CbFXqlkDgD1WUVcRaS07tNv0V14QxLPGGk6t0WWGfpnX5eCqkixyQA7oZnho05IoqQkpXh12jfK4i2+gO3e9kNpvRhGLQ1djDdkR2LstqVBtwuPw2gOc1wFicxcSepzXuSq5XuljcWONwNQ5o3BvbTrouZzmjtjhg+iy4jjbRz1KjI8bu4C+/Ian2GqrpqQfuk9zunuFzhh8rQD15qHbNOCRdqOQjzuFnH4Wcxfme9k5MuVtuZOqg6WrtqTr1Jv8A9JV9b3TToxcdjuaoOv8AfJNY6g89rEpuJs3p/eiFup+iXIfEyLjCi8KpfbRrjmHTU6gfNQTnLQftLoQA145Ot8nf9BZ6Qu/DK4I4csakzsyKSgJRSVqZimdJucihyI4oAOHoQ9JAoUAKOKScjZkF0AKRuQSpMGxRnPuEANXHVKRuSciBrkAOUIKBgvt+n5o3hnsfQgoA9a1Ed1D4hRXGinXptMQs6JkkRWDktu0/JTZFwoaWYNNxyUtRyhwBCqL9ExKVxZhuV/iAaHQ+vIphgchikB5HQq+4xRCRhCgsKwuMNL5RfK6wby05nquaceMj1Mebli4sTqa/wyQT3Uc3ipkUrHuePK4XF9S0+V1u9iVaK7Dqado8SJrtOdwQDyBBBVJHClO2viYB+6fmdlcc1zGC7wyTuCQN+RIWaj9lspSjxdod4lNK6aTwBmZo4HMxjcr721cRpe+3KyaVEEmS8kZuDYyAh7X32NxcNttY9VaZcILpWTMlLLABwDQc4BuTcOAF9AQQW+UaKRLQAR5deQtlI/CRz9lt8FnD/wC2SrWv9mb/ALOTvr05LjEQdj7KyV+HMZK5jbgB1gHa+mV3MW+e+9kWOntuFyvTo9JTTVogWVBCWE99ypv9jB1sEpHQs/CPZSFojIJifh0HU7/IKVo6YjUiwGw79SnUdO1vIeyM+ZTX7Jb/AEVHj+mzU7+wzD/QQVkLwtm4rmzR5RqXHLYak5hawHO5NvmsblbY26f3r3Xd470zk8lbQg9ER3pIrpOY5FKElcUAFCFEQgoAMEF0K4hAHXRSgQEoAI8JNKuTmloi7V2g/NABaOFztvdS8FKxurjcj6JP4dALBEc8pkPZ6qnNlC11QToFPSRXSLKMDksqZUlZXafC5Hm7jYdFYKGkyCydsjARwE1GgUaCPbcKsYyTHpyJVsDVF41SNe2ztjzUZY3E2xS4yKRW8RiIWcbEb+ncKs1OJTVdTF+zuyZDmbI4ll3gghrdD05jXZXTiLhinlZsQRs6+vz6qjRQ+E5zL7adNlx/i/6elFKUdF1ZxS0tImhla4fxPByuAPUxOcC3UHa9ipPCahk0bZoQ/KS7L4jchzMcQQQCcuo0us/p6uZjzU2Jb4mUvNiHPcAS0g6uJAuQBoNTuFOsom+IyeJxEcl2uaL6X+64AjUHXuuzFkctPs8XzsPxNTS+vT/jJqvowQWta6xBdEb3c2a+YxuJ2u6xF9LnexKbYfWtnZmaeeVwIs5j2/GxwPwuBvopgPEgII3ADxfR/IZRykG415d1AV1MKeY1LSS1wAqej4/hZUgcnsOUP7EnkVOXFatFeJ5Di+EuvX/CWaxC51kjJVhu6jKnE29VxHqIeyTnqmFfiIaDrqqxjvGEcV2g5n/hbqR6nYKrx8SyyudowG2jXN8Sw01GbQkeh3VxwylsmWaESZxfFnvcDGXAsOYObycPhF+Rvr6BUqoZlNjuNCpOaqkN/h1/lb7dh2CiamQk3O67MUeKo4ss3N2IPSTkclJlbGZyALlyACuQIxRSgAcyG6TuuugAxREIKdUFLnNzsEALYdRX87tuQ6p84oXO0sNAkwmQc4JItSjykiUwPWpQIzkUqDQEIQURDdAhS6QrYQ9hbtfmOR5FKhc4oasfRQsZlli0eNNsw2Pcfoqrh9B4sznPaXt1OQOyX6BzhsOwWgcVMDoyFVMGrA1pb94XuDoTc6ED6LhyY+Ds9PBk542JyOETgHMaAM2RrNGNBN3Bo5XOpJ1J1PZ3S1bb2cPK8hrgN7kgNcO4P9VE4u58j25QSb6NGpN1YsF4QuA6oJN/8sHSx/GfnsFMIzlK0Tnli4OMhy7xGnL5rjQuaLutyI6ac1JENLbFzc2pyjV2YNOoB3uNHDYglNcZJhc94GY3Y5oLrXbJ5CLWJsJGg/8A1Vew2c4hBWMezJLG5rwIszS6Bzcrm/zOBa8365Bbr2uTcqPDjhUW1Y9osEikkMbpnMswPbCLEtizZCM5vcNcMu22S+qnDwpSPifEGayMczxCS57SRYOaT8JBsbiyqmA1Mk7BA54/baEnwXuOk0YABa4j7r4y35OY+1wbXfCK5s0YkYCAbtc0/FG9pyvjfbZzXAg+ipY4raR1PJPSbPLdVA6N7oniz43OY8dHscWv+oKJBUFjg4cjcjqOY9lp/wBtfDBZK2vjHkmIZNb7swFmvPZwFvUDqssLeyoSLuaQOaHN1a4Ag9j+ag8cpC0XtpdO+EcebHaCYjwyfI8/5ZO7T/ISfkfVWLibC80MgaLkDMLWOrdbadeSx3GRp2jOEUo7gikLYgBcSuQFAHFFK4ozIy42AuUAJlPKLDHyfyjqU/pMNDdX6npyCeOmsnRLYgzB427kuPshdZos0WC6Scpu56YgznIC5ELkCABJRHIyBAz1m4rroxagspKOsjAIjpQEhLUoBtIcPeAms06ICSlGU6OibbIqrhLwqJjtE6OS/I8x1WmTwqExvC/EjIt6eqzyx5I6PEy/FP8AhTeHqrw5xm2dp6FaVC7MNFlL4yOxB+oWgcMYiJIh1GhWeGXo287HUuS6Y44gofE8Ig2Ic6InT4Z2mO+vR/hOHdgVP4YJjxBjgMviNkikbaxvYu+jo1eq6nMsb472ztc29r2uLXslqXB4WSOmDBncS7MQCWlw8wadwDr7rSULkpI86UHJpr0UPinAnR1UVRC7I4kMadA3MSfADjyFy6D0fCDoTev8L8cTRYg/9pI8Od4jlAZ4Yje05GvDeRb8Lg4k2Gp8oWw4nh7Joyx+2huOViHfmB7KscVcAUldJ4pfJDIbCR0WX96LWu9rhbPb7w9irTNKLTieHRzxPglaHRyNLXt6g9OhGhB6gLzJxjw3JQVL6d93AeaOS1hJG4nK7pfkbcwey9PtcGgAbAAC+9gLaqpfaPw22vpiGj9/FmfAeZP3ovR9gPUNPJKxnm4sVg4c4okgLYpDmhuBr8UYJ1ynm3+UqFe3cG4PQi2o0IPQ30t2ST2J1YA1IGd1tsxt0tc2+iSKM8alFTA5FKHMpKkw3Zz9uQQA0pKNz+w6qYhiawWaPUozn2FhoEg96qibFJHpAuRS5JuKADOcky5ddEKQBsy7Mk0F0WOhXMuDklmQF6LCj1sKkJKSoRWwFLx06WhbY2AcUsyEBOMlk0ncU+xNVscNIS7VGx6bpx4pQ0NSsWlITWdwIsjg3RHsCQMz3imj8OTMNnfmm3DeI+FMGk+V2nzVy4hw8Sxubz5eqzaVhaejmn6hcslwlo9XE1nw8X2jX6d9068ZVvhfERLENdRoVOPC6btWeXTi6FJahIAkpsQQUuHLCeT0UkGzoj3o7GX3S7GBQrZdGVcb/ZzJVVHj0wY3xP4zXnKM4t+8bp94bjqL8yoyk+xupP8AEqo2jo1hefcrawEK1TaQaMqh+xaC3nqpiewY0fkgP2JU99Kqa3drD/Rauuui3+w/wUbA/suoKZweWuleNjIbi/UNGiqH2mcO/s8njRttG82IGzXW/I2WzOcozGqFk8Toni4cLJcqdlJXpnm1xSTypbiPBpKSZ0Thpc5Dyc3koZy3Uk1aMHFp0wpKLdCUGVMAbojkJRUgARShJQEoGEJRbozkUoA9cU9SCngKq/C8uZgde91OPm5I76JT1scySAJpIbpN702krGjTcp9CbsdXRDOAmDqgnsEdjVnKTGkOHTu5JzAwkapozdSUB0SiymhCePRZ5xXh+STOBo7f1WlyqEx3DxLGR209UZI8om3jZfjnfopPCtcYpcp2ctLgOYLL6XC5HSBrBd4Py9SeQWn4dTmNgDjc21UYpa2aeXBc7XsGSnJQMpjzTl8lk2lqUpKN2Yxiw+QBATbZJCYbJRrk9Mumuw4ejBFDAUayNk6BRHORXvSbnKWxpAuckZHIXlJlZtmiRXeLuHWVcRadHjVruhWGV1I+J7o3izmmx/4XpKU6LNeOeHPGvK3R49NeyqGTi6YTx81/TLXIpKPKwg2IsRuEQrrs5ApRShK5AwhXFGXWQASyKQlbIrkAbfwFi2vhE76t/RX8BYVg9aYntcNwbrbMIqxLG1w5hRB+iWgmJNcRp7KLbE6+ysT2JtOxtrJtCojwdErE9M57jZJxzlQxpjueqy6osGNi9hqmlRHn0Q0mHOHwtJ+SEO7J+lqcydmPMFHUWGyXBe4NHQak+p5KW0AVchqIhTUTI7loFzueZQzSWXSSphU1CylKjeMXJhaqs00UW7ERzKCuy2RcGwgXMjtb/CDsAue22dkYxjG2NGV05fdrDl76J/FjFt9PVTEjBbZR1VRNfuAnTj7BTjLtB2Y8zmUSbitrfK1uY9lHSYGzolKbCmNOyhzmPhh/RLwVhfqRZODKmTBZKApqTMnFC5fdFJSecDUpjU1l9AndCUQ1VVcgoatluNU9kUVWPuVm2axijP8AinCQSZG78x1VSLVo2MPCjsK4LNdFJLDNH4rCf3P3iOp/D9dl14JtqmcvkQS2ikWQWS9VTPje6N7S1zSQ5p3BHJIgLpOUCyBGKIUDAJRXIxRUAXaoaGm6v/AGLf5ZPoqP/h8suvlY38TyGj9VJYWY6Yh3imRw5MGVvbU7rKMZPaE2jZdwobG5Sxua4Fuqpc/HFS7yRhrTyytL3/L/AKTf/Cq+pOZ4fb8Urgwf7d/ot+P7Ibvot+DTftRcGbNtmdyBPIKdiwWMfFdx77eyg+BKRkHixiZkr7tc/Ls02sArYXLKT3RrGNILHAxuzQPkjlyTL0m5yhyLSFHyJtNMkpZLJpJKocjSMA8syYzS9SummA52UDi2IgA6rCcjqx4yShb4r8vIbqfaQBbooThqnLIs7/ifrryHIJ7UzWCcdIJ7lSHb5wEmJgVCGoJKe0pKlybY3CiQJSRkASb2uKTMNt0nZKQ5FQ1EfME0mIATaG5N0rHxHE8t0m0JJ5uUq3ZIdBKk6KGq9ipOaRQuL1AaCbpdlIp/EE5+Ebn6JpgbZYZWPie5jwRq3pzB6hTtH4bnXewO11v09VpOC4TStaHxxMF9b2v7XXZCDo5p+TDaqyv8YcJf4hTsqWtDKoMBOlhJ/K7v0KxeeJzSWuBDgbEEWIIXqNjVSvtA4IZVsM0IDZ2j0Eg6Hv3XUtHBZhhRClqmB7HFj2lrmmxB3BCSKRYUoCEZAUAajh/DdTKM77Qs/HMcunUN3/JOHxYdT/xJX1Lx91nlZf1H6qt4pi0sxvI8u7HYejRoFHuetDPRbpONHMGWmgigHW2Z3vp/VQldjdRN/Ele4dL2b/tGiTocFqZv4cLyOpGRvu5TMXBrmDNU1EcI6A5nfXRLSHskPsvrMtS9g2ey/wDtP/K1e6yjBanD6aeMQufJK45PE1yi+/ZahFqLrnyfkbx/FChd0RCEJKKbrNloRlYo+oiJ2Uw1iTkjCmUbNISoq1a14Grb+ij8Kwx08uZ7SGMN9eZGyttRCCiCzG2CxUN7On5frrsNIQAoivm6J3UTWCgMRrRma0bucAP6pTkEIj6CNSlObJtE3kuq6gRi5VQXsT3ofyVDWi91GPrMx02VdrMSfIbDQJzR32USm2WoUST35j2SznZWpGnI2RauXkpCvQZpQyS2Cbwv5lIzPfIcsYueZ5D5oQ1CxCsrg0amyj6WidVHOfh5Dr3T7E+D5pAHMlBNrlhGUnsCi4TUmHyPBaRuDoVbg12VjnDaXYzxLh8xtMjNxu3e4U/wRieZpjJ1G3ojS1QfoFVqPEWx1bsh8odbst8UtnB5kEqfs1hqJI9Eopg9oI5hI14IF10zdRtHFHsqfHPAjKxvixWbMB2s8dD37rE62jkhe6ORpa5psQdF6BfjBaqhxlhra1ua1pG/C4bnsVhHN+zaUKMkIQJxV0r43FjxYj690llXSQaWcHw6H+NVmVw3bGP6j9UH/wCmpINKWkbf8cmp/qVTx7fRCSrokn6/i6rl08Usb+Fgyj3UJLIXG7iXHq4k/mnlDglTL/Dhee5GVvuVMR8GPaL1E8UIG+uZyVpBsrkUhaQ4fdIPsbresGrRJEx992g+4WU5MKg3dJUOHTRv0sFbeFMaZKy0bfDY05QzoBssM79m+FXaLjNOjRS9VHGRJy1lua5uZ0cCXdUAc0hLVgKtSYqQbalIT1xcWs18xA2+qTmzWOJFlE1xdITSJjWz5W2HJRcmKkCylyKjCx1iFbYG50CiOG4TPK6od8I0jH5uUXWTvqZBAw6bvPborrRxNiYGjSwUJGsvqqHOYBQWMzg7nRPayrAVde108lvujU/ohy9ERXse0Ud23tulZnEaNTl7Q0ABMKqrDToLnkOqkpdjyldlGu6NcuKasY61zuU7pIXHRup5nkE69B2JVtSI2Ep1w9WARi+7tfdEm4YdPdr5ct7WsAfdSFBweWAB0twNrCy1hjfZEs2OP1ZJ0spc4Zduaj+K8KErCQPMNjzU1SUzIhlb7ncpaePMF1wj9aZ5ubJylcTCquaUEjO4cjbRN6R1neqtXF+FZJL20d+arbWWTikjCU3Ls1Hg/EMzA0nUKyzsu1ZZwziGR7TfsVqVJKHNv1CpBFlRxOEtee6TpsNfJysOpVtloGuNyE5jgAWKw7N5ZLVFNxbgOCpjyuuH8njcHv1CyjGeEKmnqBBkLy8+RzfhcPXlZeinJJ0QJBIFxsei3SoyZlWCcERPaHySPd/KPIPe5K7FMQgodIaWPN+JxzH3IXLkXbKIDEOLKuTTxMgPJnlH6qEllc7VxLj1JJ/NCuVkiRVp4KqC0vA20P8ARcuWWb8Gb4PzLpJiTgFIU+Hhzc73E31yjyhcuXNhSZvnk0tDWqqchysaG9xv7pOkjJvITq3rr9Vy5VI5oN80Eq5SoiRueRkd7Z3ht97X5257Lly5o9npvSYbhWmDDJzIe4X62JCsUkhF1y5EuxWQlfMQCU5wiMNYDzIuT6oFygt9HVsxAKRwWnD/AN67U3sB0XLk0D6HlZJYGyWwaYiMHmbkrlyqPZaWifwp+Z1yphztFy5dcOjy/I/MjZ3HMCpCA3C5cqxmEiucYUbXREnlqFls4sVy5W+zFgUcxDlqvCNW58QuuXJoF2WZcuXKjQTcirlyYj//2Q==</t>
  </si>
  <si>
    <t>http://мосдольщик.рф/%D0%BA%D0%B0%D0%BA-%D0%BA%D1%83%D0%BF%D0%B8%D1%82%D1%8C-%D0%BA%D0%B2%D0%B0%D1%80%D1%82%D0%B8%D1%80%D1%83/%D0%BA%D0%B0%D0%BA-%D0%BF%D1%80%D0%B0%D0%B2%D0%B8%D0%BB%D1%8C%D0%BD%D0%BE-%D0%B2%D1%8B%D0%B1%D1%80%D0%B0%D1%82%D1%8C-%D0%BA%D0%B2%D0%B0%D1%80%D1%82%D0%B8%D1%80%D1%83/</t>
  </si>
  <si>
    <t xml:space="preserve">Главная_x000D_
Новости_x000D_
Просто о сложном_x000D_
Как купить квартиру_x000D_
Поиск  _x000D_
Пятница, Октябрь 27, 2017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Как купить квартиру, чтобы не делить ее при разводе_x000D_
_x000D_
Как купить квартиру _x000D_
Нотариусы предупреждают о новой мошеннической схеме с жильем_x000D_
_x000D_
Как купить квартиру _x000D_
Доля вторичных квартир в свободной продаже достигла 20-летнего максимума_x000D_
_x000D_
Как купить квартиру _x000D_
Плюсы и минусы вторичного жилья, или почему новострой выигрывает_x000D_
_x000D_
Как купить квартиру _x000D_
Обзор ЖК Life Ботанический Сад_x000D_
_x000D_
Как купить квартиру _x000D_
99,9% надежный способ купить квартиру и не ошибиться_x000D_
 _x000D_
Застройщик ЖК «Ново-Никольское» получил необходимые для достройки комплекса ГПЗУ _x000D_
 _x000D_
Россия откажется от долевого строительства? _x000D_
 _x000D_
Москомстройинвест поддержит позицию покупателей апартаментов в ЖК «Царицыно» о включении в реестр требований на жилье _x000D_
 _x000D_
Москомстройинвест поручил обеспечить сохранность недостроенного ЖК «Ravissant-Каменка» в зимний период _x000D_
 _x000D_
Что делать если потерялся ДДУ _x000D_
 _x000D_
Что делать, если ДДУ не зарегистрирован _x000D_
 _x000D_
Как проверить регистрацию ДДУ _x000D_
 _x000D_
Capital Group намерена выйти на стройплощадку ЖК «Марьино Град», «Спортивный квартал», «Спорт Таун» в середине ноября _x000D_
 _x000D_
Новости недвижимости за неделю #61 _x000D_
 _x000D_
Рабочая группа в прокуратуре ЦАО рассмотрела вопрос о возбуждении уголовного дела в отношении застройщика ЖК «Sky House» _x000D_
_x000D_
Мы в социальных сетях_x000D_
Мосдольщик_x000D_
Последние материалы_x000D_
Застройщик ЖК «Ново-Никольское» получил необходимые для достройки комплекса ГПЗУ_x000D_
Новости МосДольщик - 27.10.2017 _x000D_
Россия откажется от долевого строительства?_x000D_
Новости МосДольщик - 26.10.2017 _x000D_
Москомстройинвест поддержит позицию покупателей апартаментов в ЖК «Царицыно» о включении в реестр требований на..._x000D_
Новости МосДольщик - 26.10.2017 _x000D_
Москомстройинвест поручил обеспечить сохранность недостроенного ЖК «Ravissant-Каменка» в зимний период_x000D_
Новости МосДольщик - 26.10.2017 _x000D_
Что делать если потерялся ДДУ_x000D_
Просто о сложном МосДольщик - 25.10.2017 _x000D_
Обзор ЖК Life Ботанический Сад_x000D_
https://www.youtube.com/watch?v=oWSue2WkHuI_x000D_
ПРИ ПОДДЕРЖКЕ_x000D_
_x000D_
ПОПУЛЯРНЫЕ МАТЕРИАЛЫ_x000D_
_x000D_
Описание мошеннических схем при приобретении жилья в строящихся домах_x000D_
Как купить квартиру 28.07.2016 _x000D_
_x000D_
Порядок заключения сделок по приобретению жилья_x000D_
Как купить квартиру 01.08.2016 _x000D_
_x000D_
Порядок заключения договора участия в долевом строительстве_x000D_
Как купить квартиру 30.07.2016 _x000D_
ПОПУЛЯРНЫЕ КАТЕГОРИИ_x000D_
Как купить квартиру40 _x000D_
Новости197 _x000D_
Просто о сложном36 _x000D_
_x000D_
О проекте_x000D_
Наша миссия – сделать процесс приобретения недвижимости с помощью долевого участия прозрачным и безопасным._x000D_
Следуйте за нами_x000D_
© </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</si>
  <si>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</si>
  <si>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Метраж, планировку — ведь детям понадобится собственная комната.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</si>
  <si>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 </t>
  </si>
  <si>
    <t>Як правильно вибрати нерухомість.</t>
  </si>
  <si>
    <t>[caption id="" align="aligncenter" width="250"]&lt;img src="data:image/jpeg;base64,/9j/4AAQSkZJRgABAQAAAQABAAD/2wCEAAkGBxISEhUREhIVFhUWFRcWFRUXFRUVFRcWFRUWFxUVFhYYHSggGBolHRgVITEhJSkrLi4uFyA1ODMtNygtLisBCgoKDg0OGhAQGi0mIB81LTAtLS0tLystNS8vLS01LTUtLS0tLS8tNS0tLS0rLy0tLS0tKy0rLS0rLS0vLS0tLf/AABEIALsBDQMBIgACEQEDEQH/xAAcAAABBQEBAQAAAAAAAAAAAAAEAQIDBQYABwj/xABIEAACAQIEAgcEBggEAwkBAAABAhEAAwQSITFBUQUTImFxgZEGMqGxQlJywdHwBxQjM2KCkrIkQ8LhNETxU2NzhJOUoqOzFf/EABoBAQADAQEBAAAAAAAAAAAAAAABAgMEBQb/xAAtEQEAAgIBAwIEBAcAAAAAAAAAAQIDETEEEiEyQSJRYXEFEyOxFFKRodHh8f/aAAwDAQACEQMRAD8A9b6bWbLD7P8ActZRsMOVarp14sse9f7hWaW+KzvPlaENjC9tNPpr/cK1oFUWFcFl+0PnV8KmiJcKcK4ClqyHUZZ90fnjQkURbbSpEtRuSNdxxHHxHPw/JXNXTQdQL9KWtYLNEyUR3QRuDcAyAjiCdK7pNiQtrUdbcCEj6oVrjiRqJRHWdwWqZtFgKIiAABCjYDLy22oIej8ZbuDsupMscoZSwBZiJAJjSiiKHv4e04CtbDAbShMEbEEjQ99Q4dmR+pLEgqXts0s4VSodHP0iM6Qx1IbWSssBsUkUgXxJ7/w2paBIpIpTSTUDqSKWuigbFIafFBXsWRcyBQQqq9xmfLlV2dVKjKQ37tyZKwI3mgnNdTbV1XGZWDDmCCNNDqKeBUjqUCkJA3phcnbSoD2cDeoLlxm931P4U5V1GhJO2hPqdhRQsbAnU8ByG5+XqKAFcOBqxk9+voKJWxcb3QEHNtT5L+PpR9u0q7Dz4+tdeuZRO52A5k7CpAIwaprmZmO5ZidOQXZRPIUuFG3ifmanuJCidSTJPfHDuoa2+UAxJkgDmSTAoLCz7o8B8qdTLE5VneBtttUlBQ+1TRhnPen961ibbMdq23tUP8M/in94rN4VeyKyt6lo4N6OvEXEH8aj1YVsqzeFXtp9pfmK0sVaqJIKcK4ClFWQWng0ynqKBZpGY8PwpctdlqQHjwSFdQS1p8+TieyyOv2sjvHAnLrGtSi7nXOjBlIkd8cJ8dIImpstC3Oj0LFhmVjqSjsmY82CkBj3sDQT5iY0HqT91B2W6y8XHu21a0GHF2ZTdA7l6tBI4lxutO//AJ4IhnusORcqPPJEjuMiiUthQFUAAAAACAANgANhUBw8Z9PurppK6g6urhTgKBAKWurjUiDG3iillTOeC5lXxJLbACT5VWvhAG67EMCxhQoBiULFFRNS5Ga4di3aI1FGvfZyRbAABKm42oDA5SEUGWM6akDlm2p1nCqpzas5EF21YjlyUfwqAO6oAGKu3MpZT1YlTGjORmVSDuqCARAk6/RNW9saHxqrx2ERVe4B2mCBjJJIFyRJO8SYnYaCBVtZ2PjQCXARmIXMRsJgbDjwHkadg0Zl6xj4KNp2Mncxtw2OlOZoDxvsPEgAT3SaJsoBaAGwUCpDcFsPH7jUuH7Uvz937I29dT5jlQtuSuUbsQPAQZPpPnFWAEaUC0OnafNwWQv2tmPl7v8AVUl9iBpudB4nj5b+VOtoFAA4UEeK2HjQOEEtm4AkL6nMfXTyPOiukGIXTckAeJ0B8OPlUOFUAADYSB5TQG2vdHgPlT6Za90eA+VPoKL2pMYZzyKn0YVlreIKqCbT8BINuNTAiWB+Far2oWcO45lR8RWVw+Cb3ldV1nRLgkzMsFuhWPeRrxrOeVo4WOAcMbbjZsjCd4aCNvGtLWdwVoKbajZcijwWAPgK0Qq1USUUtIKdUodSy3IR9rX0j766lKzH59PxqQ1r0QCp1MD3d4J58gad1nMH0J+U1DfeWtgbC5v39XckUSxoIzdUbmPEFd9BvXdav1h6ioceTlGn+Za14D9vb05/9OFTdbrlGp48h4nn3b68qB9IaY4UHUCe5ZO4HDhqKHw7qLaTJJGgE5j4fDU6CdagFUlMJA3MHxnjHHxFKxgrruSOH1WPLuoaOrq6o7gMgdxPpGnxqRzXuA1psHc+lS2SIUndtAO+J38JqTFmF8j8qDI9OySLQeFW/cuuoCZyltVuuwNxggWbiAgySLjRESL39bd/3VptfpXAbQ/oI6wnuKiedQLgm628wtIc9xHDv2gAlq2q5UEmQysY7O8zTL72MxS9eFxo1tSCI4/sE3H28xHOggvObgIFxrzSBFpQlhTmAYlpIkCZVnY8QJitBZ2PjVXa6VssJXOQJXSzeiVJUj3OBBEcIirHBXVdMymQdQdR8DqKBqJJPcSfPLH3miF/djwFQ2N2/P0RUw/djwFBHg12P51n8BRlCYRhoAd9R3gbkd2o9RRdA0rrPL5/n506urqAXGCSvISfMiB8C1MsjX1qfE7Dxoex+P30BlvYeAp1Nt7DwFOoKX2k/cN4r/dWXTFkB4VT1YlpcqYyhpACnTWJ5g1pvae4Fw7FjAzLzPHurFNds5wxVyuV8+nZJOSOyxkjLnkAazxO1J5T7NHY99PtL8xV8KzeExtpriKtxC0g5QwzaETpvWlFTUkop1NFOFSh1R3MQBIKvy7KXD6FRUtPWpAT4hexo6hTMFGX6LLGsRv8Kk/X7fFgPEj8aKqHGXiqEgwdAPEmPOgHv4u24gXF99G019y4rcPCiLd1Ihdu4H8Kg6OxDXBLGRkt6R9JlzN8GWiGw6HdFPioNByugM5lkxOo4bff60JYCpaAlS2RVJBBkgRvyGtFfqlv/s0/pX8KrseyzlThvG07QO/es8tu2u2mKndaId1rOwC7aAeAH59TRd4ZWtD+OO+BauRrQ+Hw5IjLuIkyB6imYi7hcOQ125bRuBdwDxHZDGeJEiqYd63LTNreoWVR4hSSq8wQT/DoT6xHnQeE6bw11slu/bZvqhhJ8Ad/KicRiclxcw7BBGbk2mhHfw8627o1tjFZmdInxWU5hEnsLPASodv6io/kqZmm2zzqwM90Lov54k1Vq0uADIAUKeeUiSfEkmrIWwtph9o+qmKypfutPya3xxWkb5UONwvXB2Z3/fMhUsTbyi8yCEMqNBExJIPGrLA9GIiwLaKsDKsFojuJIHgNvlBZ6QsIrB71pCMRekNcRSAMTcOoJ5a1MOn8IfdxVhvs3rbf2k1swL0MYQqOF7E+X+KvQPn6UV0D+4X+b+40F0HcU2iymQ9/EEHnOJu6j+UfCjegf+HXz+ZoCbO7/n6K1Qe0mHHWYe82Ja0ihlZVBllImVcHsmcgiDMjiBV9Y3fx/wBC1TdN9FsQHRVuZ3tZrbL2Rl0LhoJU5cwzaEHKZERQBYC+yLZcW37Be2slYJJILsumVFOYASPeUE6SNjYJKqWjNAzR7sxrHdNYe66XU6t7pVjeKIQJyy0sbsaBmOXsjlIgEka/BZbdtLa5zkUKOwwnKAOUUBldQt/FlVLFCABJJKgfAmls3XdQwyAESDLNv3QtA/E7DxofD8PP76ffRoEv/SoHD+KaHsWRxLHf6RXn9WKCxTYeFRnFWx9Nf6hTVwluBKKTzIk+p1qcCNqCn9op6ho5r/cKosDmyDNGbjEx8auvahAcM4ZQwlTlIDTDAiAdJrO4LDW2QHIVkbGVI8RwrO3K0cCv+YtT9V/XrMOR8q0lZa1YVb9rKAJzD42z91aoVaESVacKQUtSgtPmBJ2G5plD3MHmctCwVykGSDroY4HUg89OVSFwmN6xmAXsiYcEEHKcrTHu67cxJ4VJi8Gl0AXFzAHMNSNRx0oM4W1YRmy2LSbsQuRZJ3JBGpJ35mp8IhyDUGJWSDJyErJ14xNB2F6Ks2n6y2gVurFrQtHVqxZVyzBglo00kgaUZUBtN/D6N+NVHS+K/wAtW12bLIEGJXcydPIE86pe8Ujcr48c3tqE2M6RLkpa24sOPcO7vqfAYPSTt8/9qB6JsluEKNz8hT+mOmbNiBcvorAqci5swE6kqG92J4VzU8/qZJdOSe39PG72w6cGCwly/HaEKg5uxgacY1PlXgV7pJ8RcL3Xl2Mk7E+LQST3fdXoH6VOmbGIwdp7d5XAvjMokMuZHysUYzErvtrXleHcAESJgSSe/YeU+lbTq3mGVPhX2CbKM2y8wdRrodD8a9T9i+lxdH6tdfOuU5czAtA4bzGk91eU4G4l1BaUkEk5VA31Agtvm3PhHLXSexWI6q5nAOZTB1EaE8T4d0gNrtWceJbWiJq9DdWsuJfMD7pgg9wbhP4Hwq7S6rWoUHMwaYDGWIjU8OG/AVF01hlNp2yjMADmjWEJMTyAZ/6jVV0LjSrCTpxqk2/JyfSUxE58W/eBWEwdq4rZ0VoxGI3Go/xN6CDvzqy/Vk17I130EHvqiwvSZtlkbD4iOvv5bi2xcW5OIvMAotlnGk+8qzOk0WfaPDghXL22OyOjZz4Ksmuxwpuh17B5C9ifX9avR8J9aK6B/wCHTwoPoe4DbBGzXr5B7jiLzT6UT0I3+HT7NSCrdsEsdfJiOAHA91V/TmLazbtm1hhfd2yQWykRauOGJysSOxBgE66AxFHK8TQfSLnNhz9Fb2u2zWLyL/8AJkHnQUmA6bxVpSTg8qZyxzHq9WDNpm3100BPGK3NZrpsTYddZgAbas/7NB5s0f8AWrc4g8z8KA0idDXARoKB688zSdeeZ9f96ArE7DxoWzt5H76Q3fH1/wB6aG/OlBZLsKWq3rPzIppfu+VBB7SrOHYHmvEj6Q4jUVmsBZJtqZu2yQCVLi4ynkS2cadxitJ7TKDh2B2JT+8Vl8BYR0DRcWeBe4pGsagNpWc8rQKVSt6xLs03Ylsn1GP0VHKtWKyAthbuHAzfvvpO7n91c4uTFa8VaEScKWkFLUoLTiYGgk8KbSs4Ak1IVRA1M/nlwFC2VYoQDE3LkniF61z2e/Yd0zrEEhiZHqfAcPGY+NMwo7J+3c//AEagE6TxnVrkT3oj7I5+NZ22e0EXVmOnjWlxPRtsgnUMfpSTr3zVTgMD+rL1twzcyOzQdFAAOUHxjWuPJive+7cO7FlpSkxXlTe2XtOuETqbIBunRrsaqeOX+LfwivMbN43H0ncknczxJnepvai+jXJ63sLMR2mYkktEnmYnXQCgMPiLYtMVWDzLZmMCcqk6BjzA0rkyzOTTorWtJ8He0nRyPltIwFwjOAZCwZAIaIElTp3GsUtxlMEQQdQeBBr1DojoxGRATs9tTx1DKzgHkCxH8tS+0f6PVvOpt3OruR2pUsrACNpENpz1qel6iKW/Knifefn/ALU6jDNo745YfoS/luW31hW2nQzuK9O9lLCvct2wIa7GgHu20WWbzg6947qq8N+i45Vb9alhuptQp7s2ckCtj7IdBLgTcuFutcoFBAIC21JOUanUmJ+yOVerbpck24ckZIisw3DCZB1B3Hcd6ytnBMrMNwGIUxwB3J51bXsY+bbQgaCOPfEyde7SOIknAMDwHl+dKnL0nfG5RhzTiJ1eYWp5kf8A1vHppTelbzJaJEEyi9oZl7bqklZ1jNtNTdJ3CgQqjPLEZVyTORjMMyzoDx9apOm+lgLZUo4Oe171u6v+dbPvZCh2P06rEajTK07naLo3AYnKAmLVFD3oVcNbgftnAiW297wqTouxdFm2Gvg9lTqWtETP1G8d52qx6EcNaVh9JnbgdDcc8PGouhvdX/wLPzu1ZU0WsQfdYf8AuD9+Hb51HiMDiHUrcZspjRb1omQQQQThVIIIBBBkEAjWrZ7Kt7yqfEA/OoVthbqhQACjkgaAw1qDA00k+tBTWujr6sGe7i72Uyqs2CZVPA6LbzEcM0xvvrR/X4ngj/zW8Of7cSKs4pYoKv8AWb/Egf8AlLjf2XzSP0myiWOg3JwmLQDzII+NWsUD06P8Pc+z94oIjj759zDZ/N7PwvIKJ6Pu33J62wtofRi8LjHxAQAeTGjlXXzp8fk6cagM6scq7qhyqSkqRWe1ik4VwOabiR744VibVlxszDwuXQP6Q8fCtt7UT+rPG8p/etYYi7wms7crQsMDhnN22zOTldSJZjxg6ZomCRtxrcTFedYPrhdtkho6xJMGIziZ7or0IXV+sPUVNZJSqadUQurzFOF1edWVSUxmPKu65efzppuCpChj+TU4qO3zqQUgIyA1j+msUcTb6vtIp96DqY+iTG3McYrYE0Hiui7VyZWCdyuhnnyJ8qyzUteuqy3wXpS27w+efajoj9Vulyua2eI+j3d1Z3C4nrLs6BUkhRsANR4yQJr1v9J3spct2Ost3yU6xQVaFYZjAAYaMJ4GI79q8pt9EtaYm4VCnSAZYjiAOExvXLFeysxfn2dVp77RNOG79mGzWkA3ClvW3euie+XT0Fby5fAuLcbQdoa8CAHj+mfSvL/ZbFlTqO1evW1A5KzoXH/p2wP5q9DFjrrgU/u1hj3sQVj0kedcNcFs2Xsq6JvFa90rm2ykAgaHUc9dqLC6Rz1NQW1iibZ1r7DWoeTIi9bkZo2USO7Yj76mS0QVccdG7/4vEj7uVOXgeY1FFWEgRw4VzWtqFQ/SVyGsLzuN4aWLx/PhQXTx/YjvvYYeuKsihul793rwdUS2wyt1TXw5NtkMrbYG2B1j7jgDMaUL0n0mXtDsq4GIwstauLcAjF2feGhBMRlAauWeULTow/s08WPlmb7yKG6IY5V0J/YWdo/7zmRUvQ94G0jajSdQRoTPHbhvyoTozEZUSEdpsWdVykD399Z9AagW5xKjeRzlWAHi0ZfjUaXFa6pVg0W7gkEEava5eFRLi3Og6v8AqLN5pCx601r0uJZlJVpIVeBTmG+NBZUtBfrBH07bcgZRj5gtPktTYe8WkFCsRqYgzPu/S4cQN6kT0F09/wAPd+z/AKhRv+9A9Pf8Pd+z/qFBZp7w8fxqW573lUVv3h4/jUr+95UDDSUppKATpYTaYHmv9wqjS2OVX+PWUI8PmKrFsd9VmExKJV7qnU08YfvqQWaaQaGNPBpRap4t1IQU5BOlKLdS2E1mgIFKKSaWauFpRTaWoDcRYS4pR1DKwIZWAKkciDuK876c/RVhxbJwKKlwMWyXHuNbYEHsgkypmNTI0iOI9GmnCotWLRqVq2ms7h8/9E9FXuvtlrbA22MKUYAMdGJJ4yANTwr07BYcIoUfknUmrjpzCop62QGYgZfrHmO+PlQCV0dL0+PHu1eZa3zTeNSUCprG9RTUuHOtdc8MlmgomyKHt0VbrkugA4kk95+dV/S3RSXwuYLmV7TB47YFu6lwhXEMshSJB0mrG3cDEgbg6+tPy1hMaVidqq30LYUBcmcD3esZ72XvXrWbL5VKLXbbwX/VR5WoUTtv/L8qrpKC5bY6SD3EAj40Je99AQdm91mXkYidtNqtslDNaBuDuWR5kj8aaSitm0NAoTuy5fUjSpLY1OVtIXYyN2qY2qg/VRmJAjRdRpqC0/MUE4dxyNCdM3z1LAjdra/1XUX76IIcbEeY/Cq7pq+wtDMn+dhtjP8AzVnnEUF5bxaZwCwB3g6cY495oouCZB4CqdbwNwEEgxGoIBMgmJ0OgO3fVjaNBMa6kmuqUBMXDDLw4+W1DrhlGtPmlFQOCClC0opaBIpQK6lig6KIs7UPRCbCpgSV1NpasFBpwpjCmXbkCgTEYpU1JAHM7akVDiOl7aHLOZ/qjWPtHh868R/Sr7SC9iBh1c5LZhgCcvWSIkbErHkT41r+g8WGCONmUH1FcnVZ7Y/EQ7Om6euSfMtB0/dzXbbHijAd0EbeorrLU7pSznthh71vtDvH0h6fECh7D6V6PRZe/Fr3hTNTtnwLzVPhd6FBojCHWuueGK2tUXaoO1RJfKpY8PnwHrXHdVS4C4euI4EN8watwKqej7cXRzCt81FXFVzepji9JsV2WnRSismpmWouo7ZafogR4EmfjRFLFBFkpDbqaK6KCDq6A6csE2gACT12GMASYGKsknwABPgKtorooIAlILA4CPs9n5b0TFdFQIYYRrPORqfMafCnhqfFdloK8CnUgp1B1dXUk0Ciumkmmk0D5okUJhmGbXkY8fzNFGpgPrgfP5imA0uYeFWDie+qX2lvMuHum2QGCMRoDqFJ+lpsDuDVwfH4GgukbIdGU7MCDzyneOVWryPmz2rsjLm1nNx314zxEn41rP0edKZ8OqkmbTFPEe8p9DHlWY9rGAtso2Vip2PaWBIPAEQeHvGrf2GsNbstmXK2fMRxysoAkcD2TpUdd0/fSYr7eWnQZprkiZ+z2Xo+/mCmqxHyMycFYgaDYEx8IpnQeLld9qG6cvN1ua0RJAzCNcw0mTI2jhwri/D+opjn451EvT6nBa0/DC3Qk0RhmAMAz38KzC3b5GgzHkWIHoBRNqzizxUeE/LSvVnq8H88OL+GyfJtbLUIMat64VUyls5SeBcgE+QBEeJ7qz64W637y6xHJYH41cdAYW3blUG5k7mWPEk8a4c3U47/AA0nlevT2pu1vYZZWMQ8fUB83Ov9vxo+aq+j7ua/iP4WRdNfdUgjuMz6irOa1tvxE/KP2cFdedfU6lFNBpaqsdXUgpaBa6urqBaWkpaDoropa6g6K6K6loK2upYrqgJFdBpQNR4igbbu1wweyCfSTQGRVZ0p0qLJVeru3CwJHVqCBBG5JEHWi7zxqTHiaB6SLwAgmeIk8tjw40Spsf0+7dnqbloKVJdio1kBQAOOYgzP0atMH7UxAvLI4uu47ynHy8hVF01g77J2pyghtcv0TI5bET5VTfrDWwCdQSdIYRy1P/XfQVW2HLMd2Pn3hpjy4o+DLx7S9asstxQ9tgynYqQRXFDyrxm/0tdtNmslkJ3yXGtzvvIXlxqXD+3OP+tdI5/sGHjmIIjzqYtkj1UlM48c+nJD2Jay/t10+mGsuoM3mQ9Wg3mIDNyAOuu5GlZa37V4+72AzSfqhCR4lVAHiDHfVZ0nhVUM125LxmuuxnIvHU7udh4+Z68GOZ82jTlzXivis7+zDdPjNZP8Tkj+VR8woq//AEeXbtxHzwbeltW+lmAkAniAMoH2u6obGDF8EkAW2UqhaAF7Q7Wu2oA59nar/wBjcAlvDNaW4ruLjm5lIOVy0Af0qpE771tF4yZJ0jDSaxA/CYk2WyttOnhRj39dKR7AuQrRJ2MaMfubu9O4i10S20wO6vMzfhU2vM0mIh7OProiurR5S4PFxvoOdXVq7nWV18KAwXQ6AyRmPfV5Yt5RAq9PwytPVbf9meTrJniA+Bw5f3xA5Tr61f4PDqg7Iid+dC2FAo204ImRA761nDjp6Ycl8t78yzuM6MZbl0I8F7vXQQdQVAIzbGGDacBHjROCNy0B1jO48JI86A6dN67eVkI6tV7KyEckyWYhoIEQPKr7D+M/zSJiN/KqW8ztlHiNCLRUrmWYPOfv2pwpicadUBaWkmuoHV1JXUDqWm0tAJ0h0klnKGks05UXUkDduQAkanmAJJAoizcYiWXL5g+tZnplimNVjqGsr1febV3O6DvjXyFR9I425cVsx7MrlXTIQwfWI7Q0GjT61SJmdt8lK0iu/eN7/wAfbgXdxHX4qy6uRaQkIJ0uuQQzgfUAkBuJ201rS1jbN0i8jbkKh14xaBrXYe6HUONiJ/2qYjSl8k3148R4gGabNLXVLMqHWeWtVdi/mKgJcUGZJVQNie0Sflzq4w+58KremLxQSsDyB+YqRN1ZMiSdO4UKFkHRt+OvyoPC424zgFjHdA3U8qvGw6kaieO539aCpv5VXLmA30LAHXz76xOJ6Ixq4hjh3RrDENlcMwWQM2XLqNQdJitv7Q32s2Q1uFMx7qn4EVDgrIuKGeW2PaZiJ7lJgVMWmJ3BNYnlkPaHotgF1s54nsWrmcd5KBte7fxGtU2AwF217lpLpAgSl0kCZj9og4k6A+VeqASfyOPdU36sg+iPn860jNf5qfl1YtLeKZCOza026tTr3ftR8vSgMN7KOZN49fsR1iBLSt9bLOYnv+NeiBByrioqs5LTymKxDz2/7DKxDF7maIOS8ttd9IQWSvd+NS2vY62jC4rYtbg+ml2y0j6rBwqsvdHpW8KDlTCg5VSJ0uzeKw2khHOnaDKuvkrNU3R3SNoHI514ZjDDxB38averHIUjYZG0KgjkRIrojqLcSbOtlCJVpBqW231RQydEYcaizbB5hFBo3D4RFMqoB7qfnR8jYTpDHtagLauXm+qghR9pjoPD5UuIx146Lhi3aAJJUACR2oJExvHdVkFFPArG1psKofrLg5uxyykHxmPuoLpXoa/dyRiHTKCGhrhDExBKhgOB9a0dcRVNAXovDG3bRC2YqgUtEZiOMSY1J40ZSUtSh1LSU2aB9dSV1A6lptLQBdMdGLiLeQkqwIa2495HGzCstinu2JXE2zlmesRS9lj9YhYa0fDflW2pwqk187h0Y80RXsvXur/SY+0/9j6MAOlbbmLK9bcIChLa3JIAywWcAKsbnU71tuicO1uyiOZYL2iNsx1aO6SaJVQNgBS0is73MoyZMfb2466j6zuf2j9n/9k=" alt="" width="250" height="300" /&gt; Як правильно вибрати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Також ви можете знайти все необхідне на ресурсі &lt;a href="https://kyiv-city.com/ru/article/233287-Otzyvy-o-nedvizhimosti-ot-Alyans-Novobud-v-Brovarah" title="Отзывы о недвижимости от «Альянс Новобуд» в Броварах"&gt;Отзывы о недвижимости от «Альянс Новобуд» в Броварах&lt;/a&gt;._x000D_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_x000D_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t>
  </si>
  <si>
    <t>http://dril.com.ua/yak-pravilno-vibrati-neruhomist/</t>
  </si>
  <si>
    <t>Error keyword!</t>
  </si>
  <si>
    <t>ErrorPublic</t>
  </si>
  <si>
    <t>http://www.peredelka.tv/articles/flat/rooms/kitchen/Kak-vybrat-skovorodu/</t>
  </si>
  <si>
    <t xml:space="preserve"> _x000D_
_x000D_
Азбука мастерства_x000D_
Новости _x000D_
Афиша_x000D_
Новинки_x000D_
Тренды_x000D_
Репортажи_x000D_
| _x000D_
Квартира _x000D_
Системы и конструкции_x000D_
Стены _x000D_
Пол _x000D_
Потолок _x000D_
Окна и двери _x000D_
Сантехника и коммуникации _x000D_
Электрика _x000D_
Вентиляция и отопление _x000D_
Изоляция _x000D_
Комнаты_x000D_
Кухни _x000D_
Гостиные _x000D_
Спальни _x000D_
Детские _x000D_
Ванные/санузлы _x000D_
Техника_x000D_
Аудио и видео _x000D_
Бытовая техника _x000D_
_x000D_
_x000D_
| _x000D_
Дом _x000D_
Системы и конструкции_x000D_
Фасад _x000D_
Кровля _x000D_
Стены, окна и двери _x000D_
Лестницы _x000D_
Изоляция _x000D_
Водопровод и канализация _x000D_
Отопление, вентиляция, электроснабжение _x000D_
Архитектура и строительство_x000D_
Идеи и проекты _x000D_
Строительство _x000D_
Экодом _x000D_
Помещения_x000D_
Чердаки и мансарды _x000D_
Веранды/Террасы _x000D_
Зимние сады _x000D_
_x000D_
_x000D_
| _x000D_
Участок _x000D_
Пристройки и строения_x000D_
Бани _x000D_
Беседки и павильоны _x000D_
Гаражи _x000D_
Заборы и ограждения _x000D_
Сад и огород_x000D_
Ландшафтный дизайн _x000D_
Растения _x000D_
Практика _x000D_
Водоемы _x000D_
Инженерные системы _x000D_
_x000D_
_x000D_
| _x000D_
Дизайн и декор _x000D_
Приемы и технологии_x000D_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Идеи_x000D_
Дизайн для жизни _x000D_
Досуг и праздники _x000D_
Искусство и ремесла _x000D_
Фотоальбомы _x000D_
Что есть что_x000D_
Цвета _x000D_
Стили _x000D_
Кто есть кто_x000D_
Наши дизайнеры _x000D_
Мировые имена _x000D_
_x000D_
_x000D_
| _x000D_
ТВ-проекты _x000D_
Квартирный вопрос_x000D_
Выпуски _x000D_
Сюжеты _x000D_
Дизайнеры _x000D_
Дачный ответ_x000D_
Выпуски _x000D_
Сюжеты _x000D_
Дизайнеры _x000D_
Видео_x000D_
В гостях _x000D_
Мастер-классы _x000D_
По следам _x000D_
За кадром _x000D_
Квартирный вопрос _x000D_
Казан-мангал _x000D_
Последние выпуски «КВ» и «ДО» _x000D_
| _x000D_
Услуги _x000D_
Скидки и бонусы Дизайн-бюро Интернет магазин | _x000D_
Общение _x000D_
Конкурсы _x000D_
Вопрос-ответ _x000D_
Форум _x000D_
Блоги _x000D_
 _x000D_
  _x000D_
Заявки на участие _x000D_
«КВАРТИРНЫЙ ВОПРОС» _x000D_
«ДАЧНЫЙ ОТВЕТ» _x000D_
АРХИВ АРХИВ _x000D_
_x000D_
Кухни / Как выбрать правильную сковороду? _x000D_
 _x000D_
Как выбрать правильную сковороду? _x000D_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_x000D_
 _x000D_
 _x000D_
Можно пользоваться одной сковородой для всего на свете. Но, как известно, любая специализированная вещь лучше универсальной. _x000D_
Шаг 1: Для чего вам сковорода_x000D_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_x000D_
Шаг 2: Антипригарная или нет?_x000D_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Позже, в 80−е, распространилась идея, что любые жиры – вред, и нужно готовить с минимальным количеством масла, а лучше вообще без него. Антипригарная сковорода, которую достаточно слегка сбрызнуть маслом, снова пришлась кстати. 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А вот сковороды с керамическим покрытием можно нагревать хоть до 450°С. «Керамика» – это не обожженная глина, как следует из названия, а нанокомпозитный полимер, в составе которого есть наночастицы песка. Служат такие сковороды, увы, не слишком долго, но пользуются популярностью: готовить на них одно удовольствие. Хорошими отзывами могут похвастаться сковороды Moneta, Fissler, TVS._x000D_
   _x000D_
Алмазное, титановое и гранитное покрытия – тоже нанокомпозиты, самые долговечные и дорогие. Посуду с таким покрытием можно найти среди премиальных марок вроде Swiss Diamond, Risoli и Woll._x000D_
 _x000D_
Шаг 3: Из какого материала?_x000D_
Одного взгляда на чугунную сковороду достаточно, чтобы воскресить воспоминания о бесподобных бабушкиных блинах и оладьях._x000D_
Чугунные сковороды тяжелы, как спортивные снаряды, в них не рекомендуют хранить приготовленную еду, их нельзя мыть в посудомоечной машине, их нужно прокаливать перед первым использованием, а потом всячески холить и лелеять. _x000D_
Зато старый-добрый чугун долговечен, и блюда в нем получаются отменные, как из печки. Качественная и доступная марка чугунной посуды – Lodge. Дорогой и красивый выбор – La Creuset, Staub._x000D_
    _x000D_
На сковородах из нержавеющей стали (без антипригарного покрытия!) готовят многие знаменитые повара. Нержавейка не изменяет вкус и цвет продуктов, долго служит, не царапается, легко моется. Но нужно уметь ей пользоваться. Забросил продукты в недостаточно прогретое масло, не перемешал вовремя – и все прилипло. Впрочем, это хороший повод повысить кулинарное мастерство. Хорошая репутация у стальных сковород De Buyer, Fizzler, Lagostina, из менее дорогих – Silampos «Гурман»._x000D_
Сковороды из алюминия – как пушинки, но без антипригарного покрытия бесполезны: поджарить хоть что-нибудь без литров масла не выйдет. Если решитесь на алюминиевую посуду с покрытием, выбирайте литую, с толстым дном и стенками и надежной марки, например, Woll, Risoli, BAF или более доступные Vari, Casta._x000D_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_x000D_
 _x000D_
Шаг 4: Не забудьте о мелочах_x000D_
 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Чем толще дно и стенки, тем лучше._x000D_
Профессиональные повара не используют штампованные сковороды, только литые._x000D_
Если вы планируете ставить сковороду в духовке, выбирайте модель с металлическими ручками без пластиковых деталей или со съемной ручкой._x000D_
Для стеклокерамической плиты не подходит посуда с медным или алюминиевым дном: она оставляет следы._x000D_
Для индукционных плит нужна особенная посуда (смотрите на маркировку)._x000D_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_x000D_
И главное: вместо одной универсальной лучше выбрать несколько сковород. Каждая из них будет мастерски справляться со своей задачей._x000D_
 _x000D_
текст Антонина Захарова_x000D_
 _x000D_
 _x000D_
Наверх _x000D_
 Рейтинг: 5.38 _x000D_
Голосов: 13 _x000D_
Оцени:_x000D_
1 2 3 4 5 6 7 8 9 10  _x000D_
 Форум_x000D_
_x000D_
Назад _x000D_
Материалы по теме_x000D_
_x000D_
_x000D_
Современные духовые шкафы_x000D_
Пьер Ганье – обладатель трех «мишленовских» звезд – считает, что высокая кухня – это любовь к искусству и технике. И действительно: в наше время технику есть, за что любить. Самое элементарное по рецептуре блюдо она способна превратить в настоящий шедевр. _x000D_
_x000D_
_x000D_
Вытяжки для кухни_x000D_
Прибор под названием «вытяжной зонт» решает две важнейшие задачи. Во-первых, в его «жерле» исчезают опасные для здоровья продукты сгорания, взвеси, испарения. Во-вторых, кухонная вытяжка препятствует образованию жирных пятен на стенах, потолке, шкафах и избавляет хозяев от постоянной _x000D_
борьбы с этими врагами порядка. _x000D_
_x000D_
_x000D_
Кухонные смесители_x000D_
Современный кухонный смеситель – мастер на все руки. Его роль на кухне становится все более заметной, и без выхода на сцену ловкого красавца не обходится ни одно действие. _x000D_
_x000D_
_x000D_
Духовые шкафы. Уход и меры безопасности_x000D_
Способности духовых шкафов развиваются не только в области гастрономии. Производители заботятся и о том, чтобы впечатления от кулинарных экспериментов не омрачались неприятными «последствиями» в виде пригоревшего жира и болезненных ожогов. _x000D_
_x000D_
_x000D_
Фильтры для очистки воды_x000D_
Парадокс: российские требования к чистоте питьевой воды по ряду показателей суровее европейских, японских и американских, при этом из-под крана у нас течет едва ли не самая грязная в мире вода. _x000D_
Новое_x000D_
 _x000D_
Isaloni Worldwide Moscow-2017_x000D_
 _x000D_
 _x000D_
Кровля для необычного дома «ЧЕТВЕРТЬХАУС»_x000D_
 _x000D_
 _x000D_
Домашний сад без забот_x000D_
 _x000D_
 _x000D_
ПОПОЛНЕНИЕ В ЗООПАРКЕ: ФЕЕРИЧНЫЕ СВЕТИЛЬНИКИ SELETTI_x000D_
Интернет-магазин_x000D_
_x000D_
Светильник 000750_x000D_
22050 руб._x000D_
Купить_x000D_
Все товары_x000D_
Самое полезное_x000D_
 Спальня под новым скатом _x000D_
Видео_x000D_
  _x000D_
Euroluce-2017 Всё видео _x000D_
Конкурсы_x000D_
 Летний камнеPad 2 _x000D_
Форум_x000D_
КУХНЯ В СПОРТБАРЕ _x000D_
Новые проекты _x000D_
Вопрос-ответ_x000D_
Сделали ремонт год назад. Уже не нравится. Подскажите, что можно исправить? _x000D_
Дизайн-бюро_x000D_
 _x000D_
_x000D_
Вакансии_x000D_
Дизайнерам_x000D_
Рекламодателям_x000D_
Азбука мастерства Квартира _x000D_
Стены _x000D_
Пол _x000D_
Потолок _x000D_
Окна и двери _x000D_
Сантехника и коммуникации _x000D_
Электрика _x000D_
Вентиляция и отопление _x000D_
Изоляция _x000D_
Кухни _x000D_
Гостиные _x000D_
Спальни _x000D_
Детские _x000D_
Ванные/санузлы _x000D_
Аудио и видео _x000D_
Бытовая техника _x000D_
Дом _x000D_
Фасад _x000D_
Кровля _x000D_
Стены, окна и двери _x000D_
Лестницы _x000D_
Изоляция _x000D_
Водопровод и канализация _x000D_
Отопление, вентиляция, электроснабжение _x000D_
Идеи и проекты _x000D_
Строительство _x000D_
Экодом _x000D_
Чердаки и мансарды _x000D_
Веранды/Террасы _x000D_
Зимние сады _x000D_
Участок _x000D_
Бани _x000D_
Беседки и павильоны _x000D_
Гаражи _x000D_
Заборы и ограждения _x000D_
Ландшафтный дизайн _x000D_
Растения _x000D_
Практика _x000D_
Водоемы _x000D_
Инженерные системы _x000D_
Дизайн и декор 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Дизайн для жизни _x000D_
Досуг и праздники _x000D_
Искусство и ремесла _x000D_
Фотоальбомы _x000D_
Цвета _x000D_
Стили _x000D_
Наши дизайнеры _x000D_
Мировые имена _x000D_
ТВ-проекты _x000D_
Квартирный вопрос _x000D_
Дачный ответ _x000D_
Видео _x000D_
В гостях _x000D_
Мастер-классы _x000D_
По следам _x000D_
За кадром _x000D_
Квартирный вопрос _x000D_
Казан-мангал _x000D_
Последние выпуски «КВ» и «ДО» _x000D_
Афиша _x000D_
Новинки _x000D_
Тренды _x000D_
Репортажи _x000D_
Услуги _x000D_
Интернет магазин _x000D_
Дизайн-бюро _x000D_
Скидки и бонусы _x000D_
Общение _x000D_
Блоги _x000D_
Форум _x000D_
Вопрос-ответ _x000D_
Конкурсы _x000D_
copyright © 2001-2015 ООО «Переделка-Дизайн»._x000D_
Воспроизведение в любой форме и распространение материалов сайта PEREDELKA.TV возможны только с письменного разрешения администрации._x000D_
Официальный сайт программ Квартирный Вопрос и Дачный ответ, канал НТВ _x000D_
Дизайн — Денис Трепцов_x000D_
Разработка — ID_x000D_
Виртуальные туры — Vtours_x000D_
Планировщик интерьеров — Planner5d_x000D_
         _x000D_
 </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</si>
  <si>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Одного взгляда на чугунную сковороду достаточно, чтобы воскресить воспоминания о бесподобных бабушкиных блинах и оладьях._x000D_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Если вы планируете ставить сковороду в духовке, выбирайте модель с металлическими ручками без пластиковых деталей или со съемной ручкой._x000D_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И главное: вместо одной универсальной лучше выбрать несколько сковород. Каждая из них будет мастерски справляться со своей задачей._x000D_ Воспроизведение в любой форме и распространение материалов сайта PEREDELKA.TV возможны только с письменного разрешения администрации._x000D_</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</si>
  <si>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t>
  </si>
  <si>
    <t xml:space="preserve">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 </t>
  </si>
  <si>
    <t>Як вибрати сковороди.</t>
  </si>
  <si>
    <t>[caption id="" align="aligncenter" width="250"]&lt;img src="data:image/jpeg;base64,/9j/4AAQSkZJRgABAQAAAQABAAD/2wCEAAkGBxASEBUSEhIWFRUVFhgVGBUXFxcWFxgVGBcWFxcVFhgZHSggGBolHRcVITEhJSkrLi4uGB8zODMtNygtLisBCgoKDg0OGxAQGy8mICUyLy83LS0tLS0tLS0tLy8vMC4tNy0rLS0tLTItLzArLSsrLS0tLS0tLS0tLS0vLS0tLf/AABEIALABHgMBIgACEQEDEQH/xAAcAAABBAMBAAAAAAAAAAAAAAAAAQQFBgIDBwj/xABGEAACAQIEBAMFBAYHBwUBAAABAgMAEQQSITEFBkFRE2FxByIygZFCUqGxFCNiksHRFTNDcoKy4URTVIOi0vBjc5PC8Rb/xAAaAQEAAwEBAQAAAAAAAAAAAAAAAQIDBAUG/8QALhEAAgIBAwEHAgcBAQAAAAAAAAECEQMSITEEBRNBUWFxsaHRFCIygZHh8PHB/9oADAMBAAIRAxEAPwDuFFFFAFFFLQCUUtJQBRRRQBRRRQBRRRQBRRRQBRRRQBRRRQBRRRQBRRRQBRRRQBRRRQBRRRQBRRRQBRRRQBRRRQBRRRQC0UlFALRRRQBRRSUAUUUUAUUUUAUUUUAUUUUAUUUUAUUUUAUUUUAUUUUAUVjI4UXYgDuTYVB8Q504ZBcSYyEEdFYO37qXNCLJ6iqDxP2tcOiAKrPJm1XLHluO/wCsKm3yqt4324j+xwR9ZJbfgqn86BuuTsVLXn7G+2jiTf1aQRj+4zn6lrfhUJi/adxh98WV8kSJf/rf8amiNR6boryfPzbxGQ+/jcQf+a4H0BAp3geYMT1nlJ7l2P5mlFXOvA9S0V5zw/PGOisUnk9CxYfRrj8KvvKvtXSS0eLXK22ddvmv8vpU6QsifJ0+itWFxKSoHjYMp2INxW6qmglLRVY5q52w2BIUq8zk6pHYlRbdiSAOmm+tCG0uSzUUUUJCiiigCiiigCiiigCiiigCiiigCiiigCiiigCikLW3rGWUKLk2FVlKMU23wDOoTmXmvB4BM2JlCk/Cg9529FGvz2qT/Sc0RdezEX8r/wAq8ye1R5P6UmEhJ0jK3+6UU/nmqYSjOKlF2mVcvI6FxP21E6YbCgDo0za/uJ/3VUuK+07isv8AtHhjtEqp+OrfjVBWe1Y+ISQACSTYAakk7ADqai2RTZJY/is8xvLNJJ/7js/+YmrLyvyk7hZp1/V/Esd7FuxbsvW25FSfKPKMcREmKCvIRmVN1j9fvN+X41cMXOiqNNvyrweu7VerusHPn9vuev0vQxhWTMv2+/2KRzWn6lgwFgrEHrcG4sK580ldgwXDY8bN76FkUX1NgxOuU/Ss+DezzAQPiZsSc4VHeONx7iLl1bX+sIJsL7aaX1rq7PzacemXPJTrMMsku8RxzDMpkUNfKWGa2+W+tvlU5xrgHh6pf0JuD5g9PnWrgPBGKyTNcrGcpPa97E9r2NXiDBscImYas3UXAUKLKe2pP7tbdT1MoSTjwuTDF06cfzeJy1iQbEWI6GnGHlq48X5cVkz+7169heqquACtZnAB2Jrfp+rhl45OSePmt0jNpaBJWWKwOXZgR5U3JtXYYbF85F51lwsoVn9xrDU+7/j8v2tx6aV2+DmKJo84Vzb4gF+E9VLGwv8AOvL8MLWzZWy/esbfWui8qzQSxxR4xS6jMoUswDZF9xiARmFiVsbj3KbMlNxH/NvtHxMbMomjRGuVEYDSBTsHsWyN9PKuacR49JKbrmUb36k9ya6H7Qo8K+AKQwpEYSJUygLqujCw3upYfSuZ8F4RicZIY8PGZGVc5A6LcC5J8yKCrPW9FFFVNxaKSlqAFFFFAFFFFAFFFFAFFFFAFFFFAIzAbmozFcRRlKhmU7ZgLfMX3FLxTCzP8DAAbDXXvfWoY4V43Gcrc9L/AJ14XafWdTBOOOFLi3/T2+Tny5JLw2MJQQbtIzfM6j0reuJLaZiegF+21NBj0BaOexUn3Su6+fp5eVMjjwkiBLtc72B02BNfLNTW6nafPO3v5+n3OPvFHdcfUfPx6YDw4FiKdZHYtcndQi2t6k/Kuf8AtW5afFQJjYVvJCuSVBqWiBJDL3ykn5E9qc85cPwkSs880sUbk+6pBLMdSEUg6/QCqbwDmBoW8TDCWOJXCrnbOGOXUMQoUtbXL51930ObFLBHQmklW52Y9coa62RRoVLMAOptXR+SuBxRGaTPeRI7rILW94hQig9yblt7A963Yjl7B42VcRhysEuYNJAf6p9dTGfsN+ydD5U7wvLGJgWeVBdMxtFe3ur7ysttwCWFuoqOsU3Go8fJ6HRzjd+PwKUxAkBVCwI+yGYm3W38u9SqYFit5pchO6AB3t3NjlX0J+VUnFcyyOUEjBVtlZU0Vjc+8R1vfrU9/SuZQF1A2Aua8HNglCqW56yyY8m82/YtPKWJw8c7ogYEjQO12cg2OwAHTYbGpjmrhMksZIIYZbeGRax6+9/p0rlr4rELOkscTnKdbAi6H4gSbDaulYPnnACL9dNHER9hmBb5qpJGt9K64dPNwTp2cfUZccpXF1XqQfKvD4MKskErZfHOW5O2hsSCNdyL7d6Y8eiOFJaORZYJNCQRdWO1wNgbaaVu5h534U6kJIXYfCwiY5TodMwHYeVVzh3O2FgD5cM0zObnxGCR2swACjN97fyrpXS5J7Nf0c8s8VJO9vqh1hzezNa+/uk2F+lJjsDE4uWUb/Fa3+lVSfmH3iUjVATfLd3t5Akj8aZvxWQ+XpZf8ovSHZsrtyr2KfiIRvSmP8dw/X3bW3zA2T6mwNPMJj4oFXwYkzjeWT9cx/ugAIv1Pzqvmdibk699z9TRe+5vXoR6dJU22YvqGncUvklcfxZ5P6xjIf2zp10yLoBqepqyez7hQxckkkssgMYUDJlvZs1wLiy7dBVIO1dN9jqfq8Qf2ox+D1vGMYqkjJzlOX5i7YPl/BRi4iDEj4pP1jefxXt8rU94bhMPh0yQRJEv3UUKPU23rLLWQB71YuWmiiiqEhRRRQBRRRQBRRRQBRWrESlRfKWF9bbgdwOvpv8AlWcbhgCpuCLgjYilgyooooAooqO45xqDCRGWZwoGwJ1Y9FUbk1DaStkNpK2RvMvE2jYJmIuLgLufn19BVXPEY0kYXIktcr1AP2iOnrVA5y5+xeIY+HKUjItZAFa29swGa2u16oiYyRMwV2XP8VjYn1I1614HVdnfiZubm/ReCNpdmd5BZNa33XJ2rg2OgxEpyPnZWN1N9bG2hO+vyprPiRJL4sEucNIVyj7JUgZTbY1zbgeMxIjZIlIb7Em1gwIbX8vWpzl3g+MjTIrkAuJP8Y0uL/8AhsK5pdmKF0/a99jz8nRVaT8djpHMPAocbh1jmuBnVrjMWBGhygfaIuLkHc1jzPypF/RjQQIFMNpY1A3Kg5h5kqW+dq08JjxuYlnvqLi3UC3yqwxeKBfU16vZeF4MOiTsvijKMNLOH4ZyNQbU7bjOJXQSHT5/nU/zRwPw5GkRcqsb5exO9h2qp4ggNXqY3tRWSGXEOOYq/wDWt8jaoiXjGJbeaX/5G/K9PsdCW2F/pUf/AEZKegHqwFW3LxqhtJMzfESfUk/nSKTTwcLk+9GPVxWxeFN/vIv3/wDSootaG0VXv2d8jPj7zynJhkJGlw0jC3uqei73a99CB3FTXhL20kh/fP8A212flbmvh+F4fh8MJDmjjGchdDIfecjXUZixqaItEfxn2XYNyPD8SFjsEbOmm5Kvc/Q/nVX4j7K8alzA8c4HS/hv6WNxf5iukQ84YNnLGSwsAPdbbcnQdTb92n3/APR4Jv7Zb9yGU/W2lKIT9TgPEOC4rD/18EkfmynL+8Pd/GmYavRLcbhdlRcREynVgzLqBay38z3GwNaMfy5wvFXMuFizH7aWjY/44yL/ADoOTz8z10jk79IwUMGir+kyZ5A4JIjsAug20ufVh51YI/ZhgoZRMjOwBGWKWzrmvpYgAn53qY4nwpzlLR3Cm9xr/rVZKyaGPHuNMiq8TBgHyMAdAx1GbKCbdxpvepmKe4B7i/eqsnDF8SU/ZkINrAWsxawAtob311qXXEkAADbTeqKe+5pGMnuOOeebMbG/hYSMAD4prB2v1CIdgO5Bv+fN4+a+NiTNJNNl+6CFv+FW3mv2d8RbEvLhZleORiwVnKMlzfLtZgOh7fUxQ5E48o0KHyEwP5ittjGWuzdhudpipzz4lDbSzRMCe2opo3P+OT/aXPlkQn/Lam+J4JxqH48OzAdQokH/AEXqImx0wNpIbHtYg/Q1bYo3JFjw/tcxa6OFYdyFufWwqf4X7X42NpYwPMEj871y/EGJ90tTCbhyn4GqKLKb8z0lwrnHAz2yyhSejafjtU8rAi4Nx3FeRx48RuCdO1WLgHPHEYdIZhmH9m9yH8hrYnyqtGim/E9L1HTBoWzqCY2PvqN0Y/2ijseo+Y1vfmfAvbWl8mPwzRHYyRe+vqyGzD5Zq6bwfjOFxkfiYeZJU2OU3sezLup8iKpKLa2LvdbGTcZwocIZ4gx2UuoOu2l6yxU2IVv1cSOttCZMhv2IyHTbUE+lUbmrhDxyMxwoniJJVl+Jb62YDW/nVegx8aG4/SYDfdJH0+RNvqKmKbW57mHshZsUZwnv+zV/za/g6n4GLf45UhHaJc7D/mSC3/RUBxLlLhjTquJSSV5FYiSWaVvhK3UHMAp1vYADQ1FYTm6YKAuKRj2mjGvlmjK2pOOccxEsSl4FJU3WWBy+U9/DYXt6E1Oi+TKPY+RTSycf7fevoSeG9l3CUl8QQs1tcjOzR38wd/Qmk5j5IwU2W0UcYQHLlVVF/O1Uxed8Sh9+dwpNsyohuQNrk6H1F6J+Z45Ts8x3Jlf3V8yo90CsmoPa6+TsXY+eKuU1pX8L+aSHseBgiGgUKuhf7It0B+0fIfhVcxPMUyNaR1ihz/GFAkePtGo1267a71Ecyc6ljlis5H2re4v9xTv6n6VScRiXdizsWY7km5qkumg+Tyesn0zx91iV73q/8Xmv4Xp4nRZ/aW0WcYSEKGa4aT3iPdVdFGg+G+53qs8T534jOTnxUgB+yh8Mf9NqrResb1qoqKpHAkPmxbtqzsfMkk/jTvhmAmxEnhwqXaxY62AUWuzE6AC41rovs29nOGmwoxGMuzzoxiiDWCp0lJXUsbi19BcaX2nsLyyuBw8v6It3jCeOpu0kqhiSfJdAQF01YW2rjl2hiUtK359tuTTumlqa2XNFV4VyVhMgE8rGTwjK9mCpGBf3co99jbW5sPKqLj8EUuwuU01O4v30tv1roPM/HMPLkZBeZr+J9nIuW3g21tcm59Ot9IIThA8ZsSUFrgWJudLeprSGSV22ayhBx2r3RUxA+TPkYKTYMQQpPYHY1g91NmBUkXsRa4OxF9x51nxDBOG94lr6KTroCRYenat06zjDCCRhlDh40JDPHcHMQBrGrXF1NrkA2611p2rRzNVszSslbQ4pvhMOxJB3FSUfC2PWpKNpGgEVtSQjYkehtTpeEN0NZHg8lTRW0aVxkg+2/wC8T+dbouKSqbgj6AfiLVg3DpR0rU+GcbqaEbFl4bzliIyvvtZTce8XUbj4Hv36EV0jlfnAYn3HWz2zArcqwG5AOoI7a1xAXq8ez+I+LG33S7fIgJ+ZqUSnTOqYl4pCFKgk9bagDc9x0HzFNZ+Axt8MjL5WDD5bGtEVnYudfsr6KdSD5tf90U5zsNm/eF/x0qjgnyaRm+S40UlLUGoVoxODikFpI0cdmUN+db6SgK5juReHS7wBT3QlfwBt+FVviHskw7XMM7p5OocfUZa6RRU2yrhF+BxHiHss4hHrGY5h2DZT9GsPxqm8X4DLEcuIgeI9MykA+h2Pyr1BWrE4dJFKSKrqd1YBgfUGp1FHiXgeVZvEAs6iZRsSbOB5N1+YNY8L4oYJfEw7PC+1w1jbtpuK7TzX7MY2BkwPuPuYSfcbyUn4D5HT0rlDcLjWe06MjISGW1jmHQjpU8mbTXJ0LgXtNxAhJxcatl2kB8MkdS4sR9LelXjgWKfFxF5sL4APwLIQzsv3mXKCnTQ6662rkvJfB4MXxPwX8RoY4TLoTpIGQKx9M31q+8e5Vjgw8ksWLnUopYKxS199bIDvrTY0hOa3G3OWP4Pgzlljzyn+zh+Idy2oUadDrqO9RmC4rwOQXixTYd//AFAygHzzAqfka5Ri0mMjeLcyX965vfrfzB3vW/Dwoq+LKbIDYAbu33V/ielEdMO0eoh+mb9rLvzdHhDGZWniYMRd4WDiW3Qqp919PzrnXFeMeJ+rjURRXuEBJJ83Y6sfXam/E+IvM1zoBoqD4VXsB/Go9mqjq7L9R1mbqEu8ey8Fx/vjwMi1ABNbcPg5H+FGbW3uqTr20G/lXS/Z7yZ4sfiyBkIbLYKviixtf3yPDHna+h8qyyZo41cjPDhjOX55aV5u3+yS5ZX4+RpY3gaQo8UjLmIbIO5jzb9xmHn2qR4lwfBCzNhMt7axyuANNT2Oo7a96s3F8JioYJxIjCFPfBdldjqNVddivxai2pFVfhJiBZZFlEgOgBsLn7wYb76VxLOsjtSuufDfZ+3sdMsPTd2nim3JPe1T9Nvnn3LZy7zdEqpAfcEahEzK6nKAANTcNoBfba9T8XMiuxKH9Yo1BGkidQCNGGnyqixBi/wLIvVWCKR01IJ0+lQUsxWZRDHlZ5AoCsGuxNgLgkak15+ToMd6oWnz6X5m8Mvg0qJTnTh8EWJVoDeGX3kH+7N7mI9rX0HY1GHI8ga1woUnp3NvyqycZ4UZY75765hbQsyj3mjAvcKxK32Nj0qO5k4J4GGjeIgZ1uzE5iZNcym1wFtlykCxBPXSu3Bkaioz5OBpYlt+n4I3gmBGLxEUWUFS7WB1B0ZyPSy9O9XLjvAMIsyRxRRQiRMjZUFg8ZOaxOt2IAB7KfWqpyZjThGjkuM6tmY2D5VIsUA+ZuR38tXPFuONOC4YKysX0udjvr3HbvWneW9KPUzdDPDjTyx/Vv7e/wA/Ixn4RF4+QExEg5WBzqxBNhYm4Nh3+VJNFNArXQu6m9wt0VPv26nyIsOu2pAWsrhrgMH1vfXfQbdak8dxEjKygW+FtL3Rtxa+tdOPJNLc8p44z8KZBwcxPcB7Ou2XKgYeaMqgg+RuPLrTtuM5GKEbG21v/wAqNwnColszvazKVOeNldQRdfda5J8r+lacchkxDmVjGzsWNxtfY6dPMaV1nG0iei49GdxT6DiWHfe1UqfCsjZWNux3DDup6isUuOtTZGkvfEcBA63Qi/Tzqd5MwLZhGmjMpseyJfM3ndz9Y6pXCpgkJmYk65UB6t1PmBWXCONYyB86SlTYjQDYm5F2B667VLIR1rirTYXDBlh8RwQuVCSoH3jpft0plwzmjDNmD5wym3wg77iy3tYjc7/WsuVePSYtWixOVjH4bh7BWN/eAIGmZSBqPpUzAZfGkBhXwrLkZSC5b7We/rpr086wlCalaZbe7TLfQaBRVzpC9JesTSXqaBnelvWF6L0oGd6L1jelvUUBaqfPPJqY5M8eVMQo91zoHH3Ht07Hp6aVa70lCGk1TOV+z3lfiGEx0rywBUaHJnLoVJDqQBlJPQ9Kv3E8NJLBLCyG0kbx3BU/EpW+/nepW9asRMqIzubKoLE9gBcmpIUaVHnTHwKAfG08K4J6gqbFb9dRa1U7iuPMr32UaKvQD+dWb2kcwHE4lyBlBNyBb0UG25Atc9zVK1JsBcnQAaknoAOppJmcI+IhNdq9kXKWEMUk7qJnkVQhkjBVVyqXKBh1ZrX7C3e9R5Q5RILviY486qGWGX3gNbEyKL+9+ydrG9qmuD864jCSvE6ZxEbLlGWy6/qgNrAaAXG1eV18sk46cfnv6r0/yOvDDe5DjmDhMWFeDDYcGIASHT3m8bMpEmc+SqL9AFGtT2BkmnBkdfDBzAlCwe4y5WNgAdL7dQKj+McTHEUV8OA0l7jt0tmB22IPXbtW8cRgwz5JnIB3dkdVUjWyArZ9zqN9K8yeTLkx6Erk9vJ++/1Kddk1Vij816+wpmxhjsFzvp4iOy+H4dxe7E2BKgXJ039ap/PeGmXFNLHC4QhSWCswY2HxEXsRoL/s3qx4rHYfwj4UgeEzKWGoK7ZWYABrZw3yPyp7zXxyYIFRgjyXcADURIFsSPMkfQiu7Hg0zTl+qvDhp/8ADsl0M8ajky7Pfz8+H/vEqvI/D24jOUFgFUGSQgGy3soHdib+Wh+di4NyUIOIiWaaKSGO5j+zeUkKFdTf4QS2hNyPI1W+WeapcNJK5VX8TL4hFkkupNmFtGtc+umtWjmHHR43BtkykGx0GzLY3t3/AJmuTN1WbD1FOP5HSv35+v0GhuOpP9hnzZxaCOf9FSL9TF7qsjXAdjdrdiCTt9RUHKfE0RlcWJs5K5he9m6E+e97amq3+kum43/hp8xWw4zMPdAtfX67/wClel3VoweXVvWxpxEpikLDa9iNNthcDTyrS+P1/wDBTTiuIGew7a+tR4lrZdPas7+k7Slix9y3aXF+XkWjh2LDDKbBdQNxp6iljxgKZM1j8Gt8oI2J0vbaq5DxF0+HbsfzoWVmObr26f6Gt442uTzc2RSk2iYecE5JtGXQSCxI8jb41/GtBxxK+G4zgXCsDqvmp7eRpksWby8q3rh/lW9nJSHLSMgCsRJGdRbYenVGrdwzACR2YsVgT4nNr/3AOrny9fIueEYRlvITli+FiQDm/YVTo5/LekxuKDAIgyxpoqDYdyfvMepoVs2Y/jGHLL7r5UGVVGXKAOgudT50mG4jJMwTDwlm8hnYedgLD1NMsDgWkbKqg9ScoYgdTrV7wvMmLi9xMNEFAAGXDsNv7psaWRsWPkPljEQo0srKZJP7PNfKNzmYaZvIHS30tDcOZvjYD9lDlH13Nc+bnHihPuxBFFtVht/nawFPuH814pbnEIddmYOo9FAzj6W2pZNxOxUUlFVOkxakrKi1SDGlpbUlAJS0WooBKKKKAKrHtDlYYOw0DyIrH9nU/mBVnppxfh4ngeI294aX2vuL1JWStNHkXibN4j5tGzHMOxubip7kmVIX8aymRdVZrHIehUHQEa61YuauXITKyyho5FJUuvlprp7w+V/Oq9Dy5Kl/Cnje/wBlgVP4E/lVJQb4KRmi1Rcys8rsq2u2jCxZrC+t9/eYa27VFPwnESwkIDmeXxCxFlvaygt6MdBc+VR+E4bikYZlG5N1ZTv5b/hV/jyYaKMGT3FRs4Q5jISuX4h/V3PbWwHy5Jxa5R14pJ8MbcoTjhmGk8YXBLF3UMGzscqqpI8tD16CwJpvzTzEmJtFMjZdbOtjYMBclbfEpAIPYkdar+I4pLiy6SGyKbKg2WwsDa12IF9Tr9aYxsXwpBPQi/UFT376Vl+HhJ3W4noS0pDWTPCWtYgjK33SpIyuLdLgHyNOJOKPlDgg2GT3rk9Tv0AFv/DTElxHoSVI9dOo8qTC5cg2bXUflarxi73NPxMnh7qbuns/QcmRZBcDKR9R/Nay4Xxx8K7I+sb/ABAdCNnX8bjr8qZzTRxnMkqgjYX19COtR2O4gJUy5dbg37d7daPp1kVSWzMlkol+YEA/Wobo3bv0PpUGuK0Jtr5dfWtedimXcA3HlfewrWkV63w4tEdLdmLluYMxJJO5oCU6gwxfRRrsPM9vWnSYJ8xR0dWBtqrXB7MLV0FLQxSHWxpxHDlIv9e/pVi4bgkjzQ4tRkJ0kDJmjPR42v7y91P4GtmA4hh8P4kbZMRE9wVCtY2vlkRjYxt5i/Y3pRXURmHgUkX6nTz8vWprH4PDQMD4hkBUN4RGV1Y7pKdrDuN/Kof+ksotEoQd93+vT5WpqGvU2Upj7FY1pDrYACwUCyqOyjoKbSGsFNT3D+Ckrdxqdh2HnQbIacLkkhOZSVJ32+QqYfmKa3vN+C/xrW3CT0LfU/xrH+jJDoTcegqKfgVsmuVuOOcXGjKHRzlta1r65hbSp/mDjUcp8OJ7BDqwUm5GllO1t9ah+D8NAG1j3AsdfPepuHBRr0pTFnWqKKKHWFLRRUASilNJQBSGi9JUgKKKSgFpb1jei9Ac19pvCyJPFA91xv8AtAWI/I/WuZTAg16P4jgY542jkF1b6g9COxFci5p5ExEDF4h4kfdfiH95f4jSrI58kGnZSfGYbG3pcUpxsg+0aymw7LoQabODQzHH9KS/erA8SbUFVsd/dGvrTVqwaoBuOLW2Xwo7dsgA/AU3Yw/8PF+7SGtZoW3FJh/4eL90/wA6wM0Y2gi/crF2ptJJUFkbmxyjaOIeka/yrSeKMNgg9I1H8KayPTctUWXUUPm4vN0cj0AH5Cm8uPmbeRz/AIjTekoW0o2R6m5p4gpnFvTsUIZsrOJSTYak1lhcI8hso+fQepq28H4UsWu7d+3pUpGcnRr4LwUJZ5Bdui9vXzqcC1mkdb44quZ2YxQ06jgFZRx08hioBII6dBKyjip1FBQskdCpaSlqh1C0UlFALWJpb1jQBRRSUAUlLWJoAJoBpDSUIMr03mF631rkoCt8W5bhm1Ki/eqpj+QQfgJH410k1rkWpsycEcdxfIeIHw2NQuK5WxK7oflXdStYNEp3AqSvdnnyXhEw3Q02bASdq9By8OibdRTR+XsOd0H0qCNDPP0nDnPT8RTZ+Ft2/EV6EblXCn7ApvLyhhfuUpE1JHn1uGtWs4A131+S8Kfs1rPJGF+7SibkcEGC8jWxOHntXdRyRhB9msxydhh9mlC5HEoOFMelS2D4IOovXWl5Uw42Fbo+Xoh0qaRV6mc/wfDyBYCwqVhwRHSrovCIx0pTwtKkjSyqR4U05jwlWE8OA2pP0W3Sg0kTHhacxwVILBW0RChKiN4IKcrGKyVK2BagtR//2Q==" alt="" width="250" height="300" /&gt; Як вибрати сковороди.[/caption]    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Також ви можете знайти все необхідне на ресурсі &lt;a href="http://www.videlka.com.ua/935-skovorody-sotejniki" title="тут"&gt;тут&lt;/a&gt;._x000D_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_x000D_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t>
  </si>
  <si>
    <t>http://marsella.com.ua/yak-vibrati-skovorodi/</t>
  </si>
  <si>
    <t>Ошибка публикации!</t>
  </si>
  <si>
    <t>Как выбрать вредит вода из под крана.</t>
  </si>
  <si>
    <t>Корень слова</t>
  </si>
  <si>
    <t>Фраза</t>
  </si>
  <si>
    <t>жк</t>
  </si>
  <si>
    <t>Как выбрать квартиру.</t>
  </si>
  <si>
    <t>страниц</t>
  </si>
  <si>
    <t>сковород</t>
  </si>
  <si>
    <t>Как выбрать сковороду.</t>
  </si>
  <si>
    <t>недвижимост</t>
  </si>
  <si>
    <t>Как правильно выбирать недвижимость.</t>
  </si>
  <si>
    <t>auth</t>
  </si>
  <si>
    <t>q-sys.ru</t>
  </si>
  <si>
    <t>https://blogun.ru/getcode.php?id=397467&amp;idblog=355268&amp;submenu=2&amp;menu=tsk</t>
  </si>
  <si>
    <t xml:space="preserve">adonaidenver.org </t>
  </si>
  <si>
    <t>Подробный обзор</t>
  </si>
  <si>
    <t>5c1597890e9920a97683d94f70cb26d9dbee3e8c92233f35aa9758a514156388</t>
  </si>
  <si>
    <t>POST https://blogun.ru/submitready.php HTTP/1.1</t>
  </si>
  <si>
    <t>Host: blogun.ru</t>
  </si>
  <si>
    <t>Connection: keep-alive</t>
  </si>
  <si>
    <t>Content-Length: 166</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</si>
  <si>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</si>
  <si>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</si>
  <si>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</si>
  <si>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</si>
  <si>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</si>
  <si>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</si>
  <si>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https://blogun.ru/getcode.php?id=397539&amp;idblog=377906&amp;submenu=2&amp;menu=tsk</t>
  </si>
  <si>
    <t>Accept-Encoding: gzip, deflate, br</t>
  </si>
  <si>
    <t>Accept-Language: en,uk;q=0.9,ru;q=0.8</t>
  </si>
  <si>
    <t>Cookie: PHPSESSID=3if8pspn1il5es40obv01527i1; forceVersion=regular; _ga=GA1.2.1165900.1516889605; _gid=GA1.2.863335639.1516889605; _ym_uid=1516889605460312458; _ym_isad=2; _ym_visorc_7262719=w; unid=298988203; id=277364; auth=ada1d8172f65123b101fa22f09c2c4d4b0804304463c9a585771f24c5c9b4399; user=%7B%22userId%22%3A277364%2C%22accessToken%22%3A%224fe61fa20efc388936e04210651407fa340ac67df4faaf89a35d16daa89c3ccb%22%2C%22refreshToken%22%3A%2248f6fc355f627ffe56bec00c7b1f977512e2fb30307ef71c546883628c14bff0%22%2C%22expiresIn%22%3A1200%7D; isAdvertiser=0; _gat=1; lasturl=%2Fgetcode.php%3Fid%3D397539%26idblog%3D377906%26submenu%3D2%26menu%3Dtsk</t>
  </si>
  <si>
    <t>size=short&amp;blog=377906&amp;campaign=397539&amp;url=http%3A%2F%2Fodissey.net.ua%2Fyak-pravylno-vybraty-noutbuk%2F&amp;submit=%D0%92%D1%8B%D0%BF%D0%BE%D0%BB%D0%BD%D0%B5%D0%BD%D0%BE</t>
  </si>
  <si>
    <t>Content-Length: 108</t>
  </si>
  <si>
    <t>Referer: https://blogun.ru/getcode.php?id=397467&amp;idblog=355268&amp;submenu=2&amp;menu=tsk</t>
  </si>
  <si>
    <t>Cookie: PHPSESSID=t6d7d8pjj45u6nbvkb0tviqiv5; _ga=GA1.2.346602115.1516786915; _ym_uid=1516786915239815901; unid=1262859617; isAdvertiser=0; __utmc=259236953; __utmz=259236953.1516792059.1.1.utmcsr=wiki.blogun.ru|utmccn=(referral)|utmcmd=referral|utmcct=/%D0%9A%D0%B0%D0%BA_%D0%BD%D0%B0%D1%81%D1%82%D1%80%D0%BE%D0%B8%D1%82%D1%8C_API%3F; __utma=259236953.346602115.1516786915.1516792059.1516795794.2; id=277364; auth=5c1597890e9920a97683d94f70cb26d9dbee3e8c92233f35aa9758a514156388; forceVersion=regular; _gid=GA1.2.146131041.1516954866; _ym_isad=2; _ym_visorc_7262719=w; user=%7B%22userId%22%3A277364%2C%22accessToken%22%3A%224e56137656532f308d65ba2e57ac4165fa3b31aaf62266b8fcc6541b8bc2130c%22%2C%22refreshToken%22%3A%22b61b0d7dc2669811e188f6eebb28af220fdf655b51c77dc24f9c8c18ee1ef34f%22%2C%22expiresIn%22%3A1200%7D; lasturl=%2Fgetcode.php%3Fid%3D397467%26idblog%3D355268%26submenu%3D2%26menu%3Dtsk</t>
  </si>
  <si>
    <t>size=long&amp;blog=355268&amp;campaign=397467&amp;url=Test&amp;submit=%D0%92%D1%8B%D0%BF%D0%BE%D0%BB%D0%BD%D0%B5%D0%BD%D0%BE</t>
  </si>
  <si>
    <t>document.getElementsByClassName("idCampaign")[0].value</t>
  </si>
  <si>
    <t>ID компании на странице заявки</t>
  </si>
  <si>
    <t>Размер</t>
  </si>
  <si>
    <t>document.getElementsByClassName("bdp_a getcodeTestTask")[0].children[0].value</t>
  </si>
  <si>
    <t>ID блога</t>
  </si>
  <si>
    <t>document.getElementsByClassName("bdp_a getcodeTestTask")[0].children[1].value</t>
  </si>
  <si>
    <t>document.getElementsByClassName("bdp_a getcodeTestTask")[0].children[2].value</t>
  </si>
  <si>
    <t>54,15 грн.</t>
  </si>
  <si>
    <t xml:space="preserve">Группа компаний «QS» _x000D_
Оформление сертификатов и разрешительной документации </t>
  </si>
  <si>
    <t>&lt;a href="http://q-sys.ru/services/sertifikaty-i-deklaratsii/sertifikat-i-deklaratsiya-gost-r/sertifikat-sootvetstviya-gost-r"&gt;Сертификат и Декларация ГОСТ Р&lt;/a&gt;</t>
  </si>
  <si>
    <t>ID user</t>
  </si>
  <si>
    <t>URL заявки</t>
  </si>
  <si>
    <t>Кол-во заявок</t>
  </si>
  <si>
    <t>Дата создания</t>
  </si>
  <si>
    <t>Тип заявки</t>
  </si>
  <si>
    <t xml:space="preserve">Стоимость </t>
  </si>
  <si>
    <t>Комментарий</t>
  </si>
  <si>
    <t>Камапния</t>
  </si>
  <si>
    <t>Size</t>
  </si>
  <si>
    <t>Анкор1</t>
  </si>
  <si>
    <t>Анкор2</t>
  </si>
  <si>
    <t>IdBlog</t>
  </si>
  <si>
    <t>IdCamp</t>
  </si>
  <si>
    <t>long</t>
  </si>
  <si>
    <t>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</si>
</sst>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19]d\-mmm\-yyyy;@"/>
  </numFmts>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u/>
      <sz val="11"/>
      <color theme="10"/>
      <name val="Calibri"/>
      <family val="2"/>
      <charset val="204"/>
      <scheme val="minor"/>
    </font>
    <font>
      <sz val="11"/>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60">
    <xf numFmtId="0" fontId="0" fillId="0" borderId="0" xfId="0"/>
    <xf numFmtId="0" fontId="0" fillId="0" borderId="0" xfId="0" applyAlignment="1">
      <alignment horizontal="left"/>
    </xf>
    <xf numFmtId="0" fontId="4" fillId="0" borderId="0" xfId="0" applyFont="1"/>
    <xf numFmtId="14" fontId="4" fillId="0" borderId="0" xfId="0" applyNumberFormat="1" applyFont="1"/>
    <xf numFmtId="0" fontId="5" fillId="0" borderId="0" xfId="1" applyFont="1"/>
    <xf numFmtId="22" fontId="4" fillId="0" borderId="0" xfId="0" applyNumberFormat="1"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0" fillId="7" borderId="1" xfId="0" applyFont="1" applyFill="1" applyBorder="1" applyAlignment="1">
      <alignment horizontal="center" vertical="center"/>
    </xf>
    <xf numFmtId="0" fontId="9" fillId="0" borderId="1" xfId="0" applyFont="1" applyBorder="1" applyAlignment="1">
      <alignment horizontal="left" vertical="center"/>
    </xf>
    <xf numFmtId="0" fontId="2" fillId="6" borderId="3" xfId="0" applyFont="1" applyFill="1" applyBorder="1" applyAlignment="1">
      <alignment horizontal="center" vertical="center" wrapText="1"/>
    </xf>
    <xf numFmtId="0" fontId="0" fillId="15" borderId="7" xfId="0" applyFill="1" applyBorder="1"/>
    <xf numFmtId="0" fontId="0" fillId="6" borderId="5" xfId="0" applyFill="1" applyBorder="1"/>
    <xf numFmtId="0" fontId="0" fillId="0" borderId="8" xfId="0" applyBorder="1" applyAlignment="1">
      <alignment horizontal="center"/>
    </xf>
    <xf numFmtId="0" fontId="2" fillId="14"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6" borderId="3" xfId="0" applyFont="1" applyFill="1" applyBorder="1" applyAlignment="1">
      <alignment vertical="center"/>
    </xf>
    <xf numFmtId="0" fontId="7" fillId="4" borderId="1" xfId="0" applyFont="1" applyFill="1" applyBorder="1" applyAlignment="1">
      <alignment vertical="center"/>
    </xf>
    <xf numFmtId="0" fontId="7"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horizontal="center" vertical="center"/>
    </xf>
    <xf numFmtId="0" fontId="2" fillId="13" borderId="3" xfId="0" applyFont="1" applyFill="1" applyBorder="1" applyAlignment="1">
      <alignment vertical="center"/>
    </xf>
    <xf numFmtId="0" fontId="4" fillId="5" borderId="10" xfId="0" applyFont="1" applyFill="1" applyBorder="1"/>
    <xf numFmtId="0" fontId="4" fillId="5" borderId="11" xfId="0" applyFont="1" applyFill="1" applyBorder="1"/>
    <xf numFmtId="0" fontId="10" fillId="0" borderId="13" xfId="0" applyFont="1" applyBorder="1" applyAlignment="1">
      <alignment horizontal="center" vertical="center"/>
    </xf>
    <xf numFmtId="0" fontId="10" fillId="0" borderId="14" xfId="0" applyFont="1" applyBorder="1" applyAlignment="1">
      <alignment horizontal="center" vertical="center"/>
    </xf>
    <xf numFmtId="22" fontId="10" fillId="0" borderId="15" xfId="0" applyNumberFormat="1" applyFont="1" applyBorder="1" applyAlignment="1">
      <alignment horizontal="center" vertical="center"/>
    </xf>
    <xf numFmtId="22" fontId="0" fillId="0" borderId="0" xfId="0" applyNumberFormat="1"/>
    <xf numFmtId="0" fontId="4" fillId="0" borderId="0" xfId="0" applyFont="1" applyAlignment="1">
      <alignment wrapText="1"/>
    </xf>
    <xf numFmtId="0" fontId="2" fillId="0" borderId="1" xfId="0" applyFont="1" applyBorder="1"/>
    <xf numFmtId="0" fontId="0" fillId="2" borderId="1" xfId="0" applyFill="1" applyBorder="1" applyAlignment="1">
      <alignment horizontal="center" vertical="center"/>
    </xf>
    <xf numFmtId="0" fontId="0" fillId="17" borderId="1" xfId="0" applyFill="1" applyBorder="1" applyAlignment="1">
      <alignment horizontal="center" vertical="center"/>
    </xf>
    <xf numFmtId="0" fontId="0" fillId="18" borderId="1" xfId="0" applyFill="1" applyBorder="1" applyAlignment="1">
      <alignment horizontal="center" vertical="center"/>
    </xf>
    <xf numFmtId="0" fontId="0" fillId="0" borderId="0" xfId="0" applyAlignment="1">
      <alignment wrapText="1"/>
    </xf>
    <xf numFmtId="0" fontId="0" fillId="0" borderId="0" xfId="0" applyAlignment="1"/>
    <xf numFmtId="0" fontId="0" fillId="6" borderId="2"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0" fillId="0" borderId="19" xfId="0" applyBorder="1" applyAlignment="1">
      <alignment horizontal="left"/>
    </xf>
    <xf numFmtId="0" fontId="0" fillId="0" borderId="20" xfId="0" applyBorder="1" applyAlignment="1">
      <alignment horizontal="center"/>
    </xf>
    <xf numFmtId="0" fontId="0" fillId="5" borderId="1" xfId="0" applyFill="1" applyBorder="1" applyAlignment="1">
      <alignment horizontal="center" vertical="center"/>
    </xf>
    <xf numFmtId="0" fontId="0" fillId="0" borderId="18" xfId="0" applyBorder="1" applyAlignment="1">
      <alignment horizontal="center"/>
    </xf>
    <xf numFmtId="164" fontId="0" fillId="0" borderId="0" xfId="0" applyNumberFormat="1"/>
    <xf numFmtId="15" fontId="0" fillId="0" borderId="0" xfId="0" applyNumberFormat="1"/>
    <xf numFmtId="0" fontId="4" fillId="2" borderId="2" xfId="0" applyFont="1" applyFill="1" applyBorder="1" applyAlignment="1">
      <alignment horizontal="center"/>
    </xf>
    <xf numFmtId="0" fontId="4" fillId="2" borderId="12" xfId="0" applyFont="1" applyFill="1" applyBorder="1" applyAlignment="1">
      <alignment horizontal="center"/>
    </xf>
    <xf numFmtId="0" fontId="0" fillId="0" borderId="1" xfId="0" applyBorder="1" applyAlignment="1">
      <alignment horizontal="center" vertical="center"/>
    </xf>
    <xf numFmtId="0" fontId="6"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0</xdr:row>
          <xdr:rowOff>137160</xdr:rowOff>
        </xdr:from>
        <xdr:to>
          <xdr:col>3</xdr:col>
          <xdr:colOff>495300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3</xdr:row>
          <xdr:rowOff>38100</xdr:rowOff>
        </xdr:from>
        <xdr:to>
          <xdr:col>3</xdr:col>
          <xdr:colOff>449580</xdr:colOff>
          <xdr:row>5</xdr:row>
          <xdr:rowOff>7620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708660</xdr:colOff>
          <xdr:row>0</xdr:row>
          <xdr:rowOff>15240</xdr:rowOff>
        </xdr:from>
        <xdr:to>
          <xdr:col>8</xdr:col>
          <xdr:colOff>22860</xdr:colOff>
          <xdr:row>0</xdr:row>
          <xdr:rowOff>175260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Выгрузка заявок</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31"/>
  <sheetViews>
    <sheetView zoomScale="80" zoomScaleNormal="80" workbookViewId="0">
      <selection activeCell="D23" sqref="D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6" ht="15" thickBot="1" x14ac:dyDescent="0.35">
      <c r="A1" s="56" t="str">
        <f xml:space="preserve"> "Авторизация: " &amp; F2</f>
        <v>Авторизация: Максим</v>
      </c>
      <c r="B1" s="57"/>
      <c r="E1" s="11" t="s">
        <v>66</v>
      </c>
      <c r="F1" s="11" t="s">
        <v>47</v>
      </c>
    </row>
    <row r="2" spans="1:16" ht="15.6" x14ac:dyDescent="0.3">
      <c r="A2" s="34" t="s">
        <v>4</v>
      </c>
      <c r="B2" s="36" t="b">
        <v>1</v>
      </c>
      <c r="E2" s="41" t="s">
        <v>67</v>
      </c>
      <c r="F2" s="12" t="s">
        <v>58</v>
      </c>
    </row>
    <row r="3" spans="1:16" x14ac:dyDescent="0.3">
      <c r="A3" s="34" t="s">
        <v>5</v>
      </c>
      <c r="B3" s="37" t="s">
        <v>59</v>
      </c>
    </row>
    <row r="4" spans="1:16" ht="15" thickBot="1" x14ac:dyDescent="0.35">
      <c r="A4" s="35" t="s">
        <v>6</v>
      </c>
      <c r="B4" s="38">
        <v>43045.976388888892</v>
      </c>
      <c r="C4" s="3"/>
      <c r="E4" s="4"/>
    </row>
    <row r="5" spans="1:16" x14ac:dyDescent="0.3">
      <c r="C5" s="5"/>
    </row>
    <row r="7" spans="1:16" x14ac:dyDescent="0.3">
      <c r="A7" s="2" t="s">
        <v>7</v>
      </c>
      <c r="B7" s="1">
        <v>28498124</v>
      </c>
      <c r="C7" s="1">
        <v>28498685</v>
      </c>
      <c r="D7" s="1">
        <v>28499476</v>
      </c>
      <c r="E7"/>
      <c r="F7"/>
      <c r="G7"/>
      <c r="H7"/>
      <c r="I7"/>
      <c r="J7"/>
      <c r="K7" s="1"/>
      <c r="L7"/>
      <c r="M7"/>
      <c r="N7"/>
      <c r="O7"/>
      <c r="P7"/>
    </row>
    <row r="8" spans="1:16" x14ac:dyDescent="0.3">
      <c r="A8" s="2" t="s">
        <v>8</v>
      </c>
      <c r="B8" s="1" t="s">
        <v>28</v>
      </c>
      <c r="C8" s="1" t="s">
        <v>28</v>
      </c>
      <c r="D8" s="1" t="s">
        <v>28</v>
      </c>
      <c r="E8"/>
      <c r="F8"/>
      <c r="G8"/>
      <c r="H8"/>
      <c r="I8"/>
      <c r="J8"/>
      <c r="K8" s="1"/>
      <c r="L8"/>
      <c r="M8"/>
      <c r="N8"/>
      <c r="O8"/>
      <c r="P8"/>
    </row>
    <row r="9" spans="1:16" x14ac:dyDescent="0.3">
      <c r="A9" s="2" t="s">
        <v>9</v>
      </c>
      <c r="B9" s="1" t="s">
        <v>68</v>
      </c>
      <c r="C9" s="1" t="s">
        <v>75</v>
      </c>
      <c r="D9" s="1" t="s">
        <v>81</v>
      </c>
      <c r="E9"/>
      <c r="F9"/>
      <c r="G9"/>
      <c r="H9"/>
      <c r="I9"/>
      <c r="J9"/>
      <c r="K9" s="1"/>
      <c r="L9"/>
      <c r="M9"/>
      <c r="N9"/>
      <c r="O9"/>
      <c r="P9"/>
    </row>
    <row r="10" spans="1:16" x14ac:dyDescent="0.3">
      <c r="A10" s="2" t="s">
        <v>10</v>
      </c>
      <c r="B10" s="1" t="s">
        <v>69</v>
      </c>
      <c r="C10" s="1"/>
      <c r="D10" s="1" t="s">
        <v>60</v>
      </c>
      <c r="E10"/>
      <c r="F10"/>
      <c r="G10"/>
      <c r="H10"/>
      <c r="I10"/>
      <c r="J10"/>
      <c r="K10" s="1"/>
      <c r="L10"/>
      <c r="M10"/>
      <c r="N10"/>
      <c r="O10"/>
      <c r="P10"/>
    </row>
    <row r="11" spans="1:16" x14ac:dyDescent="0.3">
      <c r="A11" s="2" t="s">
        <v>11</v>
      </c>
      <c r="B11" s="1" t="s">
        <v>70</v>
      </c>
      <c r="C11" s="1" t="s">
        <v>76</v>
      </c>
      <c r="D11" s="1" t="s">
        <v>82</v>
      </c>
      <c r="E11"/>
      <c r="F11"/>
      <c r="G11"/>
      <c r="H11"/>
      <c r="I11"/>
      <c r="J11"/>
      <c r="K11" s="1"/>
      <c r="L11"/>
      <c r="M11"/>
      <c r="N11"/>
      <c r="O11"/>
      <c r="P11"/>
    </row>
    <row r="12" spans="1:16" x14ac:dyDescent="0.3">
      <c r="A12" s="2" t="s">
        <v>12</v>
      </c>
      <c r="B12" s="1"/>
      <c r="C12" s="1"/>
      <c r="D12" s="1"/>
      <c r="E12"/>
      <c r="F12"/>
      <c r="G12"/>
      <c r="H12"/>
      <c r="I12"/>
      <c r="J12"/>
      <c r="K12" s="1"/>
      <c r="L12"/>
      <c r="M12"/>
      <c r="N12"/>
      <c r="O12"/>
      <c r="P12"/>
    </row>
    <row r="13" spans="1:16" x14ac:dyDescent="0.3">
      <c r="A13" s="2" t="s">
        <v>13</v>
      </c>
      <c r="B13" s="1">
        <v>79</v>
      </c>
      <c r="C13" s="1">
        <v>100</v>
      </c>
      <c r="D13" s="1">
        <v>100</v>
      </c>
      <c r="E13"/>
      <c r="F13"/>
      <c r="G13"/>
      <c r="H13"/>
      <c r="I13"/>
      <c r="J13"/>
      <c r="K13" s="1"/>
      <c r="L13"/>
      <c r="M13"/>
      <c r="N13"/>
      <c r="O13"/>
      <c r="P13"/>
    </row>
    <row r="14" spans="1:16" x14ac:dyDescent="0.3">
      <c r="A14" s="2" t="s">
        <v>14</v>
      </c>
      <c r="B14" s="1" t="s">
        <v>71</v>
      </c>
      <c r="C14" s="1" t="s">
        <v>77</v>
      </c>
      <c r="D14" s="1" t="s">
        <v>83</v>
      </c>
      <c r="E14"/>
      <c r="F14"/>
      <c r="G14"/>
      <c r="H14"/>
      <c r="I14"/>
      <c r="J14"/>
      <c r="K14" s="1"/>
      <c r="L14"/>
      <c r="M14"/>
      <c r="N14"/>
      <c r="O14"/>
      <c r="P14"/>
    </row>
    <row r="15" spans="1:16" x14ac:dyDescent="0.3">
      <c r="A15" s="2" t="s">
        <v>15</v>
      </c>
      <c r="B15" s="1" t="s">
        <v>72</v>
      </c>
      <c r="C15" s="1" t="s">
        <v>78</v>
      </c>
      <c r="D15" s="1" t="s">
        <v>84</v>
      </c>
      <c r="E15"/>
      <c r="F15"/>
      <c r="G15"/>
      <c r="H15"/>
      <c r="I15"/>
      <c r="J15"/>
      <c r="K15" s="1"/>
      <c r="L15"/>
      <c r="M15"/>
      <c r="N15"/>
      <c r="O15"/>
      <c r="P15"/>
    </row>
    <row r="16" spans="1:16" x14ac:dyDescent="0.3">
      <c r="A16" s="2" t="s">
        <v>16</v>
      </c>
      <c r="B16" s="1"/>
      <c r="C16" s="1"/>
      <c r="D16" s="1"/>
      <c r="E16"/>
      <c r="F16"/>
      <c r="G16"/>
      <c r="H16"/>
      <c r="I16"/>
      <c r="J16"/>
      <c r="K16" s="1"/>
      <c r="L16"/>
      <c r="M16"/>
      <c r="N16"/>
      <c r="O16"/>
      <c r="P16"/>
    </row>
    <row r="17" spans="1:16" x14ac:dyDescent="0.3">
      <c r="A17" s="2" t="s">
        <v>17</v>
      </c>
      <c r="B17" s="1"/>
      <c r="C17" s="1"/>
      <c r="D17" s="1"/>
      <c r="E17"/>
      <c r="F17"/>
      <c r="G17"/>
      <c r="H17"/>
      <c r="I17"/>
      <c r="J17"/>
      <c r="K17" s="1"/>
      <c r="L17"/>
      <c r="M17"/>
      <c r="N17"/>
      <c r="O17"/>
      <c r="P17"/>
    </row>
    <row r="18" spans="1:16" x14ac:dyDescent="0.3">
      <c r="A18" s="2" t="s">
        <v>18</v>
      </c>
      <c r="B18" s="1"/>
      <c r="C18" s="1"/>
      <c r="D18" s="1"/>
      <c r="E18"/>
      <c r="F18"/>
      <c r="G18"/>
      <c r="H18"/>
      <c r="I18"/>
      <c r="J18"/>
      <c r="K18" s="1"/>
      <c r="L18"/>
      <c r="M18"/>
      <c r="N18"/>
      <c r="O18"/>
      <c r="P18"/>
    </row>
    <row r="19" spans="1:16" x14ac:dyDescent="0.3">
      <c r="A19" s="2" t="s">
        <v>19</v>
      </c>
      <c r="B19" s="1">
        <v>0</v>
      </c>
      <c r="C19" s="1">
        <v>0</v>
      </c>
      <c r="D19" s="1">
        <v>0</v>
      </c>
      <c r="E19"/>
      <c r="F19"/>
      <c r="G19"/>
      <c r="H19"/>
      <c r="I19"/>
      <c r="J19"/>
      <c r="K19" s="1"/>
      <c r="L19"/>
      <c r="M19"/>
      <c r="N19"/>
      <c r="O19"/>
      <c r="P19"/>
    </row>
    <row r="20" spans="1:16" x14ac:dyDescent="0.3">
      <c r="A20" s="2" t="s">
        <v>20</v>
      </c>
      <c r="B20" s="1">
        <v>0</v>
      </c>
      <c r="C20" s="1">
        <v>0</v>
      </c>
      <c r="D20" s="1">
        <v>0</v>
      </c>
      <c r="E20"/>
      <c r="F20"/>
      <c r="G20"/>
      <c r="H20"/>
      <c r="I20"/>
      <c r="J20"/>
      <c r="K20" s="1"/>
      <c r="L20"/>
      <c r="M20"/>
      <c r="N20"/>
      <c r="O20"/>
      <c r="P20"/>
    </row>
    <row r="21" spans="1:16" x14ac:dyDescent="0.3">
      <c r="A21" s="2" t="s">
        <v>21</v>
      </c>
      <c r="B21" s="1" t="s">
        <v>73</v>
      </c>
      <c r="C21" s="1" t="s">
        <v>79</v>
      </c>
      <c r="D21" s="1" t="s">
        <v>85</v>
      </c>
      <c r="E21"/>
      <c r="F21"/>
      <c r="G21"/>
      <c r="H21"/>
      <c r="I21"/>
      <c r="J21"/>
      <c r="K21" s="1"/>
      <c r="L21"/>
      <c r="M21"/>
      <c r="N21"/>
      <c r="O21"/>
      <c r="P21"/>
    </row>
    <row r="22" spans="1:16" x14ac:dyDescent="0.3">
      <c r="A22" s="2" t="s">
        <v>22</v>
      </c>
      <c r="B22" s="1" t="b">
        <v>0</v>
      </c>
      <c r="C22" s="1" t="b">
        <v>0</v>
      </c>
      <c r="D22" s="1" t="b">
        <v>0</v>
      </c>
      <c r="E22"/>
      <c r="F22"/>
      <c r="G22"/>
      <c r="H22"/>
      <c r="I22"/>
      <c r="J22"/>
      <c r="K22" s="1"/>
      <c r="L22"/>
      <c r="M22"/>
      <c r="N22"/>
      <c r="O22"/>
      <c r="P22"/>
    </row>
    <row r="23" spans="1:16" x14ac:dyDescent="0.3">
      <c r="A23" s="2" t="s">
        <v>23</v>
      </c>
      <c r="B23" s="1"/>
      <c r="C23" s="1"/>
      <c r="D23" s="1"/>
      <c r="E23"/>
      <c r="F23"/>
      <c r="G23"/>
      <c r="H23"/>
      <c r="I23"/>
      <c r="J23"/>
      <c r="K23" s="1"/>
      <c r="L23"/>
      <c r="M23"/>
      <c r="N23"/>
      <c r="O23"/>
      <c r="P23"/>
    </row>
    <row r="24" spans="1:16" x14ac:dyDescent="0.3">
      <c r="A24" s="2" t="s">
        <v>0</v>
      </c>
      <c r="B24" s="1" t="s">
        <v>74</v>
      </c>
      <c r="C24" s="1" t="s">
        <v>80</v>
      </c>
      <c r="D24" s="1" t="s">
        <v>86</v>
      </c>
      <c r="E24"/>
      <c r="F24"/>
      <c r="G24"/>
      <c r="H24"/>
      <c r="I24"/>
      <c r="J24"/>
      <c r="K24" s="1"/>
      <c r="L24"/>
      <c r="M24"/>
      <c r="N24"/>
      <c r="O24"/>
      <c r="P24"/>
    </row>
    <row r="25" spans="1:16" x14ac:dyDescent="0.3">
      <c r="A25" s="6" t="s">
        <v>1</v>
      </c>
      <c r="B25" t="s">
        <v>88</v>
      </c>
      <c r="C25" t="s">
        <v>116</v>
      </c>
      <c r="D25" t="s">
        <v>95</v>
      </c>
      <c r="E25"/>
      <c r="F25"/>
      <c r="G25"/>
      <c r="H25"/>
      <c r="I25"/>
      <c r="J25"/>
      <c r="K25"/>
      <c r="L25"/>
      <c r="M25"/>
      <c r="N25"/>
      <c r="O25"/>
      <c r="P25"/>
    </row>
    <row r="26" spans="1:16" x14ac:dyDescent="0.3">
      <c r="A26" s="6" t="s">
        <v>33</v>
      </c>
      <c r="B26" t="s">
        <v>68</v>
      </c>
      <c r="C26" t="s">
        <v>75</v>
      </c>
      <c r="D26" t="s">
        <v>81</v>
      </c>
      <c r="E26"/>
      <c r="F26"/>
      <c r="G26"/>
      <c r="H26"/>
      <c r="I26"/>
      <c r="J26"/>
      <c r="K26"/>
      <c r="L26"/>
      <c r="M26"/>
      <c r="N26"/>
      <c r="O26"/>
      <c r="P26"/>
    </row>
    <row r="27" spans="1:16" x14ac:dyDescent="0.3">
      <c r="A27" s="6" t="s">
        <v>46</v>
      </c>
      <c r="B27" s="1" t="s">
        <v>89</v>
      </c>
      <c r="C27" s="1" t="s">
        <v>90</v>
      </c>
      <c r="D27" s="1" t="s">
        <v>96</v>
      </c>
      <c r="E27"/>
      <c r="F27"/>
      <c r="G27"/>
      <c r="H27"/>
      <c r="I27"/>
      <c r="J27"/>
      <c r="K27" s="1"/>
      <c r="L27"/>
      <c r="M27"/>
      <c r="N27"/>
      <c r="O27"/>
      <c r="P27"/>
    </row>
    <row r="28" spans="1:16" x14ac:dyDescent="0.3">
      <c r="A28" s="6" t="s">
        <v>55</v>
      </c>
      <c r="B28" t="s">
        <v>56</v>
      </c>
      <c r="C28" t="s">
        <v>56</v>
      </c>
      <c r="D28" t="s">
        <v>56</v>
      </c>
      <c r="E28"/>
      <c r="F28"/>
      <c r="G28"/>
      <c r="H28"/>
      <c r="I28"/>
      <c r="J28"/>
      <c r="K28"/>
      <c r="L28"/>
      <c r="M28"/>
      <c r="N28"/>
      <c r="O28"/>
      <c r="P28"/>
    </row>
    <row r="29" spans="1:16" x14ac:dyDescent="0.3">
      <c r="B29"/>
      <c r="C29"/>
      <c r="D29"/>
      <c r="E29"/>
      <c r="F29"/>
      <c r="G29"/>
      <c r="H29"/>
      <c r="I29"/>
      <c r="J29"/>
      <c r="K29"/>
      <c r="L29"/>
      <c r="M29"/>
    </row>
    <row r="30" spans="1:16" x14ac:dyDescent="0.3">
      <c r="E30" s="40"/>
    </row>
    <row r="31" spans="1:16" x14ac:dyDescent="0.3">
      <c r="B31" s="40"/>
      <c r="E31" s="40"/>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312420</xdr:colOff>
                    <xdr:row>0</xdr:row>
                    <xdr:rowOff>137160</xdr:rowOff>
                  </from>
                  <to>
                    <xdr:col>3</xdr:col>
                    <xdr:colOff>495300</xdr:colOff>
                    <xdr:row>2</xdr:row>
                    <xdr:rowOff>76200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198120</xdr:colOff>
                    <xdr:row>3</xdr:row>
                    <xdr:rowOff>38100</xdr:rowOff>
                  </from>
                  <to>
                    <xdr:col>3</xdr:col>
                    <xdr:colOff>449580</xdr:colOff>
                    <xdr:row>5</xdr:row>
                    <xdr:rowOff>7620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C19" sqref="C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s>
  <sheetData>
    <row r="1" spans="1:23" ht="32.25" customHeight="1" thickBot="1" x14ac:dyDescent="0.35">
      <c r="A1" s="59" t="s">
        <v>36</v>
      </c>
      <c r="B1" s="59"/>
      <c r="C1" s="27" t="s">
        <v>42</v>
      </c>
      <c r="D1" s="28"/>
      <c r="L1" s="13" t="s">
        <v>48</v>
      </c>
    </row>
    <row r="2" spans="1:23" s="22" customFormat="1" ht="31.5" customHeight="1" thickBot="1" x14ac:dyDescent="0.35">
      <c r="A2" s="58" t="s">
        <v>91</v>
      </c>
      <c r="B2" s="58"/>
      <c r="C2" s="29">
        <f>COUNTA(A:A)-2</f>
        <v>5</v>
      </c>
      <c r="D2" s="30"/>
      <c r="E2" s="17" t="s">
        <v>50</v>
      </c>
      <c r="F2" s="18" t="s">
        <v>25</v>
      </c>
      <c r="G2" s="19" t="s">
        <v>49</v>
      </c>
      <c r="H2" s="20" t="s">
        <v>26</v>
      </c>
      <c r="I2" s="26" t="s">
        <v>57</v>
      </c>
      <c r="J2" s="21" t="s">
        <v>24</v>
      </c>
      <c r="L2" s="25" t="s">
        <v>2</v>
      </c>
      <c r="N2" s="23" t="s">
        <v>27</v>
      </c>
      <c r="P2" s="24" t="s">
        <v>3</v>
      </c>
      <c r="R2" s="31" t="s">
        <v>34</v>
      </c>
      <c r="T2" s="32" t="s">
        <v>35</v>
      </c>
      <c r="V2" s="33" t="s">
        <v>41</v>
      </c>
    </row>
    <row r="3" spans="1:23" x14ac:dyDescent="0.3">
      <c r="A3">
        <v>28495372</v>
      </c>
      <c r="E3" t="s">
        <v>61</v>
      </c>
      <c r="G3" s="39">
        <v>43032.455555555556</v>
      </c>
      <c r="I3" t="s">
        <v>56</v>
      </c>
      <c r="L3" s="1" t="s">
        <v>103</v>
      </c>
      <c r="R3" t="s">
        <v>102</v>
      </c>
      <c r="T3" t="s">
        <v>104</v>
      </c>
      <c r="V3" t="b">
        <v>1</v>
      </c>
      <c r="W3" s="8"/>
    </row>
    <row r="4" spans="1:23" x14ac:dyDescent="0.3">
      <c r="A4" t="s">
        <v>97</v>
      </c>
      <c r="F4" s="1" t="s">
        <v>98</v>
      </c>
      <c r="H4" s="1" t="s">
        <v>99</v>
      </c>
      <c r="J4" s="1" t="s">
        <v>100</v>
      </c>
      <c r="L4" s="1" t="s">
        <v>102</v>
      </c>
      <c r="N4" s="1" t="s">
        <v>101</v>
      </c>
      <c r="P4" s="1">
        <v>100</v>
      </c>
      <c r="W4" s="8"/>
    </row>
    <row r="5" spans="1:23" x14ac:dyDescent="0.3">
      <c r="A5">
        <v>28496694</v>
      </c>
      <c r="E5" t="s">
        <v>62</v>
      </c>
      <c r="G5" s="39">
        <v>43033.393750000003</v>
      </c>
      <c r="I5" t="s">
        <v>56</v>
      </c>
      <c r="L5" s="1" t="s">
        <v>105</v>
      </c>
      <c r="T5" t="s">
        <v>106</v>
      </c>
      <c r="V5" t="s">
        <v>115</v>
      </c>
      <c r="W5" s="8"/>
    </row>
    <row r="6" spans="1:23" x14ac:dyDescent="0.3">
      <c r="A6">
        <v>28497235</v>
      </c>
      <c r="E6" t="s">
        <v>65</v>
      </c>
      <c r="G6" s="39">
        <v>43033.679861111108</v>
      </c>
      <c r="I6" t="s">
        <v>56</v>
      </c>
      <c r="L6" s="1" t="s">
        <v>113</v>
      </c>
      <c r="R6" t="s">
        <v>112</v>
      </c>
      <c r="T6" t="s">
        <v>114</v>
      </c>
      <c r="V6" t="b">
        <v>1</v>
      </c>
      <c r="W6" s="8"/>
    </row>
    <row r="7" spans="1:23" x14ac:dyDescent="0.3">
      <c r="A7" t="s">
        <v>107</v>
      </c>
      <c r="F7" s="1" t="s">
        <v>108</v>
      </c>
      <c r="H7" s="1" t="s">
        <v>109</v>
      </c>
      <c r="J7" s="1" t="s">
        <v>110</v>
      </c>
      <c r="L7" s="1" t="s">
        <v>112</v>
      </c>
      <c r="N7" s="1" t="s">
        <v>111</v>
      </c>
      <c r="P7" s="1">
        <v>89.3</v>
      </c>
      <c r="W7" s="8"/>
    </row>
    <row r="8" spans="1:23" x14ac:dyDescent="0.3">
      <c r="W8" s="8"/>
    </row>
    <row r="9" spans="1:23" x14ac:dyDescent="0.3">
      <c r="A9" s="8"/>
      <c r="B9" s="8"/>
      <c r="C9" s="8"/>
      <c r="D9" s="8"/>
      <c r="E9" s="8"/>
      <c r="F9" s="8"/>
      <c r="G9" s="8"/>
      <c r="H9" s="8"/>
      <c r="I9" s="8"/>
      <c r="J9" s="8"/>
      <c r="K9" s="8"/>
      <c r="L9" s="8"/>
      <c r="M9" s="8"/>
      <c r="N9" s="8"/>
      <c r="O9" s="8"/>
      <c r="P9" s="8"/>
      <c r="Q9" s="8"/>
      <c r="R9" s="8"/>
      <c r="S9" s="8"/>
      <c r="T9" s="8"/>
      <c r="U9" s="8"/>
      <c r="V9" s="8"/>
      <c r="W9" s="8"/>
    </row>
    <row r="10" spans="1:23" x14ac:dyDescent="0.3">
      <c r="A10" s="8"/>
      <c r="B10" s="8"/>
      <c r="C10" s="8"/>
      <c r="D10" s="8"/>
      <c r="E10" s="8"/>
      <c r="F10" s="8"/>
      <c r="G10" s="8"/>
      <c r="H10" s="8"/>
      <c r="I10" s="8"/>
      <c r="J10" s="8"/>
      <c r="K10" s="8"/>
      <c r="L10" s="8"/>
      <c r="M10" s="8"/>
      <c r="N10" s="8"/>
      <c r="O10" s="8"/>
      <c r="P10" s="8"/>
      <c r="Q10" s="8"/>
      <c r="R10" s="8"/>
      <c r="S10" s="8"/>
      <c r="T10" s="8"/>
      <c r="U10" s="8"/>
      <c r="V10" s="8"/>
      <c r="W10" s="8"/>
    </row>
    <row r="11" spans="1:23" x14ac:dyDescent="0.3">
      <c r="A11" s="8"/>
      <c r="B11" s="8"/>
      <c r="C11" s="8"/>
      <c r="D11" s="8"/>
      <c r="E11" s="8"/>
      <c r="F11" s="8"/>
      <c r="G11" s="8"/>
      <c r="H11" s="8"/>
      <c r="I11" s="8"/>
      <c r="J11" s="8"/>
      <c r="K11" s="8"/>
      <c r="L11" s="8"/>
      <c r="M11" s="8"/>
      <c r="N11" s="8"/>
      <c r="O11" s="8"/>
      <c r="P11" s="8"/>
      <c r="Q11" s="8"/>
      <c r="R11" s="8"/>
      <c r="S11" s="8"/>
      <c r="T11" s="8"/>
      <c r="U11" s="8"/>
      <c r="V11" s="8"/>
      <c r="W11" s="8"/>
    </row>
    <row r="12" spans="1:23" x14ac:dyDescent="0.3">
      <c r="A12" s="8"/>
      <c r="B12" s="8"/>
      <c r="C12" s="8"/>
      <c r="D12" s="8"/>
      <c r="E12" s="8"/>
      <c r="F12" s="8"/>
      <c r="G12" s="8"/>
      <c r="H12" s="8"/>
      <c r="I12" s="8"/>
      <c r="J12" s="8"/>
      <c r="K12" s="8"/>
      <c r="L12" s="8"/>
      <c r="M12" s="8"/>
      <c r="N12" s="8"/>
      <c r="O12" s="8"/>
      <c r="P12" s="8"/>
      <c r="Q12" s="8"/>
      <c r="R12" s="8"/>
      <c r="S12" s="8"/>
      <c r="T12" s="8"/>
      <c r="U12" s="8"/>
      <c r="V12" s="8"/>
      <c r="W12" s="8"/>
    </row>
    <row r="13" spans="1:23" x14ac:dyDescent="0.3">
      <c r="A13" s="8"/>
      <c r="B13" s="8"/>
      <c r="C13" s="8"/>
      <c r="D13" s="8"/>
      <c r="E13" s="8"/>
      <c r="F13" s="8"/>
      <c r="G13" s="8"/>
      <c r="H13" s="8"/>
      <c r="I13" s="8"/>
      <c r="J13" s="8"/>
      <c r="K13" s="8"/>
      <c r="L13" s="8"/>
      <c r="M13" s="8"/>
      <c r="N13" s="8"/>
      <c r="O13" s="8"/>
      <c r="P13" s="8"/>
      <c r="Q13" s="8"/>
      <c r="R13" s="8"/>
      <c r="S13" s="8"/>
      <c r="T13" s="8"/>
      <c r="U13" s="8"/>
      <c r="V13" s="8"/>
      <c r="W13" s="8"/>
    </row>
    <row r="14" spans="1:23" x14ac:dyDescent="0.3">
      <c r="A14" s="8"/>
      <c r="B14" s="8"/>
      <c r="C14" s="8"/>
      <c r="D14" s="8"/>
      <c r="E14" s="8"/>
      <c r="F14" s="8"/>
      <c r="G14" s="8"/>
      <c r="H14" s="8"/>
      <c r="I14" s="8"/>
      <c r="J14" s="8"/>
      <c r="K14" s="8"/>
      <c r="L14" s="8"/>
      <c r="M14" s="8"/>
      <c r="N14" s="8"/>
      <c r="O14" s="8"/>
      <c r="P14" s="8"/>
      <c r="Q14" s="8"/>
      <c r="R14" s="8"/>
      <c r="S14" s="8"/>
      <c r="T14" s="8"/>
      <c r="U14" s="8"/>
      <c r="V14" s="8"/>
      <c r="W14" s="8"/>
    </row>
    <row r="15" spans="1:23" x14ac:dyDescent="0.3">
      <c r="A15" s="8"/>
      <c r="B15" s="8"/>
      <c r="C15" s="8"/>
      <c r="D15" s="8"/>
      <c r="E15" s="8"/>
      <c r="F15" s="8"/>
      <c r="G15" s="8"/>
      <c r="H15" s="8"/>
      <c r="I15" s="8"/>
      <c r="J15" s="8"/>
      <c r="K15" s="8"/>
      <c r="L15" s="8"/>
      <c r="M15" s="8"/>
      <c r="N15" s="8"/>
      <c r="O15" s="8"/>
      <c r="P15" s="8"/>
      <c r="Q15" s="8"/>
      <c r="R15" s="8"/>
      <c r="S15" s="8"/>
      <c r="T15" s="8"/>
      <c r="U15" s="8"/>
      <c r="V15" s="8"/>
      <c r="W15" s="8"/>
    </row>
    <row r="16" spans="1:23" x14ac:dyDescent="0.3">
      <c r="A16" s="8"/>
      <c r="B16" s="8"/>
      <c r="C16" s="8"/>
      <c r="D16" s="8"/>
      <c r="E16" s="8"/>
      <c r="F16" s="8"/>
      <c r="G16" s="8"/>
      <c r="H16" s="8"/>
      <c r="I16" s="8"/>
      <c r="J16" s="8"/>
      <c r="K16" s="8"/>
      <c r="L16" s="8"/>
      <c r="M16" s="8"/>
      <c r="N16" s="8"/>
      <c r="O16" s="8"/>
      <c r="P16" s="8"/>
      <c r="Q16" s="8"/>
      <c r="R16" s="8"/>
      <c r="S16" s="8"/>
      <c r="T16" s="8"/>
      <c r="U16" s="8"/>
      <c r="V16" s="8"/>
      <c r="W16" s="8"/>
    </row>
    <row r="17" spans="1:23" x14ac:dyDescent="0.3">
      <c r="A17" s="8"/>
      <c r="B17" s="8"/>
      <c r="C17" s="8"/>
      <c r="D17" s="8"/>
      <c r="E17" s="8"/>
      <c r="F17" s="8"/>
      <c r="G17" s="8"/>
      <c r="H17" s="8"/>
      <c r="I17" s="8"/>
      <c r="J17" s="8"/>
      <c r="K17" s="8"/>
      <c r="L17" s="8"/>
      <c r="M17" s="8"/>
      <c r="N17" s="8"/>
      <c r="O17" s="8"/>
      <c r="P17" s="8"/>
      <c r="Q17" s="8"/>
      <c r="R17" s="8"/>
      <c r="S17" s="8"/>
      <c r="T17" s="8"/>
      <c r="U17" s="8"/>
      <c r="V17" s="8"/>
      <c r="W17" s="8"/>
    </row>
    <row r="18" spans="1:23" x14ac:dyDescent="0.3">
      <c r="A18" s="8"/>
      <c r="B18" s="8"/>
      <c r="C18" s="8"/>
      <c r="D18" s="8"/>
      <c r="E18" s="8"/>
      <c r="F18" s="8"/>
      <c r="G18" s="8"/>
      <c r="H18" s="8"/>
      <c r="I18" s="8"/>
      <c r="J18" s="8"/>
      <c r="K18" s="8"/>
      <c r="L18" s="8"/>
      <c r="M18" s="8"/>
      <c r="N18" s="8"/>
      <c r="O18" s="8"/>
      <c r="P18" s="8"/>
      <c r="Q18" s="8"/>
      <c r="R18" s="8"/>
      <c r="S18" s="8"/>
      <c r="T18" s="8"/>
      <c r="U18" s="8"/>
      <c r="V18" s="8"/>
      <c r="W18" s="8"/>
    </row>
    <row r="19" spans="1:23" x14ac:dyDescent="0.3">
      <c r="A19" s="8"/>
      <c r="B19" s="8"/>
      <c r="C19" s="8"/>
      <c r="D19" s="8"/>
      <c r="E19" s="8"/>
      <c r="F19" s="8"/>
      <c r="G19" s="8"/>
      <c r="H19" s="8"/>
      <c r="I19" s="8"/>
      <c r="J19" s="8"/>
      <c r="K19" s="8"/>
      <c r="L19" s="8"/>
      <c r="M19" s="8"/>
      <c r="N19" s="8"/>
      <c r="O19" s="8"/>
      <c r="P19" s="8"/>
      <c r="Q19" s="8"/>
      <c r="R19" s="8"/>
      <c r="S19" s="8"/>
      <c r="T19" s="8"/>
      <c r="U19" s="8"/>
      <c r="V19" s="8"/>
      <c r="W19" s="8"/>
    </row>
    <row r="20" spans="1:23" x14ac:dyDescent="0.3">
      <c r="A20" s="8"/>
      <c r="B20" s="8"/>
      <c r="C20" s="8"/>
      <c r="D20" s="8"/>
      <c r="E20" s="8"/>
      <c r="F20" s="8"/>
      <c r="G20" s="8"/>
      <c r="H20" s="8"/>
      <c r="I20" s="8"/>
      <c r="J20" s="8"/>
      <c r="K20" s="8"/>
      <c r="L20" s="8"/>
      <c r="M20" s="8"/>
      <c r="N20" s="8"/>
      <c r="O20" s="8"/>
      <c r="P20" s="8"/>
      <c r="Q20" s="8"/>
      <c r="R20" s="8"/>
      <c r="S20" s="8"/>
      <c r="T20" s="8"/>
      <c r="U20" s="8"/>
      <c r="V20" s="8"/>
      <c r="W20" s="8"/>
    </row>
    <row r="21" spans="1:23" x14ac:dyDescent="0.3">
      <c r="A21" s="8"/>
      <c r="B21" s="8"/>
      <c r="C21" s="8"/>
      <c r="D21" s="8"/>
      <c r="E21" s="8"/>
      <c r="F21" s="8"/>
      <c r="G21" s="8"/>
      <c r="H21" s="8"/>
      <c r="I21" s="8"/>
      <c r="J21" s="8"/>
      <c r="K21" s="8"/>
      <c r="L21" s="8"/>
      <c r="M21" s="8"/>
      <c r="N21" s="8"/>
      <c r="O21" s="8"/>
      <c r="P21" s="8"/>
      <c r="Q21" s="8"/>
      <c r="R21" s="8"/>
      <c r="S21" s="8"/>
      <c r="T21" s="8"/>
      <c r="U21" s="8"/>
      <c r="V21" s="8"/>
      <c r="W21" s="8"/>
    </row>
    <row r="22" spans="1:23" x14ac:dyDescent="0.3">
      <c r="A22" s="8"/>
      <c r="B22" s="8"/>
      <c r="C22" s="8"/>
      <c r="D22" s="8"/>
      <c r="E22" s="8"/>
      <c r="F22" s="8"/>
      <c r="G22" s="8"/>
      <c r="H22" s="8"/>
      <c r="I22" s="8"/>
      <c r="J22" s="8"/>
      <c r="K22" s="8"/>
      <c r="L22" s="8"/>
      <c r="M22" s="8"/>
      <c r="N22" s="8"/>
      <c r="O22" s="8"/>
      <c r="P22" s="8"/>
      <c r="Q22" s="8"/>
      <c r="R22" s="8"/>
      <c r="S22" s="8"/>
      <c r="T22" s="8"/>
      <c r="U22" s="8"/>
      <c r="V22" s="8"/>
      <c r="W22" s="8"/>
    </row>
    <row r="23" spans="1:23" x14ac:dyDescent="0.3">
      <c r="A23" s="8"/>
      <c r="B23" s="8"/>
      <c r="C23" s="8"/>
      <c r="D23" s="8"/>
      <c r="E23" s="8"/>
      <c r="F23" s="8"/>
      <c r="G23" s="8"/>
      <c r="H23" s="8"/>
      <c r="I23" s="8"/>
      <c r="J23" s="8"/>
      <c r="K23" s="8"/>
      <c r="L23" s="8"/>
      <c r="M23" s="8"/>
      <c r="N23" s="8"/>
      <c r="O23" s="8"/>
      <c r="P23" s="8"/>
      <c r="Q23" s="8"/>
      <c r="R23" s="8"/>
      <c r="S23" s="8"/>
      <c r="T23" s="8"/>
      <c r="U23" s="8"/>
      <c r="V23" s="8"/>
      <c r="W23" s="8"/>
    </row>
    <row r="24" spans="1:23" x14ac:dyDescent="0.3">
      <c r="A24" s="8"/>
      <c r="B24" s="8"/>
      <c r="C24" s="8"/>
      <c r="D24" s="8"/>
      <c r="E24" s="8"/>
      <c r="F24" s="8"/>
      <c r="G24" s="8"/>
      <c r="H24" s="8"/>
      <c r="I24" s="8"/>
      <c r="J24" s="8"/>
      <c r="K24" s="8"/>
      <c r="L24" s="8"/>
      <c r="M24" s="8"/>
      <c r="N24" s="8"/>
      <c r="O24" s="8"/>
      <c r="P24" s="8"/>
      <c r="Q24" s="8"/>
      <c r="R24" s="8"/>
      <c r="S24" s="8"/>
      <c r="T24" s="8"/>
      <c r="U24" s="8"/>
      <c r="V24" s="8"/>
      <c r="W24" s="8"/>
    </row>
    <row r="25" spans="1:23" x14ac:dyDescent="0.3">
      <c r="A25" s="8"/>
      <c r="B25" s="8"/>
      <c r="C25" s="8"/>
      <c r="D25" s="8"/>
      <c r="E25" s="8"/>
      <c r="F25" s="8"/>
      <c r="G25" s="8"/>
      <c r="H25" s="8"/>
      <c r="I25" s="8"/>
      <c r="J25" s="8"/>
      <c r="K25" s="8"/>
      <c r="L25" s="8"/>
      <c r="M25" s="8"/>
      <c r="N25" s="8"/>
      <c r="O25" s="8"/>
      <c r="P25" s="8"/>
      <c r="Q25" s="8"/>
      <c r="R25" s="8"/>
      <c r="S25" s="8"/>
      <c r="T25" s="8"/>
      <c r="U25" s="8"/>
      <c r="V25" s="8"/>
      <c r="W25" s="8"/>
    </row>
    <row r="26" spans="1:23" x14ac:dyDescent="0.3">
      <c r="A26" s="8"/>
      <c r="B26" s="8"/>
      <c r="C26" s="8"/>
      <c r="D26" s="8"/>
      <c r="E26" s="8"/>
      <c r="F26" s="8"/>
      <c r="G26" s="8"/>
      <c r="H26" s="8"/>
      <c r="I26" s="8"/>
      <c r="J26" s="8"/>
      <c r="K26" s="8"/>
      <c r="L26" s="8"/>
      <c r="M26" s="8"/>
      <c r="N26" s="8"/>
      <c r="O26" s="8"/>
      <c r="P26" s="8"/>
      <c r="Q26" s="8"/>
      <c r="R26" s="8"/>
      <c r="S26" s="8"/>
      <c r="T26" s="8"/>
      <c r="U26" s="8"/>
      <c r="V26" s="8"/>
      <c r="W26" s="8"/>
    </row>
    <row r="27" spans="1:23" x14ac:dyDescent="0.3">
      <c r="A27" s="8"/>
      <c r="B27" s="8"/>
      <c r="C27" s="8"/>
      <c r="D27" s="8"/>
      <c r="E27" s="8"/>
      <c r="F27" s="8"/>
      <c r="G27" s="8"/>
      <c r="H27" s="8"/>
      <c r="I27" s="8"/>
      <c r="J27" s="8"/>
      <c r="K27" s="8"/>
      <c r="L27" s="8"/>
      <c r="M27" s="8"/>
      <c r="N27" s="8"/>
      <c r="O27" s="8"/>
      <c r="P27" s="8"/>
      <c r="Q27" s="8"/>
      <c r="R27" s="8"/>
      <c r="S27" s="8"/>
      <c r="T27" s="8"/>
      <c r="U27" s="8"/>
      <c r="V27" s="8"/>
      <c r="W27" s="8"/>
    </row>
    <row r="28" spans="1:23" x14ac:dyDescent="0.3">
      <c r="A28" s="8"/>
      <c r="B28" s="8"/>
      <c r="C28" s="8"/>
      <c r="D28" s="8"/>
      <c r="E28" s="8"/>
      <c r="F28" s="8"/>
      <c r="G28" s="8"/>
      <c r="H28" s="8"/>
      <c r="I28" s="8"/>
      <c r="J28" s="8"/>
      <c r="K28" s="8"/>
      <c r="L28" s="8"/>
      <c r="M28" s="8"/>
      <c r="N28" s="8"/>
      <c r="O28" s="8"/>
      <c r="P28" s="8"/>
      <c r="Q28" s="8"/>
      <c r="R28" s="8"/>
      <c r="S28" s="8"/>
      <c r="T28" s="8"/>
      <c r="U28" s="8"/>
      <c r="V28" s="8"/>
      <c r="W28" s="8"/>
    </row>
    <row r="29" spans="1:23" x14ac:dyDescent="0.3">
      <c r="A29" s="8"/>
      <c r="B29" s="8"/>
      <c r="C29" s="8"/>
      <c r="D29" s="8"/>
      <c r="E29" s="8"/>
      <c r="F29" s="8"/>
      <c r="G29" s="8"/>
      <c r="H29" s="8"/>
      <c r="I29" s="8"/>
      <c r="J29" s="8"/>
      <c r="K29" s="8"/>
      <c r="L29" s="8"/>
      <c r="M29" s="8"/>
      <c r="N29" s="8"/>
      <c r="O29" s="8"/>
      <c r="P29" s="8"/>
      <c r="Q29" s="8"/>
      <c r="R29" s="8"/>
      <c r="S29" s="8"/>
      <c r="T29" s="8"/>
      <c r="U29" s="8"/>
      <c r="V29" s="8"/>
      <c r="W29" s="8"/>
    </row>
  </sheetData>
  <mergeCells count="2">
    <mergeCell ref="A2:B2"/>
    <mergeCell ref="A1:B1"/>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4"/>
  <sheetViews>
    <sheetView workbookViewId="0"/>
  </sheetViews>
  <sheetFormatPr defaultRowHeight="14.4" x14ac:dyDescent="0.3"/>
  <cols>
    <col min="2" max="2" width="14.5546875" bestFit="1" customWidth="1"/>
    <col min="4" max="4" width="24.44140625" bestFit="1" customWidth="1"/>
  </cols>
  <sheetData>
    <row r="1" spans="1:4" ht="15" thickBot="1" x14ac:dyDescent="0.35">
      <c r="A1" s="10">
        <f>COUNTA(A2:A94)</f>
        <v>5</v>
      </c>
      <c r="B1" s="14" t="s">
        <v>52</v>
      </c>
      <c r="C1" s="16">
        <f>COUNTA(C2:C96)</f>
        <v>13</v>
      </c>
      <c r="D1" s="15" t="s">
        <v>37</v>
      </c>
    </row>
    <row r="2" spans="1:4" x14ac:dyDescent="0.3">
      <c r="A2" s="8" t="s">
        <v>29</v>
      </c>
      <c r="B2" s="7"/>
      <c r="C2" t="s">
        <v>53</v>
      </c>
    </row>
    <row r="3" spans="1:4" x14ac:dyDescent="0.3">
      <c r="A3" s="8" t="s">
        <v>30</v>
      </c>
      <c r="B3" s="7"/>
      <c r="C3" t="s">
        <v>54</v>
      </c>
    </row>
    <row r="4" spans="1:4" x14ac:dyDescent="0.3">
      <c r="A4" s="8" t="s">
        <v>32</v>
      </c>
      <c r="B4" s="7"/>
      <c r="C4" t="s">
        <v>38</v>
      </c>
    </row>
    <row r="5" spans="1:4" x14ac:dyDescent="0.3">
      <c r="A5" s="9" t="s">
        <v>43</v>
      </c>
      <c r="B5" s="7"/>
      <c r="C5" t="s">
        <v>39</v>
      </c>
    </row>
    <row r="6" spans="1:4" x14ac:dyDescent="0.3">
      <c r="A6" s="9" t="s">
        <v>44</v>
      </c>
      <c r="B6" s="7"/>
      <c r="C6" t="s">
        <v>40</v>
      </c>
    </row>
    <row r="7" spans="1:4" x14ac:dyDescent="0.3">
      <c r="B7" s="7"/>
      <c r="C7" t="s">
        <v>45</v>
      </c>
    </row>
    <row r="8" spans="1:4" x14ac:dyDescent="0.3">
      <c r="B8" s="7"/>
      <c r="C8" t="s">
        <v>51</v>
      </c>
    </row>
    <row r="9" spans="1:4" x14ac:dyDescent="0.3">
      <c r="B9" s="7"/>
      <c r="C9" s="8" t="s">
        <v>31</v>
      </c>
    </row>
    <row r="10" spans="1:4" x14ac:dyDescent="0.3">
      <c r="B10" s="7"/>
      <c r="C10" t="s">
        <v>63</v>
      </c>
    </row>
    <row r="11" spans="1:4" x14ac:dyDescent="0.3">
      <c r="B11" s="7"/>
      <c r="C11" t="s">
        <v>64</v>
      </c>
    </row>
    <row r="12" spans="1:4" x14ac:dyDescent="0.3">
      <c r="C12" t="s">
        <v>92</v>
      </c>
    </row>
    <row r="13" spans="1:4" x14ac:dyDescent="0.3">
      <c r="C13" t="s">
        <v>93</v>
      </c>
    </row>
    <row r="14" spans="1:4" x14ac:dyDescent="0.3">
      <c r="C14" t="s">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5"/>
  <sheetViews>
    <sheetView workbookViewId="0">
      <selection activeCell="H8" sqref="H8"/>
    </sheetView>
  </sheetViews>
  <sheetFormatPr defaultRowHeight="14.4" x14ac:dyDescent="0.3"/>
  <cols>
    <col min="1" max="1" width="5.5546875" customWidth="1"/>
    <col min="2" max="2" width="13.44140625" bestFit="1" customWidth="1"/>
    <col min="3" max="3" width="21.88671875" bestFit="1" customWidth="1"/>
  </cols>
  <sheetData>
    <row r="1" spans="1:3" x14ac:dyDescent="0.3">
      <c r="A1" s="42">
        <f>COUNTA(B:B)-1</f>
        <v>4</v>
      </c>
      <c r="B1" s="44" t="s">
        <v>117</v>
      </c>
      <c r="C1" s="43" t="s">
        <v>118</v>
      </c>
    </row>
    <row r="2" spans="1:3" x14ac:dyDescent="0.3">
      <c r="A2">
        <v>1</v>
      </c>
      <c r="B2" t="s">
        <v>119</v>
      </c>
      <c r="C2" t="s">
        <v>120</v>
      </c>
    </row>
    <row r="3" spans="1:3" x14ac:dyDescent="0.3">
      <c r="A3">
        <v>2</v>
      </c>
      <c r="B3" t="s">
        <v>121</v>
      </c>
      <c r="C3" t="s">
        <v>87</v>
      </c>
    </row>
    <row r="4" spans="1:3" x14ac:dyDescent="0.3">
      <c r="A4">
        <v>3</v>
      </c>
      <c r="B4" t="s">
        <v>122</v>
      </c>
      <c r="C4" t="s">
        <v>123</v>
      </c>
    </row>
    <row r="5" spans="1:3" x14ac:dyDescent="0.3">
      <c r="A5">
        <v>4</v>
      </c>
      <c r="B5" t="s">
        <v>124</v>
      </c>
      <c r="C5"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N33"/>
  <sheetViews>
    <sheetView tabSelected="1" workbookViewId="0">
      <selection activeCell="H8" sqref="H8"/>
    </sheetView>
  </sheetViews>
  <sheetFormatPr defaultRowHeight="14.4" x14ac:dyDescent="0.3"/>
  <cols>
    <col min="1" max="1" width="9.6640625" bestFit="1" customWidth="1"/>
    <col min="2" max="2" width="12.21875" customWidth="1"/>
    <col min="3" max="3" width="15.44140625" customWidth="1"/>
    <col min="4" max="4" width="15.88671875" bestFit="1" customWidth="1"/>
    <col min="5" max="5" width="17" bestFit="1" customWidth="1"/>
    <col min="6" max="6" width="10.5546875" bestFit="1" customWidth="1"/>
    <col min="7" max="7" width="13.5546875" customWidth="1"/>
  </cols>
  <sheetData>
    <row r="1" spans="1:14" x14ac:dyDescent="0.3">
      <c r="B1" s="47" t="s">
        <v>161</v>
      </c>
      <c r="C1" s="48" t="s">
        <v>126</v>
      </c>
      <c r="D1" s="49" t="s">
        <v>163</v>
      </c>
    </row>
    <row r="2" spans="1:14" ht="15" thickBot="1" x14ac:dyDescent="0.35">
      <c r="B2" s="53">
        <v>277364</v>
      </c>
      <c r="C2" s="50" t="s">
        <v>131</v>
      </c>
      <c r="D2" s="51">
        <v>1</v>
      </c>
    </row>
    <row r="6" spans="1:14" x14ac:dyDescent="0.3">
      <c r="A6" s="52" t="s">
        <v>168</v>
      </c>
      <c r="B6" s="52" t="s">
        <v>162</v>
      </c>
      <c r="C6" s="52" t="s">
        <v>164</v>
      </c>
      <c r="D6" s="52" t="s">
        <v>50</v>
      </c>
      <c r="E6" s="52" t="s">
        <v>165</v>
      </c>
      <c r="F6" s="52" t="s">
        <v>166</v>
      </c>
      <c r="G6" s="52" t="s">
        <v>167</v>
      </c>
      <c r="H6" s="52" t="s">
        <v>170</v>
      </c>
      <c r="I6" s="52" t="s">
        <v>171</v>
      </c>
      <c r="J6" s="52" t="s">
        <v>169</v>
      </c>
      <c r="K6" s="52" t="s">
        <v>172</v>
      </c>
      <c r="L6" s="52" t="s">
        <v>173</v>
      </c>
    </row>
    <row r="7" spans="1:14" x14ac:dyDescent="0.3">
      <c r="A7" t="s">
        <v>127</v>
      </c>
      <c r="B7" t="s">
        <v>128</v>
      </c>
      <c r="C7" s="39">
        <v>43122.521527777775</v>
      </c>
      <c r="D7" t="s">
        <v>129</v>
      </c>
      <c r="E7" t="s">
        <v>130</v>
      </c>
      <c r="F7" t="s">
        <v>158</v>
      </c>
      <c r="G7" s="46" t="s">
        <v>159</v>
      </c>
      <c r="H7" t="s">
        <v>160</v>
      </c>
      <c r="I7" t="s">
        <v>175</v>
      </c>
      <c r="J7" t="s">
        <v>174</v>
      </c>
      <c r="K7">
        <v>355268</v>
      </c>
      <c r="L7">
        <v>397467</v>
      </c>
    </row>
    <row r="8" spans="1:14" x14ac:dyDescent="0.3">
      <c r="C8" s="39"/>
    </row>
    <row r="9" spans="1:14" x14ac:dyDescent="0.3">
      <c r="C9" s="54"/>
    </row>
    <row r="10" spans="1:14" x14ac:dyDescent="0.3">
      <c r="C10" s="55"/>
    </row>
    <row r="12" spans="1:14" x14ac:dyDescent="0.3">
      <c r="H12" t="s">
        <v>132</v>
      </c>
      <c r="M12" s="45"/>
      <c r="N12" t="s">
        <v>132</v>
      </c>
    </row>
    <row r="13" spans="1:14" x14ac:dyDescent="0.3">
      <c r="H13" t="s">
        <v>133</v>
      </c>
      <c r="N13" t="s">
        <v>133</v>
      </c>
    </row>
    <row r="14" spans="1:14" x14ac:dyDescent="0.3">
      <c r="H14" t="s">
        <v>134</v>
      </c>
      <c r="N14" t="s">
        <v>134</v>
      </c>
    </row>
    <row r="15" spans="1:14" x14ac:dyDescent="0.3">
      <c r="H15" t="s">
        <v>135</v>
      </c>
      <c r="N15" t="s">
        <v>147</v>
      </c>
    </row>
    <row r="16" spans="1:14" x14ac:dyDescent="0.3">
      <c r="H16" t="s">
        <v>136</v>
      </c>
      <c r="N16" t="s">
        <v>136</v>
      </c>
    </row>
    <row r="17" spans="7:14" x14ac:dyDescent="0.3">
      <c r="H17" t="s">
        <v>137</v>
      </c>
      <c r="N17" t="s">
        <v>137</v>
      </c>
    </row>
    <row r="18" spans="7:14" x14ac:dyDescent="0.3">
      <c r="H18" t="s">
        <v>138</v>
      </c>
      <c r="N18" t="s">
        <v>138</v>
      </c>
    </row>
    <row r="19" spans="7:14" x14ac:dyDescent="0.3">
      <c r="H19" t="s">
        <v>139</v>
      </c>
      <c r="N19" t="s">
        <v>139</v>
      </c>
    </row>
    <row r="20" spans="7:14" x14ac:dyDescent="0.3">
      <c r="H20" t="s">
        <v>140</v>
      </c>
      <c r="N20" t="s">
        <v>140</v>
      </c>
    </row>
    <row r="21" spans="7:14" x14ac:dyDescent="0.3">
      <c r="H21" t="s">
        <v>141</v>
      </c>
      <c r="N21" t="s">
        <v>141</v>
      </c>
    </row>
    <row r="22" spans="7:14" x14ac:dyDescent="0.3">
      <c r="H22" t="s">
        <v>142</v>
      </c>
      <c r="N22" t="s">
        <v>148</v>
      </c>
    </row>
    <row r="23" spans="7:14" x14ac:dyDescent="0.3">
      <c r="H23" t="s">
        <v>143</v>
      </c>
      <c r="N23" t="s">
        <v>143</v>
      </c>
    </row>
    <row r="24" spans="7:14" x14ac:dyDescent="0.3">
      <c r="H24" t="s">
        <v>144</v>
      </c>
      <c r="N24" t="s">
        <v>144</v>
      </c>
    </row>
    <row r="25" spans="7:14" x14ac:dyDescent="0.3">
      <c r="H25" t="s">
        <v>145</v>
      </c>
      <c r="N25" t="s">
        <v>149</v>
      </c>
    </row>
    <row r="27" spans="7:14" x14ac:dyDescent="0.3">
      <c r="H27" t="s">
        <v>146</v>
      </c>
      <c r="N27" t="s">
        <v>150</v>
      </c>
    </row>
    <row r="30" spans="7:14" x14ac:dyDescent="0.3">
      <c r="G30" t="s">
        <v>152</v>
      </c>
      <c r="H30" t="s">
        <v>151</v>
      </c>
    </row>
    <row r="31" spans="7:14" x14ac:dyDescent="0.3">
      <c r="G31" t="s">
        <v>153</v>
      </c>
      <c r="H31" t="s">
        <v>154</v>
      </c>
    </row>
    <row r="32" spans="7:14" x14ac:dyDescent="0.3">
      <c r="G32" t="s">
        <v>155</v>
      </c>
      <c r="H32" t="s">
        <v>156</v>
      </c>
    </row>
    <row r="33" spans="7:8" x14ac:dyDescent="0.3">
      <c r="G33" t="s">
        <v>152</v>
      </c>
      <c r="H33" t="s">
        <v>157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Выгрузка_заявок">
                <anchor moveWithCells="1" sizeWithCells="1">
                  <from>
                    <xdr:col>5</xdr:col>
                    <xdr:colOff>708660</xdr:colOff>
                    <xdr:row>0</xdr:row>
                    <xdr:rowOff>15240</xdr:rowOff>
                  </from>
                  <to>
                    <xdr:col>8</xdr:col>
                    <xdr:colOff>22860</xdr:colOff>
                    <xdr:row>0</xdr:row>
                    <xdr:rowOff>175260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Ротапост</vt:lpstr>
      <vt:lpstr>Прод</vt:lpstr>
      <vt:lpstr>Исключения</vt:lpstr>
      <vt:lpstr>Ключи</vt:lpstr>
      <vt:lpstr>Лист1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2018-01-26T15:52:03Z</dcterms:modified>
</cp:coreProperties>
</file>