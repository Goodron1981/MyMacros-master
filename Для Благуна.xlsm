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activeTab="4"/>
  </bookViews>
  <sheets>
    <sheet name="Ротапост" sheetId="3" r:id="rId1"/>
    <sheet name="Прод" sheetId="6" r:id="rId2"/>
    <sheet name="Исключения" sheetId="8" r:id="rId3"/>
    <sheet name="Ключи" sheetId="9" r:id="rId4"/>
    <sheet name="Лист1" sheetId="10" r:id="rId5"/>
    <sheet name="Авторизация" sheetId="11"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<sst xmlns="http://schemas.openxmlformats.org/spreadsheetml/2006/main" count="209" uniqueCount="182">
  <si>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</si>
  <si>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</si>
  <si>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</si>
  <si>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</si>
  <si>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</si>
  <si>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</si>
  <si>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</si>
  <si>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</si>
  <si>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</si>
  <si>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</si>
  <si>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</si>
  <si>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</si>
  <si>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</si>
  <si>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</si>
  <si>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</si>
  <si>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</si>
  <si>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</si>
  <si>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</si>
  <si>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</si>
  <si>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</si>
  <si>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</si>
  <si>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</si>
  <si>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</si>
  <si>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</si>
  <si>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</si>
  <si>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</si>
  <si>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</si>
  <si>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</si>
  <si>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</si>
  <si>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</si>
  <si>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</si>
  <si>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</si>
  <si>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</si>
  <si>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</si>
  <si>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</si>
  <si>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</si>
  <si>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</si>
  <si>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</si>
  <si>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</si>
  <si>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</si>
  <si>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</si>
  <si>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</si>
  <si>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</si>
  <si>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</si>
  <si>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</si>
  <si>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</si>
  <si>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</si>
  <si>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</si>
  <si>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</si>
  <si>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</si>
  <si>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</si>
  <si>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</si>
  <si>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</si>
  <si>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</si>
  <si>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</si>
  <si>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</si>
  <si>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</si>
  <si>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</si>
  <si>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</si>
  <si>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</si>
  <si>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</si>
  <si>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</si>
  <si>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</si>
  <si>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</si>
  <si>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</si>
  <si>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</si>
  <si>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</si>
  <si>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</si>
  <si>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</si>
  <si>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</si>
  <si>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</si>
  <si>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</si>
  <si>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</si>
  <si>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</si>
  <si>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</si>
  <si>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</si>
  <si>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</si>
  <si>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</si>
  <si>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</si>
  <si>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</si>
  <si>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</si>
  <si>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</si>
  <si>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</si>
  <si>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</si>
  <si>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</si>
  <si>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</si>
  <si>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</si>
  <si>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</si>
  <si>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</si>
  <si>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</si>
  <si>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</si>
  <si>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</si>
  <si>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</si>
  <si>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</si>
  <si>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</si>
  <si>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</si>
  <si>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</si>
  <si>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</si>
  <si>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</si>
  <si>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</si>
  <si>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</si>
  <si>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</si>
  <si>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</si>
  <si>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</si>
  <si>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</si>
  <si>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</si>
  <si>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</si>
  <si>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</si>
  <si>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</si>
  <si>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</si>
  <si>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</si>
  <si>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</si>
  <si>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</si>
  <si>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</si>
  <si>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</si>
  <si>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</si>
  <si>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</si>
  <si>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</si>
  <si>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</si>
  <si>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</si>
  <si>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</si>
  <si>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</si>
  <si>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</si>
  <si>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</si>
  <si>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</si>
  <si>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</si>
  <si>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auth</t>
  </si>
  <si>
    <t>q-sys.ru</t>
  </si>
  <si>
    <t>https://blogun.ru/getcode.php?id=397467&amp;idblog=355268&amp;submenu=2&amp;menu=tsk</t>
  </si>
  <si>
    <t xml:space="preserve">adonaidenver.org </t>
  </si>
  <si>
    <t>Подробный обзор</t>
  </si>
  <si>
    <t>5c1597890e9920a97683d94f70cb26d9dbee3e8c92233f35aa9758a514156388</t>
  </si>
  <si>
    <t>POST https://blogun.ru/submitready.php HTTP/1.1</t>
  </si>
  <si>
    <t>Host: blogun.ru</t>
  </si>
  <si>
    <t>Connection: keep-alive</t>
  </si>
  <si>
    <t>Content-Length: 166</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</si>
  <si>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</si>
  <si>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</si>
  <si>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</si>
  <si>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</si>
  <si>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</si>
  <si>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</si>
  <si>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https://blogun.ru/getcode.php?id=397539&amp;idblog=377906&amp;submenu=2&amp;menu=tsk</t>
  </si>
  <si>
    <t>Accept-Encoding: gzip, deflate, br</t>
  </si>
  <si>
    <t>Accept-Language: en,uk;q=0.9,ru;q=0.8</t>
  </si>
  <si>
    <t>Cookie: PHPSESSID=3if8pspn1il5es40obv01527i1; forceVersion=regular; _ga=GA1.2.1165900.1516889605; _gid=GA1.2.863335639.1516889605; _ym_uid=1516889605460312458; _ym_isad=2; _ym_visorc_7262719=w; unid=298988203; id=277364; auth=ada1d8172f65123b101fa22f09c2c4d4b0804304463c9a585771f24c5c9b4399; user=%7B%22userId%22%3A277364%2C%22accessToken%22%3A%224fe61fa20efc388936e04210651407fa340ac67df4faaf89a35d16daa89c3ccb%22%2C%22refreshToken%22%3A%2248f6fc355f627ffe56bec00c7b1f977512e2fb30307ef71c546883628c14bff0%22%2C%22expiresIn%22%3A1200%7D; isAdvertiser=0; _gat=1; lasturl=%2Fgetcode.php%3Fid%3D397539%26idblog%3D377906%26submenu%3D2%26menu%3Dtsk</t>
  </si>
  <si>
    <t>size=short&amp;blog=377906&amp;campaign=397539&amp;url=http%3A%2F%2Fodissey.net.ua%2Fyak-pravylno-vybraty-noutbuk%2F&amp;submit=%D0%92%D1%8B%D0%BF%D0%BE%D0%BB%D0%BD%D0%B5%D0%BD%D0%BE</t>
  </si>
  <si>
    <t>Content-Length: 108</t>
  </si>
  <si>
    <t>Referer: https://blogun.ru/getcode.php?id=397467&amp;idblog=355268&amp;submenu=2&amp;menu=tsk</t>
  </si>
  <si>
    <t>Cookie: PHPSESSID=t6d7d8pjj45u6nbvkb0tviqiv5; _ga=GA1.2.346602115.1516786915; _ym_uid=1516786915239815901; unid=1262859617; isAdvertiser=0; __utmc=259236953; __utmz=259236953.1516792059.1.1.utmcsr=wiki.blogun.ru|utmccn=(referral)|utmcmd=referral|utmcct=/%D0%9A%D0%B0%D0%BA_%D0%BD%D0%B0%D1%81%D1%82%D1%80%D0%BE%D0%B8%D1%82%D1%8C_API%3F; __utma=259236953.346602115.1516786915.1516792059.1516795794.2; id=277364; auth=5c1597890e9920a97683d94f70cb26d9dbee3e8c92233f35aa9758a514156388; forceVersion=regular; _gid=GA1.2.146131041.1516954866; _ym_isad=2; _ym_visorc_7262719=w; user=%7B%22userId%22%3A277364%2C%22accessToken%22%3A%224e56137656532f308d65ba2e57ac4165fa3b31aaf62266b8fcc6541b8bc2130c%22%2C%22refreshToken%22%3A%22b61b0d7dc2669811e188f6eebb28af220fdf655b51c77dc24f9c8c18ee1ef34f%22%2C%22expiresIn%22%3A1200%7D; lasturl=%2Fgetcode.php%3Fid%3D397467%26idblog%3D355268%26submenu%3D2%26menu%3Dtsk</t>
  </si>
  <si>
    <t>size=long&amp;blog=355268&amp;campaign=397467&amp;url=Test&amp;submit=%D0%92%D1%8B%D0%BF%D0%BE%D0%BB%D0%BD%D0%B5%D0%BD%D0%BE</t>
  </si>
  <si>
    <t>document.getElementsByClassName("idCampaign")[0].value</t>
  </si>
  <si>
    <t>ID компании на странице заявки</t>
  </si>
  <si>
    <t>Размер</t>
  </si>
  <si>
    <t>document.getElementsByClassName("bdp_a getcodeTestTask")[0].children[0].value</t>
  </si>
  <si>
    <t>ID блога</t>
  </si>
  <si>
    <t>document.getElementsByClassName("bdp_a getcodeTestTask")[0].children[1].value</t>
  </si>
  <si>
    <t>document.getElementsByClassName("bdp_a getcodeTestTask")[0].children[2].value</t>
  </si>
  <si>
    <t>54,15 грн.</t>
  </si>
  <si>
    <t xml:space="preserve">Группа компаний «QS» _x000D_
Оформление сертификатов и разрешительной документации </t>
  </si>
  <si>
    <t>&lt;a href="http://q-sys.ru/services/sertifikaty-i-deklaratsii/sertifikat-i-deklaratsiya-gost-r/sertifikat-sootvetstviya-gost-r"&gt;Сертификат и Декларация ГОСТ Р&lt;/a&gt;</t>
  </si>
  <si>
    <t>ID user</t>
  </si>
  <si>
    <t>URL заявки</t>
  </si>
  <si>
    <t>Кол-во заявок</t>
  </si>
  <si>
    <t>Дата создания</t>
  </si>
  <si>
    <t>Тип заявки</t>
  </si>
  <si>
    <t xml:space="preserve">Стоимость </t>
  </si>
  <si>
    <t>Комментарий</t>
  </si>
  <si>
    <t>Камапния</t>
  </si>
  <si>
    <t>Size</t>
  </si>
  <si>
    <t>Анкор1</t>
  </si>
  <si>
    <t>Анкор2</t>
  </si>
  <si>
    <t>IdBlog</t>
  </si>
  <si>
    <t>IdCamp</t>
  </si>
  <si>
    <t>long</t>
  </si>
  <si>
    <t>Empty</t>
  </si>
  <si>
    <t>Auth</t>
  </si>
  <si>
    <t>Iduser</t>
  </si>
  <si>
    <t>3502cd2286a3516568e5b0c866dd7bf3a9b11a90de39f93b401ec689a200eeea</t>
  </si>
  <si>
    <t>Курко</t>
  </si>
  <si>
    <t>Нанопласт</t>
  </si>
  <si>
    <t>size=link&amp;blog=355268&amp;campaign=396889&amp;url=http%3A%2F%2Fadonaidenver.org%2F%25D1%258F%25D0%25BA-%25D0%25B2%25D0%25B8%25D0%25B1%25D1%2580%25D0%25B0%25D1%2582%25D0%25B8-%25D0%25B0%25D0%25B2%25D1%2582%25D0%25BE%25D0%25BC%25D0%25BE%25D0%25B1%25D1%2596%25D0%25BB%25D1%258C-%25D0%25BF%25D0%25B5%25D1%2580%25D0%25B5%25D0%25B4-%25D0%25BF%25D0%25BE%25D0%25BA%25D1%2583%25D0%25BF%25D0%25BA%25D0%25BE%25D1%258E%2F&amp;submit=%D0%92%D1%8B%D0%BF%D0%BE%D0%BB%D0%BD%D0%B5%D0%BD%D0%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</si>
</sst>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19]d\-mmm\-yyyy;@"/>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b/>
      <sz val="11"/>
      <color theme="0"/>
      <name val="Calibri"/>
      <family val="2"/>
      <charset val="204"/>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4"/>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67">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wrapText="1"/>
    </xf>
    <xf numFmtId="0" fontId="0" fillId="0" borderId="0" xfId="0" applyAlignment="1"/>
    <xf numFmtId="0" fontId="0" fillId="6" borderId="2"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0" fillId="0" borderId="19" xfId="0" applyBorder="1" applyAlignment="1">
      <alignment horizontal="left"/>
    </xf>
    <xf numFmtId="0" fontId="0" fillId="0" borderId="20" xfId="0" applyBorder="1" applyAlignment="1">
      <alignment horizontal="center"/>
    </xf>
    <xf numFmtId="0" fontId="0" fillId="5" borderId="1" xfId="0" applyFill="1" applyBorder="1" applyAlignment="1">
      <alignment horizontal="center" vertical="center"/>
    </xf>
    <xf numFmtId="0" fontId="0" fillId="0" borderId="18" xfId="0" applyBorder="1" applyAlignment="1">
      <alignment horizontal="center"/>
    </xf>
    <xf numFmtId="164" fontId="0" fillId="0" borderId="0" xfId="0" applyNumberFormat="1"/>
    <xf numFmtId="15" fontId="0" fillId="0" borderId="0" xfId="0" applyNumberFormat="1"/>
    <xf numFmtId="0" fontId="11" fillId="19" borderId="0" xfId="0" applyFont="1" applyFill="1"/>
    <xf numFmtId="0" fontId="11" fillId="20" borderId="1" xfId="0" applyFont="1" applyFill="1" applyBorder="1" applyAlignment="1"/>
    <xf numFmtId="0" fontId="0" fillId="3" borderId="1" xfId="0" applyFill="1" applyBorder="1" applyAlignment="1">
      <alignment horizontal="center"/>
    </xf>
    <xf numFmtId="0" fontId="0" fillId="3" borderId="1" xfId="0" applyFill="1" applyBorder="1"/>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xf numFmtId="0" fontId="11" fillId="20"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0</xdr:row>
          <xdr:rowOff>137160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3</xdr:row>
          <xdr:rowOff>38100</xdr:rowOff>
        </xdr:from>
        <xdr:to>
          <xdr:col>3</xdr:col>
          <xdr:colOff>449580</xdr:colOff>
          <xdr:row>5</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708660</xdr:colOff>
          <xdr:row>0</xdr:row>
          <xdr:rowOff>15240</xdr:rowOff>
        </xdr:from>
        <xdr:to>
          <xdr:col>8</xdr:col>
          <xdr:colOff>22860</xdr:colOff>
          <xdr:row>0</xdr:row>
          <xdr:rowOff>175260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Выгрузка заявок</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6" ht="15" thickBot="1" x14ac:dyDescent="0.35">
      <c r="A1" s="60" t="str">
        <f xml:space="preserve"> "Авторизация: " &amp; F2</f>
        <v>Авторизация: Максим</v>
      </c>
      <c r="B1" s="61"/>
      <c r="E1" s="11" t="s">
        <v>66</v>
      </c>
      <c r="F1" s="11" t="s">
        <v>47</v>
      </c>
    </row>
    <row r="2" spans="1:16" ht="15.6" x14ac:dyDescent="0.3">
      <c r="A2" s="34" t="s">
        <v>4</v>
      </c>
      <c r="B2" s="36" t="b">
        <v>1</v>
      </c>
      <c r="E2" s="41" t="s">
        <v>67</v>
      </c>
      <c r="F2" s="12" t="s">
        <v>58</v>
      </c>
    </row>
    <row r="3" spans="1:16" x14ac:dyDescent="0.3">
      <c r="A3" s="34" t="s">
        <v>5</v>
      </c>
      <c r="B3" s="37" t="s">
        <v>59</v>
      </c>
    </row>
    <row r="4" spans="1:16" ht="15" thickBot="1" x14ac:dyDescent="0.35">
      <c r="A4" s="35" t="s">
        <v>6</v>
      </c>
      <c r="B4" s="38">
        <v>43045.976388888892</v>
      </c>
      <c r="C4" s="3"/>
      <c r="E4" s="4"/>
    </row>
    <row r="5" spans="1:16" x14ac:dyDescent="0.3">
      <c r="C5" s="5"/>
    </row>
    <row r="7" spans="1:16" x14ac:dyDescent="0.3">
      <c r="A7" s="2" t="s">
        <v>7</v>
      </c>
      <c r="B7" s="1">
        <v>28498124</v>
      </c>
      <c r="C7" s="1">
        <v>28498685</v>
      </c>
      <c r="D7" s="1">
        <v>28499476</v>
      </c>
      <c r="E7"/>
      <c r="F7"/>
      <c r="G7"/>
      <c r="H7"/>
      <c r="I7"/>
      <c r="J7"/>
      <c r="K7" s="1"/>
      <c r="L7"/>
      <c r="M7"/>
      <c r="N7"/>
      <c r="O7"/>
      <c r="P7"/>
    </row>
    <row r="8" spans="1:16" x14ac:dyDescent="0.3">
      <c r="A8" s="2" t="s">
        <v>8</v>
      </c>
      <c r="B8" s="1" t="s">
        <v>28</v>
      </c>
      <c r="C8" s="1" t="s">
        <v>28</v>
      </c>
      <c r="D8" s="1" t="s">
        <v>28</v>
      </c>
      <c r="E8"/>
      <c r="F8"/>
      <c r="G8"/>
      <c r="H8"/>
      <c r="I8"/>
      <c r="J8"/>
      <c r="K8" s="1"/>
      <c r="L8"/>
      <c r="M8"/>
      <c r="N8"/>
      <c r="O8"/>
      <c r="P8"/>
    </row>
    <row r="9" spans="1:16" x14ac:dyDescent="0.3">
      <c r="A9" s="2" t="s">
        <v>9</v>
      </c>
      <c r="B9" s="1" t="s">
        <v>68</v>
      </c>
      <c r="C9" s="1" t="s">
        <v>75</v>
      </c>
      <c r="D9" s="1" t="s">
        <v>81</v>
      </c>
      <c r="E9"/>
      <c r="F9"/>
      <c r="G9"/>
      <c r="H9"/>
      <c r="I9"/>
      <c r="J9"/>
      <c r="K9" s="1"/>
      <c r="L9"/>
      <c r="M9"/>
      <c r="N9"/>
      <c r="O9"/>
      <c r="P9"/>
    </row>
    <row r="10" spans="1:16" x14ac:dyDescent="0.3">
      <c r="A10" s="2" t="s">
        <v>10</v>
      </c>
      <c r="B10" s="1" t="s">
        <v>69</v>
      </c>
      <c r="C10" s="1"/>
      <c r="D10" s="1" t="s">
        <v>60</v>
      </c>
      <c r="E10"/>
      <c r="F10"/>
      <c r="G10"/>
      <c r="H10"/>
      <c r="I10"/>
      <c r="J10"/>
      <c r="K10" s="1"/>
      <c r="L10"/>
      <c r="M10"/>
      <c r="N10"/>
      <c r="O10"/>
      <c r="P10"/>
    </row>
    <row r="11" spans="1:16" x14ac:dyDescent="0.3">
      <c r="A11" s="2" t="s">
        <v>11</v>
      </c>
      <c r="B11" s="1" t="s">
        <v>70</v>
      </c>
      <c r="C11" s="1" t="s">
        <v>76</v>
      </c>
      <c r="D11" s="1" t="s">
        <v>82</v>
      </c>
      <c r="E11"/>
      <c r="F11"/>
      <c r="G11"/>
      <c r="H11"/>
      <c r="I11"/>
      <c r="J11"/>
      <c r="K11" s="1"/>
      <c r="L11"/>
      <c r="M11"/>
      <c r="N11"/>
      <c r="O11"/>
      <c r="P11"/>
    </row>
    <row r="12" spans="1:16" x14ac:dyDescent="0.3">
      <c r="A12" s="2" t="s">
        <v>12</v>
      </c>
      <c r="B12" s="1"/>
      <c r="C12" s="1"/>
      <c r="D12" s="1"/>
      <c r="E12"/>
      <c r="F12"/>
      <c r="G12"/>
      <c r="H12"/>
      <c r="I12"/>
      <c r="J12"/>
      <c r="K12" s="1"/>
      <c r="L12"/>
      <c r="M12"/>
      <c r="N12"/>
      <c r="O12"/>
      <c r="P12"/>
    </row>
    <row r="13" spans="1:16" x14ac:dyDescent="0.3">
      <c r="A13" s="2" t="s">
        <v>13</v>
      </c>
      <c r="B13" s="1">
        <v>79</v>
      </c>
      <c r="C13" s="1">
        <v>100</v>
      </c>
      <c r="D13" s="1">
        <v>100</v>
      </c>
      <c r="E13"/>
      <c r="F13"/>
      <c r="G13"/>
      <c r="H13"/>
      <c r="I13"/>
      <c r="J13"/>
      <c r="K13" s="1"/>
      <c r="L13"/>
      <c r="M13"/>
      <c r="N13"/>
      <c r="O13"/>
      <c r="P13"/>
    </row>
    <row r="14" spans="1:16" x14ac:dyDescent="0.3">
      <c r="A14" s="2" t="s">
        <v>14</v>
      </c>
      <c r="B14" s="1" t="s">
        <v>71</v>
      </c>
      <c r="C14" s="1" t="s">
        <v>77</v>
      </c>
      <c r="D14" s="1" t="s">
        <v>83</v>
      </c>
      <c r="E14"/>
      <c r="F14"/>
      <c r="G14"/>
      <c r="H14"/>
      <c r="I14"/>
      <c r="J14"/>
      <c r="K14" s="1"/>
      <c r="L14"/>
      <c r="M14"/>
      <c r="N14"/>
      <c r="O14"/>
      <c r="P14"/>
    </row>
    <row r="15" spans="1:16" x14ac:dyDescent="0.3">
      <c r="A15" s="2" t="s">
        <v>15</v>
      </c>
      <c r="B15" s="1" t="s">
        <v>72</v>
      </c>
      <c r="C15" s="1" t="s">
        <v>78</v>
      </c>
      <c r="D15" s="1" t="s">
        <v>84</v>
      </c>
      <c r="E15"/>
      <c r="F15"/>
      <c r="G15"/>
      <c r="H15"/>
      <c r="I15"/>
      <c r="J15"/>
      <c r="K15" s="1"/>
      <c r="L15"/>
      <c r="M15"/>
      <c r="N15"/>
      <c r="O15"/>
      <c r="P15"/>
    </row>
    <row r="16" spans="1:16" x14ac:dyDescent="0.3">
      <c r="A16" s="2" t="s">
        <v>16</v>
      </c>
      <c r="B16" s="1"/>
      <c r="C16" s="1"/>
      <c r="D16" s="1"/>
      <c r="E16"/>
      <c r="F16"/>
      <c r="G16"/>
      <c r="H16"/>
      <c r="I16"/>
      <c r="J16"/>
      <c r="K16" s="1"/>
      <c r="L16"/>
      <c r="M16"/>
      <c r="N16"/>
      <c r="O16"/>
      <c r="P16"/>
    </row>
    <row r="17" spans="1:16" x14ac:dyDescent="0.3">
      <c r="A17" s="2" t="s">
        <v>17</v>
      </c>
      <c r="B17" s="1"/>
      <c r="C17" s="1"/>
      <c r="D17" s="1"/>
      <c r="E17"/>
      <c r="F17"/>
      <c r="G17"/>
      <c r="H17"/>
      <c r="I17"/>
      <c r="J17"/>
      <c r="K17" s="1"/>
      <c r="L17"/>
      <c r="M17"/>
      <c r="N17"/>
      <c r="O17"/>
      <c r="P17"/>
    </row>
    <row r="18" spans="1:16" x14ac:dyDescent="0.3">
      <c r="A18" s="2" t="s">
        <v>18</v>
      </c>
      <c r="B18" s="1"/>
      <c r="C18" s="1"/>
      <c r="D18" s="1"/>
      <c r="E18"/>
      <c r="F18"/>
      <c r="G18"/>
      <c r="H18"/>
      <c r="I18"/>
      <c r="J18"/>
      <c r="K18" s="1"/>
      <c r="L18"/>
      <c r="M18"/>
      <c r="N18"/>
      <c r="O18"/>
      <c r="P18"/>
    </row>
    <row r="19" spans="1:16" x14ac:dyDescent="0.3">
      <c r="A19" s="2" t="s">
        <v>19</v>
      </c>
      <c r="B19" s="1">
        <v>0</v>
      </c>
      <c r="C19" s="1">
        <v>0</v>
      </c>
      <c r="D19" s="1">
        <v>0</v>
      </c>
      <c r="E19"/>
      <c r="F19"/>
      <c r="G19"/>
      <c r="H19"/>
      <c r="I19"/>
      <c r="J19"/>
      <c r="K19" s="1"/>
      <c r="L19"/>
      <c r="M19"/>
      <c r="N19"/>
      <c r="O19"/>
      <c r="P19"/>
    </row>
    <row r="20" spans="1:16" x14ac:dyDescent="0.3">
      <c r="A20" s="2" t="s">
        <v>20</v>
      </c>
      <c r="B20" s="1">
        <v>0</v>
      </c>
      <c r="C20" s="1">
        <v>0</v>
      </c>
      <c r="D20" s="1">
        <v>0</v>
      </c>
      <c r="E20"/>
      <c r="F20"/>
      <c r="G20"/>
      <c r="H20"/>
      <c r="I20"/>
      <c r="J20"/>
      <c r="K20" s="1"/>
      <c r="L20"/>
      <c r="M20"/>
      <c r="N20"/>
      <c r="O20"/>
      <c r="P20"/>
    </row>
    <row r="21" spans="1:16" x14ac:dyDescent="0.3">
      <c r="A21" s="2" t="s">
        <v>21</v>
      </c>
      <c r="B21" s="1" t="s">
        <v>73</v>
      </c>
      <c r="C21" s="1" t="s">
        <v>79</v>
      </c>
      <c r="D21" s="1" t="s">
        <v>85</v>
      </c>
      <c r="E21"/>
      <c r="F21"/>
      <c r="G21"/>
      <c r="H21"/>
      <c r="I21"/>
      <c r="J21"/>
      <c r="K21" s="1"/>
      <c r="L21"/>
      <c r="M21"/>
      <c r="N21"/>
      <c r="O21"/>
      <c r="P21"/>
    </row>
    <row r="22" spans="1:16" x14ac:dyDescent="0.3">
      <c r="A22" s="2" t="s">
        <v>22</v>
      </c>
      <c r="B22" s="1" t="b">
        <v>0</v>
      </c>
      <c r="C22" s="1" t="b">
        <v>0</v>
      </c>
      <c r="D22" s="1" t="b">
        <v>0</v>
      </c>
      <c r="E22"/>
      <c r="F22"/>
      <c r="G22"/>
      <c r="H22"/>
      <c r="I22"/>
      <c r="J22"/>
      <c r="K22" s="1"/>
      <c r="L22"/>
      <c r="M22"/>
      <c r="N22"/>
      <c r="O22"/>
      <c r="P22"/>
    </row>
    <row r="23" spans="1:16" x14ac:dyDescent="0.3">
      <c r="A23" s="2" t="s">
        <v>23</v>
      </c>
      <c r="B23" s="1"/>
      <c r="C23" s="1"/>
      <c r="D23" s="1"/>
      <c r="E23"/>
      <c r="F23"/>
      <c r="G23"/>
      <c r="H23"/>
      <c r="I23"/>
      <c r="J23"/>
      <c r="K23" s="1"/>
      <c r="L23"/>
      <c r="M23"/>
      <c r="N23"/>
      <c r="O23"/>
      <c r="P23"/>
    </row>
    <row r="24" spans="1:16" x14ac:dyDescent="0.3">
      <c r="A24" s="2" t="s">
        <v>0</v>
      </c>
      <c r="B24" s="1" t="s">
        <v>74</v>
      </c>
      <c r="C24" s="1" t="s">
        <v>80</v>
      </c>
      <c r="D24" s="1" t="s">
        <v>86</v>
      </c>
      <c r="E24"/>
      <c r="F24"/>
      <c r="G24"/>
      <c r="H24"/>
      <c r="I24"/>
      <c r="J24"/>
      <c r="K24" s="1"/>
      <c r="L24"/>
      <c r="M24"/>
      <c r="N24"/>
      <c r="O24"/>
      <c r="P24"/>
    </row>
    <row r="25" spans="1:16" x14ac:dyDescent="0.3">
      <c r="A25" s="6" t="s">
        <v>1</v>
      </c>
      <c r="B25" t="s">
        <v>88</v>
      </c>
      <c r="C25" t="s">
        <v>116</v>
      </c>
      <c r="D25" t="s">
        <v>95</v>
      </c>
      <c r="E25"/>
      <c r="F25"/>
      <c r="G25"/>
      <c r="H25"/>
      <c r="I25"/>
      <c r="J25"/>
      <c r="K25"/>
      <c r="L25"/>
      <c r="M25"/>
      <c r="N25"/>
      <c r="O25"/>
      <c r="P25"/>
    </row>
    <row r="26" spans="1:16" x14ac:dyDescent="0.3">
      <c r="A26" s="6" t="s">
        <v>33</v>
      </c>
      <c r="B26" t="s">
        <v>68</v>
      </c>
      <c r="C26" t="s">
        <v>75</v>
      </c>
      <c r="D26" t="s">
        <v>81</v>
      </c>
      <c r="E26"/>
      <c r="F26"/>
      <c r="G26"/>
      <c r="H26"/>
      <c r="I26"/>
      <c r="J26"/>
      <c r="K26"/>
      <c r="L26"/>
      <c r="M26"/>
      <c r="N26"/>
      <c r="O26"/>
      <c r="P26"/>
    </row>
    <row r="27" spans="1:16" x14ac:dyDescent="0.3">
      <c r="A27" s="6" t="s">
        <v>46</v>
      </c>
      <c r="B27" s="1" t="s">
        <v>89</v>
      </c>
      <c r="C27" s="1" t="s">
        <v>90</v>
      </c>
      <c r="D27" s="1" t="s">
        <v>96</v>
      </c>
      <c r="E27"/>
      <c r="F27"/>
      <c r="G27"/>
      <c r="H27"/>
      <c r="I27"/>
      <c r="J27"/>
      <c r="K27" s="1"/>
      <c r="L27"/>
      <c r="M27"/>
      <c r="N27"/>
      <c r="O27"/>
      <c r="P27"/>
    </row>
    <row r="28" spans="1:16" x14ac:dyDescent="0.3">
      <c r="A28" s="6" t="s">
        <v>55</v>
      </c>
      <c r="B28" t="s">
        <v>56</v>
      </c>
      <c r="C28" t="s">
        <v>56</v>
      </c>
      <c r="D28" t="s">
        <v>56</v>
      </c>
      <c r="E28"/>
      <c r="F28"/>
      <c r="G28"/>
      <c r="H28"/>
      <c r="I28"/>
      <c r="J28"/>
      <c r="K28"/>
      <c r="L28"/>
      <c r="M28"/>
      <c r="N28"/>
      <c r="O28"/>
      <c r="P28"/>
    </row>
    <row r="29" spans="1:16" x14ac:dyDescent="0.3">
      <c r="B29"/>
      <c r="C29"/>
      <c r="D29"/>
      <c r="E29"/>
      <c r="F29"/>
      <c r="G29"/>
      <c r="H29"/>
      <c r="I29"/>
      <c r="J29"/>
      <c r="K29"/>
      <c r="L29"/>
      <c r="M29"/>
    </row>
    <row r="30" spans="1:16" x14ac:dyDescent="0.3">
      <c r="E30" s="40"/>
    </row>
    <row r="31" spans="1:16" x14ac:dyDescent="0.3">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312420</xdr:colOff>
                    <xdr:row>0</xdr:row>
                    <xdr:rowOff>137160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198120</xdr:colOff>
                    <xdr:row>3</xdr:row>
                    <xdr:rowOff>38100</xdr:rowOff>
                  </from>
                  <to>
                    <xdr:col>3</xdr:col>
                    <xdr:colOff>449580</xdr:colOff>
                    <xdr:row>5</xdr:row>
                    <xdr:rowOff>7620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s>
  <sheetData>
    <row r="1" spans="1:23" ht="32.25" customHeight="1" thickBot="1" x14ac:dyDescent="0.35">
      <c r="A1" s="63" t="s">
        <v>36</v>
      </c>
      <c r="B1" s="63"/>
      <c r="C1" s="27" t="s">
        <v>42</v>
      </c>
      <c r="D1" s="28"/>
      <c r="L1" s="13" t="s">
        <v>48</v>
      </c>
    </row>
    <row r="2" spans="1:23" s="22" customFormat="1" ht="31.5" customHeight="1" thickBot="1" x14ac:dyDescent="0.35">
      <c r="A2" s="62" t="s">
        <v>91</v>
      </c>
      <c r="B2" s="62"/>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3">
      <c r="A3">
        <v>28495372</v>
      </c>
      <c r="E3" t="s">
        <v>61</v>
      </c>
      <c r="G3" s="39">
        <v>43032.455555555556</v>
      </c>
      <c r="I3" t="s">
        <v>56</v>
      </c>
      <c r="L3" s="1" t="s">
        <v>103</v>
      </c>
      <c r="R3" t="s">
        <v>102</v>
      </c>
      <c r="T3" t="s">
        <v>104</v>
      </c>
      <c r="V3" t="b">
        <v>1</v>
      </c>
      <c r="W3" s="8"/>
    </row>
    <row r="4" spans="1:23" x14ac:dyDescent="0.3">
      <c r="A4" t="s">
        <v>97</v>
      </c>
      <c r="F4" s="1" t="s">
        <v>98</v>
      </c>
      <c r="H4" s="1" t="s">
        <v>99</v>
      </c>
      <c r="J4" s="1" t="s">
        <v>100</v>
      </c>
      <c r="L4" s="1" t="s">
        <v>102</v>
      </c>
      <c r="N4" s="1" t="s">
        <v>101</v>
      </c>
      <c r="P4" s="1">
        <v>100</v>
      </c>
      <c r="W4" s="8"/>
    </row>
    <row r="5" spans="1:23" x14ac:dyDescent="0.3">
      <c r="A5">
        <v>28496694</v>
      </c>
      <c r="E5" t="s">
        <v>62</v>
      </c>
      <c r="G5" s="39">
        <v>43033.393750000003</v>
      </c>
      <c r="I5" t="s">
        <v>56</v>
      </c>
      <c r="L5" s="1" t="s">
        <v>105</v>
      </c>
      <c r="T5" t="s">
        <v>106</v>
      </c>
      <c r="V5" t="s">
        <v>115</v>
      </c>
      <c r="W5" s="8"/>
    </row>
    <row r="6" spans="1:23" x14ac:dyDescent="0.3">
      <c r="A6">
        <v>28497235</v>
      </c>
      <c r="E6" t="s">
        <v>65</v>
      </c>
      <c r="G6" s="39">
        <v>43033.679861111108</v>
      </c>
      <c r="I6" t="s">
        <v>56</v>
      </c>
      <c r="L6" s="1" t="s">
        <v>113</v>
      </c>
      <c r="R6" t="s">
        <v>112</v>
      </c>
      <c r="T6" t="s">
        <v>114</v>
      </c>
      <c r="V6" t="b">
        <v>1</v>
      </c>
      <c r="W6" s="8"/>
    </row>
    <row r="7" spans="1:23" x14ac:dyDescent="0.3">
      <c r="A7" t="s">
        <v>107</v>
      </c>
      <c r="F7" s="1" t="s">
        <v>108</v>
      </c>
      <c r="H7" s="1" t="s">
        <v>109</v>
      </c>
      <c r="J7" s="1" t="s">
        <v>110</v>
      </c>
      <c r="L7" s="1" t="s">
        <v>112</v>
      </c>
      <c r="N7" s="1" t="s">
        <v>111</v>
      </c>
      <c r="P7" s="1">
        <v>89.3</v>
      </c>
      <c r="W7" s="8"/>
    </row>
    <row r="8" spans="1:23" x14ac:dyDescent="0.3">
      <c r="W8" s="8"/>
    </row>
    <row r="9" spans="1:23" x14ac:dyDescent="0.3">
      <c r="A9" s="8"/>
      <c r="B9" s="8"/>
      <c r="C9" s="8"/>
      <c r="D9" s="8"/>
      <c r="E9" s="8"/>
      <c r="F9" s="8"/>
      <c r="G9" s="8"/>
      <c r="H9" s="8"/>
      <c r="I9" s="8"/>
      <c r="J9" s="8"/>
      <c r="K9" s="8"/>
      <c r="L9" s="8"/>
      <c r="M9" s="8"/>
      <c r="N9" s="8"/>
      <c r="O9" s="8"/>
      <c r="P9" s="8"/>
      <c r="Q9" s="8"/>
      <c r="R9" s="8"/>
      <c r="S9" s="8"/>
      <c r="T9" s="8"/>
      <c r="U9" s="8"/>
      <c r="V9" s="8"/>
      <c r="W9" s="8"/>
    </row>
    <row r="10" spans="1:23" x14ac:dyDescent="0.3">
      <c r="A10" s="8"/>
      <c r="B10" s="8"/>
      <c r="C10" s="8"/>
      <c r="D10" s="8"/>
      <c r="E10" s="8"/>
      <c r="F10" s="8"/>
      <c r="G10" s="8"/>
      <c r="H10" s="8"/>
      <c r="I10" s="8"/>
      <c r="J10" s="8"/>
      <c r="K10" s="8"/>
      <c r="L10" s="8"/>
      <c r="M10" s="8"/>
      <c r="N10" s="8"/>
      <c r="O10" s="8"/>
      <c r="P10" s="8"/>
      <c r="Q10" s="8"/>
      <c r="R10" s="8"/>
      <c r="S10" s="8"/>
      <c r="T10" s="8"/>
      <c r="U10" s="8"/>
      <c r="V10" s="8"/>
      <c r="W10" s="8"/>
    </row>
    <row r="11" spans="1:23" x14ac:dyDescent="0.3">
      <c r="A11" s="8"/>
      <c r="B11" s="8"/>
      <c r="C11" s="8"/>
      <c r="D11" s="8"/>
      <c r="E11" s="8"/>
      <c r="F11" s="8"/>
      <c r="G11" s="8"/>
      <c r="H11" s="8"/>
      <c r="I11" s="8"/>
      <c r="J11" s="8"/>
      <c r="K11" s="8"/>
      <c r="L11" s="8"/>
      <c r="M11" s="8"/>
      <c r="N11" s="8"/>
      <c r="O11" s="8"/>
      <c r="P11" s="8"/>
      <c r="Q11" s="8"/>
      <c r="R11" s="8"/>
      <c r="S11" s="8"/>
      <c r="T11" s="8"/>
      <c r="U11" s="8"/>
      <c r="V11" s="8"/>
      <c r="W11" s="8"/>
    </row>
    <row r="12" spans="1:23" x14ac:dyDescent="0.3">
      <c r="A12" s="8"/>
      <c r="B12" s="8"/>
      <c r="C12" s="8"/>
      <c r="D12" s="8"/>
      <c r="E12" s="8"/>
      <c r="F12" s="8"/>
      <c r="G12" s="8"/>
      <c r="H12" s="8"/>
      <c r="I12" s="8"/>
      <c r="J12" s="8"/>
      <c r="K12" s="8"/>
      <c r="L12" s="8"/>
      <c r="M12" s="8"/>
      <c r="N12" s="8"/>
      <c r="O12" s="8"/>
      <c r="P12" s="8"/>
      <c r="Q12" s="8"/>
      <c r="R12" s="8"/>
      <c r="S12" s="8"/>
      <c r="T12" s="8"/>
      <c r="U12" s="8"/>
      <c r="V12" s="8"/>
      <c r="W12" s="8"/>
    </row>
    <row r="13" spans="1:23" x14ac:dyDescent="0.3">
      <c r="A13" s="8"/>
      <c r="B13" s="8"/>
      <c r="C13" s="8"/>
      <c r="D13" s="8"/>
      <c r="E13" s="8"/>
      <c r="F13" s="8"/>
      <c r="G13" s="8"/>
      <c r="H13" s="8"/>
      <c r="I13" s="8"/>
      <c r="J13" s="8"/>
      <c r="K13" s="8"/>
      <c r="L13" s="8"/>
      <c r="M13" s="8"/>
      <c r="N13" s="8"/>
      <c r="O13" s="8"/>
      <c r="P13" s="8"/>
      <c r="Q13" s="8"/>
      <c r="R13" s="8"/>
      <c r="S13" s="8"/>
      <c r="T13" s="8"/>
      <c r="U13" s="8"/>
      <c r="V13" s="8"/>
      <c r="W13" s="8"/>
    </row>
    <row r="14" spans="1:23" x14ac:dyDescent="0.3">
      <c r="A14" s="8"/>
      <c r="B14" s="8"/>
      <c r="C14" s="8"/>
      <c r="D14" s="8"/>
      <c r="E14" s="8"/>
      <c r="F14" s="8"/>
      <c r="G14" s="8"/>
      <c r="H14" s="8"/>
      <c r="I14" s="8"/>
      <c r="J14" s="8"/>
      <c r="K14" s="8"/>
      <c r="L14" s="8"/>
      <c r="M14" s="8"/>
      <c r="N14" s="8"/>
      <c r="O14" s="8"/>
      <c r="P14" s="8"/>
      <c r="Q14" s="8"/>
      <c r="R14" s="8"/>
      <c r="S14" s="8"/>
      <c r="T14" s="8"/>
      <c r="U14" s="8"/>
      <c r="V14" s="8"/>
      <c r="W14" s="8"/>
    </row>
    <row r="15" spans="1:23" x14ac:dyDescent="0.3">
      <c r="A15" s="8"/>
      <c r="B15" s="8"/>
      <c r="C15" s="8"/>
      <c r="D15" s="8"/>
      <c r="E15" s="8"/>
      <c r="F15" s="8"/>
      <c r="G15" s="8"/>
      <c r="H15" s="8"/>
      <c r="I15" s="8"/>
      <c r="J15" s="8"/>
      <c r="K15" s="8"/>
      <c r="L15" s="8"/>
      <c r="M15" s="8"/>
      <c r="N15" s="8"/>
      <c r="O15" s="8"/>
      <c r="P15" s="8"/>
      <c r="Q15" s="8"/>
      <c r="R15" s="8"/>
      <c r="S15" s="8"/>
      <c r="T15" s="8"/>
      <c r="U15" s="8"/>
      <c r="V15" s="8"/>
      <c r="W15" s="8"/>
    </row>
    <row r="16" spans="1:23" x14ac:dyDescent="0.3">
      <c r="A16" s="8"/>
      <c r="B16" s="8"/>
      <c r="C16" s="8"/>
      <c r="D16" s="8"/>
      <c r="E16" s="8"/>
      <c r="F16" s="8"/>
      <c r="G16" s="8"/>
      <c r="H16" s="8"/>
      <c r="I16" s="8"/>
      <c r="J16" s="8"/>
      <c r="K16" s="8"/>
      <c r="L16" s="8"/>
      <c r="M16" s="8"/>
      <c r="N16" s="8"/>
      <c r="O16" s="8"/>
      <c r="P16" s="8"/>
      <c r="Q16" s="8"/>
      <c r="R16" s="8"/>
      <c r="S16" s="8"/>
      <c r="T16" s="8"/>
      <c r="U16" s="8"/>
      <c r="V16" s="8"/>
      <c r="W16" s="8"/>
    </row>
    <row r="17" spans="1:23" x14ac:dyDescent="0.3">
      <c r="A17" s="8"/>
      <c r="B17" s="8"/>
      <c r="C17" s="8"/>
      <c r="D17" s="8"/>
      <c r="E17" s="8"/>
      <c r="F17" s="8"/>
      <c r="G17" s="8"/>
      <c r="H17" s="8"/>
      <c r="I17" s="8"/>
      <c r="J17" s="8"/>
      <c r="K17" s="8"/>
      <c r="L17" s="8"/>
      <c r="M17" s="8"/>
      <c r="N17" s="8"/>
      <c r="O17" s="8"/>
      <c r="P17" s="8"/>
      <c r="Q17" s="8"/>
      <c r="R17" s="8"/>
      <c r="S17" s="8"/>
      <c r="T17" s="8"/>
      <c r="U17" s="8"/>
      <c r="V17" s="8"/>
      <c r="W17" s="8"/>
    </row>
    <row r="18" spans="1:23" x14ac:dyDescent="0.3">
      <c r="A18" s="8"/>
      <c r="B18" s="8"/>
      <c r="C18" s="8"/>
      <c r="D18" s="8"/>
      <c r="E18" s="8"/>
      <c r="F18" s="8"/>
      <c r="G18" s="8"/>
      <c r="H18" s="8"/>
      <c r="I18" s="8"/>
      <c r="J18" s="8"/>
      <c r="K18" s="8"/>
      <c r="L18" s="8"/>
      <c r="M18" s="8"/>
      <c r="N18" s="8"/>
      <c r="O18" s="8"/>
      <c r="P18" s="8"/>
      <c r="Q18" s="8"/>
      <c r="R18" s="8"/>
      <c r="S18" s="8"/>
      <c r="T18" s="8"/>
      <c r="U18" s="8"/>
      <c r="V18" s="8"/>
      <c r="W18" s="8"/>
    </row>
    <row r="19" spans="1:23" x14ac:dyDescent="0.3">
      <c r="A19" s="8"/>
      <c r="B19" s="8"/>
      <c r="C19" s="8"/>
      <c r="D19" s="8"/>
      <c r="E19" s="8"/>
      <c r="F19" s="8"/>
      <c r="G19" s="8"/>
      <c r="H19" s="8"/>
      <c r="I19" s="8"/>
      <c r="J19" s="8"/>
      <c r="K19" s="8"/>
      <c r="L19" s="8"/>
      <c r="M19" s="8"/>
      <c r="N19" s="8"/>
      <c r="O19" s="8"/>
      <c r="P19" s="8"/>
      <c r="Q19" s="8"/>
      <c r="R19" s="8"/>
      <c r="S19" s="8"/>
      <c r="T19" s="8"/>
      <c r="U19" s="8"/>
      <c r="V19" s="8"/>
      <c r="W19" s="8"/>
    </row>
    <row r="20" spans="1:23" x14ac:dyDescent="0.3">
      <c r="A20" s="8"/>
      <c r="B20" s="8"/>
      <c r="C20" s="8"/>
      <c r="D20" s="8"/>
      <c r="E20" s="8"/>
      <c r="F20" s="8"/>
      <c r="G20" s="8"/>
      <c r="H20" s="8"/>
      <c r="I20" s="8"/>
      <c r="J20" s="8"/>
      <c r="K20" s="8"/>
      <c r="L20" s="8"/>
      <c r="M20" s="8"/>
      <c r="N20" s="8"/>
      <c r="O20" s="8"/>
      <c r="P20" s="8"/>
      <c r="Q20" s="8"/>
      <c r="R20" s="8"/>
      <c r="S20" s="8"/>
      <c r="T20" s="8"/>
      <c r="U20" s="8"/>
      <c r="V20" s="8"/>
      <c r="W20" s="8"/>
    </row>
    <row r="21" spans="1:23" x14ac:dyDescent="0.3">
      <c r="A21" s="8"/>
      <c r="B21" s="8"/>
      <c r="C21" s="8"/>
      <c r="D21" s="8"/>
      <c r="E21" s="8"/>
      <c r="F21" s="8"/>
      <c r="G21" s="8"/>
      <c r="H21" s="8"/>
      <c r="I21" s="8"/>
      <c r="J21" s="8"/>
      <c r="K21" s="8"/>
      <c r="L21" s="8"/>
      <c r="M21" s="8"/>
      <c r="N21" s="8"/>
      <c r="O21" s="8"/>
      <c r="P21" s="8"/>
      <c r="Q21" s="8"/>
      <c r="R21" s="8"/>
      <c r="S21" s="8"/>
      <c r="T21" s="8"/>
      <c r="U21" s="8"/>
      <c r="V21" s="8"/>
      <c r="W21" s="8"/>
    </row>
    <row r="22" spans="1:23" x14ac:dyDescent="0.3">
      <c r="A22" s="8"/>
      <c r="B22" s="8"/>
      <c r="C22" s="8"/>
      <c r="D22" s="8"/>
      <c r="E22" s="8"/>
      <c r="F22" s="8"/>
      <c r="G22" s="8"/>
      <c r="H22" s="8"/>
      <c r="I22" s="8"/>
      <c r="J22" s="8"/>
      <c r="K22" s="8"/>
      <c r="L22" s="8"/>
      <c r="M22" s="8"/>
      <c r="N22" s="8"/>
      <c r="O22" s="8"/>
      <c r="P22" s="8"/>
      <c r="Q22" s="8"/>
      <c r="R22" s="8"/>
      <c r="S22" s="8"/>
      <c r="T22" s="8"/>
      <c r="U22" s="8"/>
      <c r="V22" s="8"/>
      <c r="W22" s="8"/>
    </row>
    <row r="23" spans="1:23" x14ac:dyDescent="0.3">
      <c r="A23" s="8"/>
      <c r="B23" s="8"/>
      <c r="C23" s="8"/>
      <c r="D23" s="8"/>
      <c r="E23" s="8"/>
      <c r="F23" s="8"/>
      <c r="G23" s="8"/>
      <c r="H23" s="8"/>
      <c r="I23" s="8"/>
      <c r="J23" s="8"/>
      <c r="K23" s="8"/>
      <c r="L23" s="8"/>
      <c r="M23" s="8"/>
      <c r="N23" s="8"/>
      <c r="O23" s="8"/>
      <c r="P23" s="8"/>
      <c r="Q23" s="8"/>
      <c r="R23" s="8"/>
      <c r="S23" s="8"/>
      <c r="T23" s="8"/>
      <c r="U23" s="8"/>
      <c r="V23" s="8"/>
      <c r="W23" s="8"/>
    </row>
    <row r="24" spans="1:23" x14ac:dyDescent="0.3">
      <c r="A24" s="8"/>
      <c r="B24" s="8"/>
      <c r="C24" s="8"/>
      <c r="D24" s="8"/>
      <c r="E24" s="8"/>
      <c r="F24" s="8"/>
      <c r="G24" s="8"/>
      <c r="H24" s="8"/>
      <c r="I24" s="8"/>
      <c r="J24" s="8"/>
      <c r="K24" s="8"/>
      <c r="L24" s="8"/>
      <c r="M24" s="8"/>
      <c r="N24" s="8"/>
      <c r="O24" s="8"/>
      <c r="P24" s="8"/>
      <c r="Q24" s="8"/>
      <c r="R24" s="8"/>
      <c r="S24" s="8"/>
      <c r="T24" s="8"/>
      <c r="U24" s="8"/>
      <c r="V24" s="8"/>
      <c r="W24" s="8"/>
    </row>
    <row r="25" spans="1:23" x14ac:dyDescent="0.3">
      <c r="A25" s="8"/>
      <c r="B25" s="8"/>
      <c r="C25" s="8"/>
      <c r="D25" s="8"/>
      <c r="E25" s="8"/>
      <c r="F25" s="8"/>
      <c r="G25" s="8"/>
      <c r="H25" s="8"/>
      <c r="I25" s="8"/>
      <c r="J25" s="8"/>
      <c r="K25" s="8"/>
      <c r="L25" s="8"/>
      <c r="M25" s="8"/>
      <c r="N25" s="8"/>
      <c r="O25" s="8"/>
      <c r="P25" s="8"/>
      <c r="Q25" s="8"/>
      <c r="R25" s="8"/>
      <c r="S25" s="8"/>
      <c r="T25" s="8"/>
      <c r="U25" s="8"/>
      <c r="V25" s="8"/>
      <c r="W25" s="8"/>
    </row>
    <row r="26" spans="1:23" x14ac:dyDescent="0.3">
      <c r="A26" s="8"/>
      <c r="B26" s="8"/>
      <c r="C26" s="8"/>
      <c r="D26" s="8"/>
      <c r="E26" s="8"/>
      <c r="F26" s="8"/>
      <c r="G26" s="8"/>
      <c r="H26" s="8"/>
      <c r="I26" s="8"/>
      <c r="J26" s="8"/>
      <c r="K26" s="8"/>
      <c r="L26" s="8"/>
      <c r="M26" s="8"/>
      <c r="N26" s="8"/>
      <c r="O26" s="8"/>
      <c r="P26" s="8"/>
      <c r="Q26" s="8"/>
      <c r="R26" s="8"/>
      <c r="S26" s="8"/>
      <c r="T26" s="8"/>
      <c r="U26" s="8"/>
      <c r="V26" s="8"/>
      <c r="W26" s="8"/>
    </row>
    <row r="27" spans="1:23" x14ac:dyDescent="0.3">
      <c r="A27" s="8"/>
      <c r="B27" s="8"/>
      <c r="C27" s="8"/>
      <c r="D27" s="8"/>
      <c r="E27" s="8"/>
      <c r="F27" s="8"/>
      <c r="G27" s="8"/>
      <c r="H27" s="8"/>
      <c r="I27" s="8"/>
      <c r="J27" s="8"/>
      <c r="K27" s="8"/>
      <c r="L27" s="8"/>
      <c r="M27" s="8"/>
      <c r="N27" s="8"/>
      <c r="O27" s="8"/>
      <c r="P27" s="8"/>
      <c r="Q27" s="8"/>
      <c r="R27" s="8"/>
      <c r="S27" s="8"/>
      <c r="T27" s="8"/>
      <c r="U27" s="8"/>
      <c r="V27" s="8"/>
      <c r="W27" s="8"/>
    </row>
    <row r="28" spans="1:23" x14ac:dyDescent="0.3">
      <c r="A28" s="8"/>
      <c r="B28" s="8"/>
      <c r="C28" s="8"/>
      <c r="D28" s="8"/>
      <c r="E28" s="8"/>
      <c r="F28" s="8"/>
      <c r="G28" s="8"/>
      <c r="H28" s="8"/>
      <c r="I28" s="8"/>
      <c r="J28" s="8"/>
      <c r="K28" s="8"/>
      <c r="L28" s="8"/>
      <c r="M28" s="8"/>
      <c r="N28" s="8"/>
      <c r="O28" s="8"/>
      <c r="P28" s="8"/>
      <c r="Q28" s="8"/>
      <c r="R28" s="8"/>
      <c r="S28" s="8"/>
      <c r="T28" s="8"/>
      <c r="U28" s="8"/>
      <c r="V28" s="8"/>
      <c r="W28" s="8"/>
    </row>
    <row r="29" spans="1:23" x14ac:dyDescent="0.3">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4.4" x14ac:dyDescent="0.3"/>
  <cols>
    <col min="2" max="2" width="14.5546875" bestFit="1" customWidth="1"/>
    <col min="4" max="4" width="24.44140625" bestFit="1" customWidth="1"/>
  </cols>
  <sheetData>
    <row r="1" spans="1:4" ht="15" thickBot="1" x14ac:dyDescent="0.35">
      <c r="A1" s="10">
        <f>COUNTA(A2:A94)</f>
        <v>5</v>
      </c>
      <c r="B1" s="14" t="s">
        <v>52</v>
      </c>
      <c r="C1" s="16">
        <f>COUNTA(C2:C96)</f>
        <v>13</v>
      </c>
      <c r="D1" s="15" t="s">
        <v>37</v>
      </c>
    </row>
    <row r="2" spans="1:4" x14ac:dyDescent="0.3">
      <c r="A2" s="8" t="s">
        <v>29</v>
      </c>
      <c r="B2" s="7"/>
      <c r="C2" t="s">
        <v>53</v>
      </c>
    </row>
    <row r="3" spans="1:4" x14ac:dyDescent="0.3">
      <c r="A3" s="8" t="s">
        <v>30</v>
      </c>
      <c r="B3" s="7"/>
      <c r="C3" t="s">
        <v>54</v>
      </c>
    </row>
    <row r="4" spans="1:4" x14ac:dyDescent="0.3">
      <c r="A4" s="8" t="s">
        <v>32</v>
      </c>
      <c r="B4" s="7"/>
      <c r="C4" t="s">
        <v>38</v>
      </c>
    </row>
    <row r="5" spans="1:4" x14ac:dyDescent="0.3">
      <c r="A5" s="9" t="s">
        <v>43</v>
      </c>
      <c r="B5" s="7"/>
      <c r="C5" t="s">
        <v>39</v>
      </c>
    </row>
    <row r="6" spans="1:4" x14ac:dyDescent="0.3">
      <c r="A6" s="9" t="s">
        <v>44</v>
      </c>
      <c r="B6" s="7"/>
      <c r="C6" t="s">
        <v>40</v>
      </c>
    </row>
    <row r="7" spans="1:4" x14ac:dyDescent="0.3">
      <c r="B7" s="7"/>
      <c r="C7" t="s">
        <v>45</v>
      </c>
    </row>
    <row r="8" spans="1:4" x14ac:dyDescent="0.3">
      <c r="B8" s="7"/>
      <c r="C8" t="s">
        <v>51</v>
      </c>
    </row>
    <row r="9" spans="1:4" x14ac:dyDescent="0.3">
      <c r="B9" s="7"/>
      <c r="C9" s="8" t="s">
        <v>31</v>
      </c>
    </row>
    <row r="10" spans="1:4" x14ac:dyDescent="0.3">
      <c r="B10" s="7"/>
      <c r="C10" t="s">
        <v>63</v>
      </c>
    </row>
    <row r="11" spans="1:4" x14ac:dyDescent="0.3">
      <c r="B11" s="7"/>
      <c r="C11" t="s">
        <v>64</v>
      </c>
    </row>
    <row r="12" spans="1:4" x14ac:dyDescent="0.3">
      <c r="C12" t="s">
        <v>92</v>
      </c>
    </row>
    <row r="13" spans="1:4" x14ac:dyDescent="0.3">
      <c r="C13" t="s">
        <v>93</v>
      </c>
    </row>
    <row r="14" spans="1:4" x14ac:dyDescent="0.3">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4.4" x14ac:dyDescent="0.3"/>
  <cols>
    <col min="1" max="1" width="5.5546875" customWidth="1"/>
    <col min="2" max="2" width="13.44140625" bestFit="1" customWidth="1"/>
    <col min="3" max="3" width="21.88671875" bestFit="1" customWidth="1"/>
  </cols>
  <sheetData>
    <row r="1" spans="1:3" x14ac:dyDescent="0.3">
      <c r="A1" s="42">
        <f>COUNTA(B:B)-1</f>
        <v>4</v>
      </c>
      <c r="B1" s="44" t="s">
        <v>117</v>
      </c>
      <c r="C1" s="43" t="s">
        <v>118</v>
      </c>
    </row>
    <row r="2" spans="1:3" x14ac:dyDescent="0.3">
      <c r="A2">
        <v>1</v>
      </c>
      <c r="B2" t="s">
        <v>119</v>
      </c>
      <c r="C2" t="s">
        <v>120</v>
      </c>
    </row>
    <row r="3" spans="1:3" x14ac:dyDescent="0.3">
      <c r="A3">
        <v>2</v>
      </c>
      <c r="B3" t="s">
        <v>121</v>
      </c>
      <c r="C3" t="s">
        <v>87</v>
      </c>
    </row>
    <row r="4" spans="1:3" x14ac:dyDescent="0.3">
      <c r="A4">
        <v>3</v>
      </c>
      <c r="B4" t="s">
        <v>122</v>
      </c>
      <c r="C4" t="s">
        <v>123</v>
      </c>
    </row>
    <row r="5" spans="1:3" x14ac:dyDescent="0.3">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N33"/>
  <sheetViews>
    <sheetView tabSelected="1" topLeftCell="A11" workbookViewId="0">
      <selection activeCell="L18" sqref="L18"/>
    </sheetView>
  </sheetViews>
  <sheetFormatPr defaultRowHeight="14.4" x14ac:dyDescent="0.3"/>
  <cols>
    <col min="1" max="1" width="9.6640625" bestFit="1" customWidth="1"/>
    <col min="2" max="2" width="12.21875" customWidth="1"/>
    <col min="3" max="3" width="15.44140625" customWidth="1"/>
    <col min="4" max="4" width="15.88671875" bestFit="1" customWidth="1"/>
    <col min="5" max="5" width="17" bestFit="1" customWidth="1"/>
    <col min="6" max="6" width="10.5546875" bestFit="1" customWidth="1"/>
    <col min="7" max="7" width="13.5546875" customWidth="1"/>
  </cols>
  <sheetData>
    <row r="1" spans="1:14" x14ac:dyDescent="0.3">
      <c r="B1" s="47" t="s">
        <v>161</v>
      </c>
      <c r="C1" s="48" t="s">
        <v>126</v>
      </c>
      <c r="D1" s="49" t="s">
        <v>163</v>
      </c>
    </row>
    <row r="2" spans="1:14" ht="15" thickBot="1" x14ac:dyDescent="0.35">
      <c r="B2" s="53">
        <v>277364</v>
      </c>
      <c r="C2" s="50" t="s">
        <v>131</v>
      </c>
      <c r="D2" s="51">
        <v>1</v>
      </c>
    </row>
    <row r="6" spans="1:14" x14ac:dyDescent="0.3">
      <c r="A6" s="52" t="s">
        <v>168</v>
      </c>
      <c r="B6" s="52" t="s">
        <v>162</v>
      </c>
      <c r="C6" s="52" t="s">
        <v>164</v>
      </c>
      <c r="D6" s="52" t="s">
        <v>50</v>
      </c>
      <c r="E6" s="52" t="s">
        <v>165</v>
      </c>
      <c r="F6" s="52" t="s">
        <v>166</v>
      </c>
      <c r="G6" s="52" t="s">
        <v>167</v>
      </c>
      <c r="H6" s="52" t="s">
        <v>170</v>
      </c>
      <c r="I6" s="52" t="s">
        <v>171</v>
      </c>
      <c r="J6" s="52" t="s">
        <v>169</v>
      </c>
      <c r="K6" s="52" t="s">
        <v>172</v>
      </c>
      <c r="L6" s="52" t="s">
        <v>173</v>
      </c>
    </row>
    <row r="7" spans="1:14" x14ac:dyDescent="0.3">
      <c r="A7" t="s">
        <v>127</v>
      </c>
      <c r="B7" t="s">
        <v>128</v>
      </c>
      <c r="C7" s="39">
        <v>43122.521527777775</v>
      </c>
      <c r="D7" t="s">
        <v>129</v>
      </c>
      <c r="E7" t="s">
        <v>130</v>
      </c>
      <c r="F7" t="s">
        <v>158</v>
      </c>
      <c r="G7" s="46" t="s">
        <v>159</v>
      </c>
      <c r="H7" t="s">
        <v>160</v>
      </c>
      <c r="I7" t="s">
        <v>175</v>
      </c>
      <c r="J7" t="s">
        <v>174</v>
      </c>
      <c r="K7">
        <v>355268</v>
      </c>
      <c r="L7">
        <v>397467</v>
      </c>
    </row>
    <row r="8" spans="1:14" x14ac:dyDescent="0.3">
      <c r="C8" s="39"/>
    </row>
    <row r="9" spans="1:14" x14ac:dyDescent="0.3">
      <c r="C9" s="54"/>
    </row>
    <row r="10" spans="1:14" x14ac:dyDescent="0.3">
      <c r="C10" s="55"/>
    </row>
    <row r="12" spans="1:14" x14ac:dyDescent="0.3">
      <c r="H12" t="s">
        <v>132</v>
      </c>
      <c r="M12" s="45"/>
      <c r="N12" t="s">
        <v>132</v>
      </c>
    </row>
    <row r="13" spans="1:14" x14ac:dyDescent="0.3">
      <c r="H13" t="s">
        <v>133</v>
      </c>
      <c r="N13" t="s">
        <v>133</v>
      </c>
    </row>
    <row r="14" spans="1:14" x14ac:dyDescent="0.3">
      <c r="H14" t="s">
        <v>134</v>
      </c>
      <c r="N14" t="s">
        <v>134</v>
      </c>
    </row>
    <row r="15" spans="1:14" x14ac:dyDescent="0.3">
      <c r="H15" t="s">
        <v>135</v>
      </c>
      <c r="N15" t="s">
        <v>147</v>
      </c>
    </row>
    <row r="16" spans="1:14" x14ac:dyDescent="0.3">
      <c r="H16" t="s">
        <v>136</v>
      </c>
      <c r="N16" t="s">
        <v>136</v>
      </c>
    </row>
    <row r="17" spans="7:14" x14ac:dyDescent="0.3">
      <c r="H17" t="s">
        <v>137</v>
      </c>
      <c r="N17" t="s">
        <v>137</v>
      </c>
    </row>
    <row r="18" spans="7:14" x14ac:dyDescent="0.3">
      <c r="H18" t="s">
        <v>138</v>
      </c>
      <c r="N18" t="s">
        <v>138</v>
      </c>
    </row>
    <row r="19" spans="7:14" x14ac:dyDescent="0.3">
      <c r="H19" t="s">
        <v>139</v>
      </c>
      <c r="N19" t="s">
        <v>139</v>
      </c>
    </row>
    <row r="20" spans="7:14" x14ac:dyDescent="0.3">
      <c r="H20" t="s">
        <v>140</v>
      </c>
      <c r="N20" t="s">
        <v>140</v>
      </c>
    </row>
    <row r="21" spans="7:14" x14ac:dyDescent="0.3">
      <c r="H21" t="s">
        <v>141</v>
      </c>
      <c r="N21" t="s">
        <v>141</v>
      </c>
    </row>
    <row r="22" spans="7:14" x14ac:dyDescent="0.3">
      <c r="H22" t="s">
        <v>142</v>
      </c>
      <c r="N22" t="s">
        <v>148</v>
      </c>
    </row>
    <row r="23" spans="7:14" x14ac:dyDescent="0.3">
      <c r="H23" t="s">
        <v>143</v>
      </c>
      <c r="N23" t="s">
        <v>143</v>
      </c>
    </row>
    <row r="24" spans="7:14" x14ac:dyDescent="0.3">
      <c r="H24" t="s">
        <v>144</v>
      </c>
      <c r="N24" t="s">
        <v>144</v>
      </c>
    </row>
    <row r="25" spans="7:14" x14ac:dyDescent="0.3">
      <c r="H25" t="s">
        <v>145</v>
      </c>
      <c r="N25" t="s">
        <v>149</v>
      </c>
    </row>
    <row r="27" spans="7:14" x14ac:dyDescent="0.3">
      <c r="H27" t="s">
        <v>146</v>
      </c>
      <c r="N27" t="s">
        <v>150</v>
      </c>
    </row>
    <row r="28" spans="7:14" x14ac:dyDescent="0.3">
      <c r="H28" t="s">
        <v>181</v>
      </c>
    </row>
    <row r="30" spans="7:14" x14ac:dyDescent="0.3">
      <c r="G30" t="s">
        <v>152</v>
      </c>
      <c r="H30" t="s">
        <v>151</v>
      </c>
    </row>
    <row r="31" spans="7:14" x14ac:dyDescent="0.3">
      <c r="G31" t="s">
        <v>153</v>
      </c>
      <c r="H31" t="s">
        <v>154</v>
      </c>
    </row>
    <row r="32" spans="7:14" x14ac:dyDescent="0.3">
      <c r="G32" t="s">
        <v>155</v>
      </c>
      <c r="H32" t="s">
        <v>156</v>
      </c>
    </row>
    <row r="33" spans="7:8" x14ac:dyDescent="0.3">
      <c r="G33" t="s">
        <v>152</v>
      </c>
      <c r="H33" t="s">
        <v>157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Выгрузка_заявок">
                <anchor moveWithCells="1" sizeWithCells="1">
                  <from>
                    <xdr:col>5</xdr:col>
                    <xdr:colOff>708660</xdr:colOff>
                    <xdr:row>0</xdr:row>
                    <xdr:rowOff>15240</xdr:rowOff>
                  </from>
                  <to>
                    <xdr:col>8</xdr:col>
                    <xdr:colOff>22860</xdr:colOff>
                    <xdr:row>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J11" sqref="J11"/>
    </sheetView>
  </sheetViews>
  <sheetFormatPr defaultRowHeight="14.4" x14ac:dyDescent="0.3"/>
  <sheetData>
    <row r="1" spans="1:6" x14ac:dyDescent="0.3">
      <c r="A1" s="56" t="s">
        <v>47</v>
      </c>
      <c r="B1" s="64" t="s">
        <v>176</v>
      </c>
      <c r="C1" s="64"/>
      <c r="D1" s="64"/>
      <c r="E1" s="64"/>
      <c r="F1" s="57" t="s">
        <v>177</v>
      </c>
    </row>
    <row r="2" spans="1:6" x14ac:dyDescent="0.3">
      <c r="A2" s="41" t="s">
        <v>58</v>
      </c>
      <c r="B2" s="65" t="s">
        <v>178</v>
      </c>
      <c r="C2" s="65"/>
      <c r="D2" s="65"/>
      <c r="E2" s="65"/>
      <c r="F2" s="58">
        <v>277364</v>
      </c>
    </row>
    <row r="3" spans="1:6" x14ac:dyDescent="0.3">
      <c r="A3" s="41" t="s">
        <v>179</v>
      </c>
      <c r="B3" s="66"/>
      <c r="C3" s="66"/>
      <c r="D3" s="66"/>
      <c r="E3" s="66"/>
      <c r="F3" s="59"/>
    </row>
    <row r="4" spans="1:6" x14ac:dyDescent="0.3">
      <c r="A4" s="41" t="s">
        <v>180</v>
      </c>
      <c r="B4" s="66"/>
      <c r="C4" s="66"/>
      <c r="D4" s="66"/>
      <c r="E4" s="66"/>
      <c r="F4" s="59"/>
    </row>
  </sheetData>
  <mergeCells count="4">
    <mergeCell ref="B1:E1"/>
    <mergeCell ref="B2:E2"/>
    <mergeCell ref="B3:E3"/>
    <mergeCell ref="B4:E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Исключения</vt:lpstr>
      <vt:lpstr>Ключи</vt:lpstr>
      <vt:lpstr>Лист1</vt:lpstr>
      <vt:lpstr>Авторизация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2018-02-01T15:39:52Z</dcterms:modified>
</cp:coreProperties>
</file>